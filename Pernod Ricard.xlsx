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eyemp\Downloads\"/>
    </mc:Choice>
  </mc:AlternateContent>
  <xr:revisionPtr revIDLastSave="0" documentId="13_ncr:1_{29F414E5-CF5F-4A5B-8727-D8E78B82F003}" xr6:coauthVersionLast="47" xr6:coauthVersionMax="47" xr10:uidLastSave="{00000000-0000-0000-0000-000000000000}"/>
  <bookViews>
    <workbookView xWindow="-108" yWindow="-108" windowWidth="23256" windowHeight="12456" activeTab="3" xr2:uid="{4E62B831-04A6-4634-8B18-A494AA6CB5F1}"/>
  </bookViews>
  <sheets>
    <sheet name="Revenue Model" sheetId="2" r:id="rId1"/>
    <sheet name="Revenue Model-Segment" sheetId="9" r:id="rId2"/>
    <sheet name="Gross Margin" sheetId="7" r:id="rId3"/>
    <sheet name="Advertisment &amp; promotional spen" sheetId="8" r:id="rId4"/>
    <sheet name="Financial Statements" sheetId="1" r:id="rId5"/>
    <sheet name="Schedules" sheetId="4" r:id="rId6"/>
    <sheet name="DCF "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1" i="9" l="1"/>
  <c r="E42" i="9" s="1"/>
  <c r="C41" i="9"/>
  <c r="C42" i="9" s="1"/>
  <c r="AE39" i="9"/>
  <c r="AD39" i="9"/>
  <c r="AC39" i="9"/>
  <c r="L39" i="9"/>
  <c r="J39" i="9"/>
  <c r="H39" i="9"/>
  <c r="I39" i="9" s="1"/>
  <c r="F39" i="9"/>
  <c r="AE37" i="9"/>
  <c r="AD37" i="9"/>
  <c r="AC37" i="9"/>
  <c r="L37" i="9"/>
  <c r="J37" i="9"/>
  <c r="H37" i="9"/>
  <c r="F37" i="9"/>
  <c r="F38" i="9" s="1"/>
  <c r="AE35" i="9"/>
  <c r="AD35" i="9"/>
  <c r="AC35" i="9"/>
  <c r="L35" i="9"/>
  <c r="J35" i="9"/>
  <c r="H35" i="9"/>
  <c r="F35" i="9"/>
  <c r="F36" i="9" s="1"/>
  <c r="E32" i="9"/>
  <c r="C32" i="9"/>
  <c r="AC31" i="9"/>
  <c r="AC32" i="9" s="1"/>
  <c r="F31" i="9"/>
  <c r="H26" i="9" s="1"/>
  <c r="D31" i="9"/>
  <c r="D32" i="9" s="1"/>
  <c r="AC30" i="9"/>
  <c r="F30" i="9"/>
  <c r="E30" i="9"/>
  <c r="D30" i="9"/>
  <c r="C30" i="9"/>
  <c r="P29" i="9"/>
  <c r="R29" i="9" s="1"/>
  <c r="N29" i="9"/>
  <c r="K29" i="9"/>
  <c r="M29" i="9" s="1"/>
  <c r="I29" i="9"/>
  <c r="G29" i="9"/>
  <c r="AC28" i="9"/>
  <c r="F28" i="9"/>
  <c r="E28" i="9"/>
  <c r="D28" i="9"/>
  <c r="C28" i="9"/>
  <c r="N27" i="9"/>
  <c r="P27" i="9" s="1"/>
  <c r="K27" i="9"/>
  <c r="I27" i="9"/>
  <c r="G27" i="9"/>
  <c r="G28" i="9" s="1"/>
  <c r="AD26" i="9"/>
  <c r="AC26" i="9"/>
  <c r="F26" i="9"/>
  <c r="E26" i="9"/>
  <c r="D26" i="9"/>
  <c r="C26" i="9"/>
  <c r="P25" i="9"/>
  <c r="N25" i="9"/>
  <c r="K25" i="9"/>
  <c r="M25" i="9" s="1"/>
  <c r="I25" i="9"/>
  <c r="G25" i="9"/>
  <c r="E22" i="9"/>
  <c r="C22" i="9"/>
  <c r="AC21" i="9"/>
  <c r="AD20" i="9" s="1"/>
  <c r="H21" i="9"/>
  <c r="F21" i="9"/>
  <c r="F22" i="9" s="1"/>
  <c r="D21" i="9"/>
  <c r="AC20" i="9"/>
  <c r="H20" i="9"/>
  <c r="F20" i="9"/>
  <c r="E20" i="9"/>
  <c r="D20" i="9"/>
  <c r="C20" i="9"/>
  <c r="N19" i="9"/>
  <c r="P19" i="9" s="1"/>
  <c r="K19" i="9"/>
  <c r="I19" i="9"/>
  <c r="G19" i="9"/>
  <c r="AC18" i="9"/>
  <c r="H18" i="9"/>
  <c r="F18" i="9"/>
  <c r="E18" i="9"/>
  <c r="D18" i="9"/>
  <c r="C18" i="9"/>
  <c r="P17" i="9"/>
  <c r="N17" i="9"/>
  <c r="K17" i="9"/>
  <c r="M17" i="9" s="1"/>
  <c r="I17" i="9"/>
  <c r="G17" i="9"/>
  <c r="G18" i="9" s="1"/>
  <c r="AC16" i="9"/>
  <c r="H16" i="9"/>
  <c r="F16" i="9"/>
  <c r="E16" i="9"/>
  <c r="D16" i="9"/>
  <c r="C16" i="9"/>
  <c r="N15" i="9"/>
  <c r="K15" i="9"/>
  <c r="M15" i="9" s="1"/>
  <c r="I15" i="9"/>
  <c r="G15" i="9"/>
  <c r="G16" i="9" s="1"/>
  <c r="F12" i="9"/>
  <c r="E12" i="9"/>
  <c r="D12" i="9"/>
  <c r="C12" i="9"/>
  <c r="AD11" i="9"/>
  <c r="AE8" i="9" s="1"/>
  <c r="AC11" i="9"/>
  <c r="AC12" i="9" s="1"/>
  <c r="F11" i="9"/>
  <c r="D11" i="9"/>
  <c r="AC10" i="9"/>
  <c r="H10" i="9"/>
  <c r="F10" i="9"/>
  <c r="E10" i="9"/>
  <c r="D10" i="9"/>
  <c r="C10" i="9"/>
  <c r="N9" i="9"/>
  <c r="N39" i="9" s="1"/>
  <c r="K9" i="9"/>
  <c r="M9" i="9" s="1"/>
  <c r="O9" i="9" s="1"/>
  <c r="Q9" i="9" s="1"/>
  <c r="S9" i="9" s="1"/>
  <c r="U9" i="9" s="1"/>
  <c r="W9" i="9" s="1"/>
  <c r="I9" i="9"/>
  <c r="G9" i="9"/>
  <c r="G10" i="9" s="1"/>
  <c r="AC8" i="9"/>
  <c r="H8" i="9"/>
  <c r="F8" i="9"/>
  <c r="E8" i="9"/>
  <c r="D8" i="9"/>
  <c r="C8" i="9"/>
  <c r="N7" i="9"/>
  <c r="K7" i="9"/>
  <c r="M7" i="9" s="1"/>
  <c r="I7" i="9"/>
  <c r="G7" i="9"/>
  <c r="G11" i="9" s="1"/>
  <c r="AD6" i="9"/>
  <c r="AC6" i="9"/>
  <c r="H6" i="9"/>
  <c r="F6" i="9"/>
  <c r="E6" i="9"/>
  <c r="D6" i="9"/>
  <c r="C6" i="9"/>
  <c r="N5" i="9"/>
  <c r="K5" i="9"/>
  <c r="M5" i="9" s="1"/>
  <c r="AF5" i="9" s="1"/>
  <c r="I5" i="9"/>
  <c r="G5" i="9"/>
  <c r="G6" i="9" s="1"/>
  <c r="AE146" i="1"/>
  <c r="L146" i="1"/>
  <c r="L9" i="1"/>
  <c r="AE9" i="1"/>
  <c r="J9" i="1"/>
  <c r="AD9" i="1"/>
  <c r="H9" i="1"/>
  <c r="AC9" i="1"/>
  <c r="F9" i="1"/>
  <c r="E9" i="1"/>
  <c r="C9" i="1"/>
  <c r="O17" i="9" l="1"/>
  <c r="Q17" i="9" s="1"/>
  <c r="S17" i="9" s="1"/>
  <c r="U17" i="9" s="1"/>
  <c r="W17" i="9" s="1"/>
  <c r="AF17" i="9"/>
  <c r="AF18" i="9" s="1"/>
  <c r="AD10" i="9"/>
  <c r="AE11" i="9"/>
  <c r="AE12" i="9" s="1"/>
  <c r="AD30" i="9"/>
  <c r="K35" i="9"/>
  <c r="AD28" i="9"/>
  <c r="AE6" i="9"/>
  <c r="AF15" i="9"/>
  <c r="AF16" i="9" s="1"/>
  <c r="O15" i="9"/>
  <c r="Q15" i="9" s="1"/>
  <c r="S15" i="9" s="1"/>
  <c r="U15" i="9" s="1"/>
  <c r="W15" i="9" s="1"/>
  <c r="O25" i="9"/>
  <c r="Q25" i="9" s="1"/>
  <c r="S25" i="9" s="1"/>
  <c r="U25" i="9" s="1"/>
  <c r="W25" i="9" s="1"/>
  <c r="AF25" i="9"/>
  <c r="AF26" i="9" s="1"/>
  <c r="AF7" i="9"/>
  <c r="AF8" i="9" s="1"/>
  <c r="O7" i="9"/>
  <c r="Q7" i="9" s="1"/>
  <c r="S7" i="9" s="1"/>
  <c r="U7" i="9" s="1"/>
  <c r="W7" i="9" s="1"/>
  <c r="G37" i="9"/>
  <c r="G38" i="9" s="1"/>
  <c r="AG15" i="9"/>
  <c r="G26" i="9"/>
  <c r="P9" i="9"/>
  <c r="AE10" i="9"/>
  <c r="AD31" i="9"/>
  <c r="AE28" i="9" s="1"/>
  <c r="G30" i="9"/>
  <c r="D41" i="9"/>
  <c r="AD8" i="9"/>
  <c r="F41" i="9"/>
  <c r="F42" i="9" s="1"/>
  <c r="AD12" i="9"/>
  <c r="AC36" i="9"/>
  <c r="AC38" i="9"/>
  <c r="G39" i="9"/>
  <c r="G8" i="9"/>
  <c r="I6" i="9"/>
  <c r="I11" i="9"/>
  <c r="G12" i="9"/>
  <c r="R19" i="9"/>
  <c r="J16" i="9"/>
  <c r="J21" i="9"/>
  <c r="J18" i="9"/>
  <c r="J20" i="9"/>
  <c r="H22" i="9"/>
  <c r="T29" i="9"/>
  <c r="AH17" i="9"/>
  <c r="R17" i="9"/>
  <c r="AD21" i="9"/>
  <c r="AD16" i="9"/>
  <c r="AC22" i="9"/>
  <c r="AD18" i="9"/>
  <c r="AG25" i="9"/>
  <c r="AG26" i="9" s="1"/>
  <c r="M27" i="9"/>
  <c r="F32" i="9"/>
  <c r="H31" i="9"/>
  <c r="H28" i="9"/>
  <c r="H30" i="9"/>
  <c r="D42" i="9"/>
  <c r="G40" i="9"/>
  <c r="AH9" i="9"/>
  <c r="R9" i="9"/>
  <c r="P39" i="9"/>
  <c r="G20" i="9"/>
  <c r="AH25" i="9"/>
  <c r="R25" i="9"/>
  <c r="R27" i="9"/>
  <c r="AF29" i="9"/>
  <c r="AF30" i="9" s="1"/>
  <c r="O29" i="9"/>
  <c r="Q29" i="9" s="1"/>
  <c r="I10" i="9"/>
  <c r="AF6" i="9"/>
  <c r="I8" i="9"/>
  <c r="D22" i="9"/>
  <c r="G21" i="9"/>
  <c r="P5" i="9"/>
  <c r="N35" i="9"/>
  <c r="AF9" i="9"/>
  <c r="M19" i="9"/>
  <c r="N37" i="9"/>
  <c r="F40" i="9"/>
  <c r="AC41" i="9"/>
  <c r="AD36" i="9" s="1"/>
  <c r="O5" i="9"/>
  <c r="P7" i="9"/>
  <c r="AG9" i="9"/>
  <c r="P15" i="9"/>
  <c r="G31" i="9"/>
  <c r="I30" i="9" s="1"/>
  <c r="AD32" i="9"/>
  <c r="AE26" i="9"/>
  <c r="G35" i="9"/>
  <c r="G36" i="9" s="1"/>
  <c r="I37" i="9"/>
  <c r="K39" i="9"/>
  <c r="AC40" i="9"/>
  <c r="H11" i="9"/>
  <c r="I35" i="9"/>
  <c r="K37" i="9"/>
  <c r="AF139" i="1"/>
  <c r="AF135" i="1"/>
  <c r="AF134" i="1"/>
  <c r="AF133" i="1"/>
  <c r="AF130" i="1"/>
  <c r="AF129" i="1"/>
  <c r="AF126" i="1"/>
  <c r="AF125" i="1"/>
  <c r="AF124" i="1"/>
  <c r="AF123" i="1"/>
  <c r="AF118" i="1"/>
  <c r="AF117" i="1"/>
  <c r="AF116" i="1"/>
  <c r="AF113" i="1"/>
  <c r="AF108" i="1"/>
  <c r="AF107" i="1"/>
  <c r="AF106" i="1"/>
  <c r="AF105" i="1"/>
  <c r="AF104" i="1"/>
  <c r="AF103" i="1"/>
  <c r="AF101" i="1"/>
  <c r="AF100" i="1"/>
  <c r="AF99" i="1"/>
  <c r="AF98" i="1"/>
  <c r="AF97" i="1"/>
  <c r="AF29" i="1"/>
  <c r="C19" i="5" s="1"/>
  <c r="AF24" i="1"/>
  <c r="AF18" i="1"/>
  <c r="AF14" i="1"/>
  <c r="L39" i="8"/>
  <c r="L37" i="8"/>
  <c r="L35" i="8"/>
  <c r="L39" i="7"/>
  <c r="L37" i="7"/>
  <c r="L35" i="7"/>
  <c r="L39" i="2"/>
  <c r="L37" i="2"/>
  <c r="L35" i="2"/>
  <c r="L114" i="1"/>
  <c r="L109" i="1"/>
  <c r="L89" i="1"/>
  <c r="L79" i="1"/>
  <c r="L68" i="1"/>
  <c r="L70" i="1" s="1"/>
  <c r="L60" i="1"/>
  <c r="L52" i="1"/>
  <c r="L9" i="4"/>
  <c r="L11" i="4"/>
  <c r="M4" i="4" s="1"/>
  <c r="L5" i="4"/>
  <c r="L6" i="4" s="1"/>
  <c r="L32" i="4"/>
  <c r="L31" i="4"/>
  <c r="M28" i="4" s="1"/>
  <c r="M31" i="4" s="1"/>
  <c r="L30" i="4"/>
  <c r="L20" i="4"/>
  <c r="L19" i="4"/>
  <c r="L18" i="4"/>
  <c r="L16" i="4"/>
  <c r="L15" i="4"/>
  <c r="L136" i="1"/>
  <c r="L127" i="1"/>
  <c r="L119" i="1"/>
  <c r="L44" i="1"/>
  <c r="L95" i="1" s="1"/>
  <c r="L12" i="1"/>
  <c r="L6" i="1"/>
  <c r="L7" i="1" s="1"/>
  <c r="G8" i="5"/>
  <c r="F8" i="5"/>
  <c r="E8" i="5"/>
  <c r="D8" i="5"/>
  <c r="C8" i="5"/>
  <c r="AE39" i="8"/>
  <c r="AE37" i="8"/>
  <c r="AE35" i="8"/>
  <c r="K29" i="8"/>
  <c r="K27" i="8"/>
  <c r="K25" i="8"/>
  <c r="K19" i="8"/>
  <c r="K17" i="8"/>
  <c r="K15" i="8"/>
  <c r="K9" i="8"/>
  <c r="K7" i="8"/>
  <c r="K5" i="8"/>
  <c r="AE39" i="7"/>
  <c r="AE37" i="7"/>
  <c r="AE35" i="7"/>
  <c r="K29" i="7"/>
  <c r="K27" i="7"/>
  <c r="K25" i="7"/>
  <c r="K19" i="7"/>
  <c r="K17" i="7"/>
  <c r="K15" i="7"/>
  <c r="K9" i="7"/>
  <c r="K7" i="7"/>
  <c r="K5" i="7"/>
  <c r="AE39" i="2"/>
  <c r="AE37" i="2"/>
  <c r="AE35" i="2"/>
  <c r="K29" i="2"/>
  <c r="K27" i="2"/>
  <c r="K25" i="2"/>
  <c r="K19" i="2"/>
  <c r="K17" i="2"/>
  <c r="K15" i="2"/>
  <c r="K9" i="2"/>
  <c r="K7" i="2"/>
  <c r="K5" i="2"/>
  <c r="AE32" i="4"/>
  <c r="AE31" i="4"/>
  <c r="L28" i="4" s="1"/>
  <c r="AE30" i="4"/>
  <c r="AE29" i="4"/>
  <c r="AE20" i="4"/>
  <c r="AE19" i="4"/>
  <c r="AE18" i="4"/>
  <c r="AE16" i="4"/>
  <c r="AE15" i="4"/>
  <c r="AE11" i="4"/>
  <c r="L4" i="4" s="1"/>
  <c r="K8" i="4"/>
  <c r="AE5" i="4"/>
  <c r="AE114" i="1"/>
  <c r="K114" i="1" s="1"/>
  <c r="K90" i="1"/>
  <c r="AE6" i="1"/>
  <c r="AE10" i="1" s="1"/>
  <c r="K5" i="1"/>
  <c r="K16" i="4" s="1"/>
  <c r="K139" i="1"/>
  <c r="K137" i="1"/>
  <c r="AE136" i="1"/>
  <c r="K134" i="1"/>
  <c r="K133" i="1"/>
  <c r="K132" i="1"/>
  <c r="K131" i="1"/>
  <c r="K130" i="1"/>
  <c r="K129" i="1"/>
  <c r="AE127" i="1"/>
  <c r="K126" i="1"/>
  <c r="K125" i="1"/>
  <c r="K124" i="1"/>
  <c r="K123" i="1"/>
  <c r="K122" i="1"/>
  <c r="AE119" i="1"/>
  <c r="K118" i="1"/>
  <c r="K117" i="1"/>
  <c r="K116" i="1"/>
  <c r="K112" i="1"/>
  <c r="K111" i="1"/>
  <c r="K110" i="1"/>
  <c r="AE109" i="1"/>
  <c r="K108" i="1"/>
  <c r="K107" i="1"/>
  <c r="K106" i="1"/>
  <c r="K105" i="1"/>
  <c r="K104" i="1"/>
  <c r="K103" i="1"/>
  <c r="K102" i="1"/>
  <c r="K9" i="4" s="1"/>
  <c r="K101" i="1"/>
  <c r="K100" i="1"/>
  <c r="K99" i="1"/>
  <c r="K98" i="1"/>
  <c r="K97" i="1"/>
  <c r="K96" i="1"/>
  <c r="AE89" i="1"/>
  <c r="K88" i="1"/>
  <c r="K87" i="1"/>
  <c r="K86" i="1"/>
  <c r="K85" i="1"/>
  <c r="K84" i="1"/>
  <c r="K83" i="1"/>
  <c r="K82" i="1"/>
  <c r="K20" i="4" s="1"/>
  <c r="K81" i="1"/>
  <c r="AE79" i="1"/>
  <c r="K78" i="1"/>
  <c r="K77" i="1"/>
  <c r="K76" i="1"/>
  <c r="K75" i="1"/>
  <c r="K31" i="4" s="1"/>
  <c r="K74" i="1"/>
  <c r="K73" i="1"/>
  <c r="K72" i="1"/>
  <c r="K69" i="1"/>
  <c r="AE68" i="1"/>
  <c r="AE70" i="1" s="1"/>
  <c r="K67" i="1"/>
  <c r="K66" i="1"/>
  <c r="K65" i="1"/>
  <c r="K64" i="1"/>
  <c r="K61" i="1"/>
  <c r="AE60" i="1"/>
  <c r="K59" i="1"/>
  <c r="K58" i="1"/>
  <c r="K57" i="1"/>
  <c r="K56" i="1"/>
  <c r="K55" i="1"/>
  <c r="K19" i="4" s="1"/>
  <c r="K54" i="1"/>
  <c r="K18" i="4" s="1"/>
  <c r="AE52" i="1"/>
  <c r="K51" i="1"/>
  <c r="K50" i="1"/>
  <c r="K49" i="1"/>
  <c r="K48" i="1"/>
  <c r="K47" i="1"/>
  <c r="K11" i="4" s="1"/>
  <c r="K46" i="1"/>
  <c r="K45" i="1"/>
  <c r="AE44" i="1"/>
  <c r="AE95" i="1" s="1"/>
  <c r="K44" i="1"/>
  <c r="K95" i="1" s="1"/>
  <c r="K38" i="1"/>
  <c r="K37" i="1"/>
  <c r="K29" i="1"/>
  <c r="K26" i="1"/>
  <c r="K24" i="1"/>
  <c r="K22" i="1"/>
  <c r="K19" i="1"/>
  <c r="K18" i="1"/>
  <c r="K17" i="1"/>
  <c r="K32" i="4" s="1"/>
  <c r="K14" i="1"/>
  <c r="AE13" i="1"/>
  <c r="AE12" i="1"/>
  <c r="K8" i="1"/>
  <c r="K4" i="1"/>
  <c r="K15" i="4" s="1"/>
  <c r="AD40" i="9" l="1"/>
  <c r="AG17" i="9"/>
  <c r="AG18" i="9" s="1"/>
  <c r="AF35" i="9"/>
  <c r="AG16" i="9"/>
  <c r="H38" i="9"/>
  <c r="AF11" i="9"/>
  <c r="AG7" i="9"/>
  <c r="AG8" i="9" s="1"/>
  <c r="AE31" i="9"/>
  <c r="AE32" i="9" s="1"/>
  <c r="AE30" i="9"/>
  <c r="AG29" i="9"/>
  <c r="AG30" i="9" s="1"/>
  <c r="H40" i="9"/>
  <c r="H36" i="9"/>
  <c r="H41" i="9"/>
  <c r="J40" i="9" s="1"/>
  <c r="L62" i="1"/>
  <c r="AF12" i="9"/>
  <c r="T19" i="9"/>
  <c r="R15" i="9"/>
  <c r="AH15" i="9"/>
  <c r="AH16" i="9" s="1"/>
  <c r="M35" i="9"/>
  <c r="T25" i="9"/>
  <c r="AI25" i="9"/>
  <c r="AI26" i="9" s="1"/>
  <c r="J30" i="9"/>
  <c r="J26" i="9"/>
  <c r="J31" i="9"/>
  <c r="J28" i="9"/>
  <c r="H32" i="9"/>
  <c r="T17" i="9"/>
  <c r="AI17" i="9"/>
  <c r="AI18" i="9" s="1"/>
  <c r="T27" i="9"/>
  <c r="AG10" i="9"/>
  <c r="O19" i="9"/>
  <c r="AF19" i="9"/>
  <c r="AF20" i="9" s="1"/>
  <c r="AH26" i="9"/>
  <c r="G41" i="9"/>
  <c r="I36" i="9" s="1"/>
  <c r="AE21" i="9"/>
  <c r="AD22" i="9"/>
  <c r="AE18" i="9"/>
  <c r="AE20" i="9"/>
  <c r="AE16" i="9"/>
  <c r="V29" i="9"/>
  <c r="AH10" i="9"/>
  <c r="I26" i="9"/>
  <c r="P37" i="9"/>
  <c r="AH7" i="9"/>
  <c r="R7" i="9"/>
  <c r="J36" i="9"/>
  <c r="J11" i="9"/>
  <c r="J8" i="9"/>
  <c r="J10" i="9"/>
  <c r="H12" i="9"/>
  <c r="J6" i="9"/>
  <c r="AG5" i="9"/>
  <c r="Q5" i="9"/>
  <c r="S5" i="9" s="1"/>
  <c r="U5" i="9" s="1"/>
  <c r="W5" i="9" s="1"/>
  <c r="AF10" i="9"/>
  <c r="I16" i="9"/>
  <c r="I21" i="9"/>
  <c r="I20" i="9"/>
  <c r="G22" i="9"/>
  <c r="I18" i="9"/>
  <c r="O27" i="9"/>
  <c r="AF27" i="9"/>
  <c r="I31" i="9"/>
  <c r="G32" i="9"/>
  <c r="I28" i="9"/>
  <c r="AC42" i="9"/>
  <c r="AD41" i="9"/>
  <c r="S29" i="9"/>
  <c r="AH29" i="9"/>
  <c r="AD38" i="9"/>
  <c r="K10" i="9"/>
  <c r="K11" i="9"/>
  <c r="K8" i="9"/>
  <c r="I12" i="9"/>
  <c r="K6" i="9"/>
  <c r="R5" i="9"/>
  <c r="P35" i="9"/>
  <c r="T9" i="9"/>
  <c r="R39" i="9"/>
  <c r="AI9" i="9"/>
  <c r="L20" i="9"/>
  <c r="L21" i="9"/>
  <c r="L18" i="9"/>
  <c r="J22" i="9"/>
  <c r="L16" i="9"/>
  <c r="K9" i="1"/>
  <c r="L22" i="4"/>
  <c r="L24" i="4"/>
  <c r="L2" i="4"/>
  <c r="L23" i="4"/>
  <c r="L10" i="4"/>
  <c r="L91" i="1"/>
  <c r="L29" i="4"/>
  <c r="L115" i="1"/>
  <c r="L120" i="1" s="1"/>
  <c r="L33" i="4"/>
  <c r="L7" i="4"/>
  <c r="L12" i="4" s="1"/>
  <c r="M9" i="4"/>
  <c r="M8" i="4" s="1"/>
  <c r="L11" i="1"/>
  <c r="L15" i="1" s="1"/>
  <c r="L157" i="1" s="1"/>
  <c r="L10" i="1"/>
  <c r="AE62" i="1"/>
  <c r="AE91" i="1"/>
  <c r="AE33" i="4"/>
  <c r="AE24" i="4"/>
  <c r="K23" i="4"/>
  <c r="AE22" i="4"/>
  <c r="K33" i="4"/>
  <c r="K2" i="4"/>
  <c r="K22" i="4"/>
  <c r="AE2" i="4"/>
  <c r="AE23" i="4"/>
  <c r="K24" i="4"/>
  <c r="AE6" i="4"/>
  <c r="K119" i="1"/>
  <c r="AE115" i="1"/>
  <c r="AE120" i="1" s="1"/>
  <c r="K68" i="1"/>
  <c r="K70" i="1" s="1"/>
  <c r="AE11" i="1"/>
  <c r="AE15" i="1" s="1"/>
  <c r="AE157" i="1" s="1"/>
  <c r="AE149" i="1" s="1"/>
  <c r="K12" i="1"/>
  <c r="K6" i="1"/>
  <c r="K10" i="1" s="1"/>
  <c r="K79" i="1"/>
  <c r="K109" i="1"/>
  <c r="K115" i="1" s="1"/>
  <c r="K127" i="1"/>
  <c r="K52" i="1"/>
  <c r="K60" i="1"/>
  <c r="K89" i="1"/>
  <c r="K136" i="1"/>
  <c r="AE7" i="1"/>
  <c r="J30" i="4"/>
  <c r="W132" i="1"/>
  <c r="V132" i="1"/>
  <c r="U132" i="1"/>
  <c r="T132" i="1"/>
  <c r="S132" i="1"/>
  <c r="R132" i="1"/>
  <c r="Q132" i="1"/>
  <c r="P132" i="1"/>
  <c r="O132" i="1"/>
  <c r="N132" i="1"/>
  <c r="M132" i="1"/>
  <c r="AF132" i="1" s="1"/>
  <c r="W131" i="1"/>
  <c r="V131" i="1"/>
  <c r="U131" i="1"/>
  <c r="T131" i="1"/>
  <c r="S131" i="1"/>
  <c r="R131" i="1"/>
  <c r="Q131" i="1"/>
  <c r="P131" i="1"/>
  <c r="O131" i="1"/>
  <c r="N131" i="1"/>
  <c r="M131" i="1"/>
  <c r="AF131" i="1" s="1"/>
  <c r="AK119" i="1"/>
  <c r="W119" i="1"/>
  <c r="V119" i="1"/>
  <c r="AJ119" i="1"/>
  <c r="U119" i="1"/>
  <c r="T119" i="1"/>
  <c r="AI119" i="1"/>
  <c r="S119" i="1"/>
  <c r="R119" i="1"/>
  <c r="AH119" i="1"/>
  <c r="Q119" i="1"/>
  <c r="P119" i="1"/>
  <c r="AG119" i="1"/>
  <c r="O119" i="1"/>
  <c r="N119" i="1"/>
  <c r="AF119" i="1"/>
  <c r="M119" i="1"/>
  <c r="M90" i="1"/>
  <c r="AF90" i="1" s="1"/>
  <c r="N90" i="1" s="1"/>
  <c r="O90" i="1" s="1"/>
  <c r="AG90" i="1" s="1"/>
  <c r="P90" i="1" s="1"/>
  <c r="Q90" i="1" s="1"/>
  <c r="AH90" i="1" s="1"/>
  <c r="R90" i="1" s="1"/>
  <c r="S90" i="1" s="1"/>
  <c r="AI90" i="1" s="1"/>
  <c r="T90" i="1" s="1"/>
  <c r="U90" i="1" s="1"/>
  <c r="AJ90" i="1" s="1"/>
  <c r="V90" i="1" s="1"/>
  <c r="W90" i="1" s="1"/>
  <c r="AK90" i="1" s="1"/>
  <c r="M88" i="1"/>
  <c r="AF88" i="1" s="1"/>
  <c r="N88" i="1" s="1"/>
  <c r="O88" i="1" s="1"/>
  <c r="AG88" i="1" s="1"/>
  <c r="P88" i="1" s="1"/>
  <c r="Q88" i="1" s="1"/>
  <c r="AH88" i="1" s="1"/>
  <c r="R88" i="1" s="1"/>
  <c r="S88" i="1" s="1"/>
  <c r="AI88" i="1" s="1"/>
  <c r="T88" i="1" s="1"/>
  <c r="U88" i="1" s="1"/>
  <c r="AJ88" i="1" s="1"/>
  <c r="V88" i="1" s="1"/>
  <c r="W88" i="1" s="1"/>
  <c r="AK88" i="1" s="1"/>
  <c r="M87" i="1"/>
  <c r="AF87" i="1" s="1"/>
  <c r="N87" i="1" s="1"/>
  <c r="O87" i="1" s="1"/>
  <c r="AG87" i="1" s="1"/>
  <c r="P87" i="1" s="1"/>
  <c r="Q87" i="1" s="1"/>
  <c r="AH87" i="1" s="1"/>
  <c r="R87" i="1" s="1"/>
  <c r="S87" i="1" s="1"/>
  <c r="AI87" i="1" s="1"/>
  <c r="T87" i="1" s="1"/>
  <c r="U87" i="1" s="1"/>
  <c r="AJ87" i="1" s="1"/>
  <c r="V87" i="1" s="1"/>
  <c r="W87" i="1" s="1"/>
  <c r="AK87" i="1" s="1"/>
  <c r="M86" i="1"/>
  <c r="AF86" i="1" s="1"/>
  <c r="N86" i="1" s="1"/>
  <c r="O86" i="1" s="1"/>
  <c r="AG86" i="1" s="1"/>
  <c r="P86" i="1" s="1"/>
  <c r="Q86" i="1" s="1"/>
  <c r="AH86" i="1" s="1"/>
  <c r="R86" i="1" s="1"/>
  <c r="S86" i="1" s="1"/>
  <c r="AI86" i="1" s="1"/>
  <c r="T86" i="1" s="1"/>
  <c r="U86" i="1" s="1"/>
  <c r="AJ86" i="1" s="1"/>
  <c r="V86" i="1" s="1"/>
  <c r="W86" i="1" s="1"/>
  <c r="AK86" i="1" s="1"/>
  <c r="M85" i="1"/>
  <c r="AF85" i="1" s="1"/>
  <c r="N85" i="1" s="1"/>
  <c r="O85" i="1" s="1"/>
  <c r="AG85" i="1" s="1"/>
  <c r="P85" i="1" s="1"/>
  <c r="Q85" i="1" s="1"/>
  <c r="AH85" i="1" s="1"/>
  <c r="R85" i="1" s="1"/>
  <c r="S85" i="1" s="1"/>
  <c r="AI85" i="1" s="1"/>
  <c r="T85" i="1" s="1"/>
  <c r="U85" i="1" s="1"/>
  <c r="AJ85" i="1" s="1"/>
  <c r="V85" i="1" s="1"/>
  <c r="W85" i="1" s="1"/>
  <c r="AK85" i="1" s="1"/>
  <c r="M84" i="1"/>
  <c r="AF84" i="1" s="1"/>
  <c r="N84" i="1" s="1"/>
  <c r="O84" i="1" s="1"/>
  <c r="AG84" i="1" s="1"/>
  <c r="P84" i="1" s="1"/>
  <c r="Q84" i="1" s="1"/>
  <c r="AH84" i="1" s="1"/>
  <c r="R84" i="1" s="1"/>
  <c r="S84" i="1" s="1"/>
  <c r="AI84" i="1" s="1"/>
  <c r="T84" i="1" s="1"/>
  <c r="U84" i="1" s="1"/>
  <c r="AJ84" i="1" s="1"/>
  <c r="V84" i="1" s="1"/>
  <c r="W84" i="1" s="1"/>
  <c r="AK84" i="1" s="1"/>
  <c r="M83" i="1"/>
  <c r="AF83" i="1" s="1"/>
  <c r="N83" i="1" s="1"/>
  <c r="O83" i="1" s="1"/>
  <c r="AG83" i="1" s="1"/>
  <c r="P83" i="1" s="1"/>
  <c r="Q83" i="1" s="1"/>
  <c r="AH83" i="1" s="1"/>
  <c r="R83" i="1" s="1"/>
  <c r="S83" i="1" s="1"/>
  <c r="AI83" i="1" s="1"/>
  <c r="T83" i="1" s="1"/>
  <c r="U83" i="1" s="1"/>
  <c r="AJ83" i="1" s="1"/>
  <c r="V83" i="1" s="1"/>
  <c r="W83" i="1" s="1"/>
  <c r="AK83" i="1" s="1"/>
  <c r="M81" i="1"/>
  <c r="AF81" i="1" s="1"/>
  <c r="N81" i="1" s="1"/>
  <c r="O81" i="1" s="1"/>
  <c r="AG81" i="1" s="1"/>
  <c r="P81" i="1" s="1"/>
  <c r="Q81" i="1" s="1"/>
  <c r="AH81" i="1" s="1"/>
  <c r="R81" i="1" s="1"/>
  <c r="S81" i="1" s="1"/>
  <c r="AI81" i="1" s="1"/>
  <c r="T81" i="1" s="1"/>
  <c r="U81" i="1" s="1"/>
  <c r="AJ81" i="1" s="1"/>
  <c r="V81" i="1" s="1"/>
  <c r="W81" i="1" s="1"/>
  <c r="AK81" i="1" s="1"/>
  <c r="M78" i="1"/>
  <c r="AF78" i="1" s="1"/>
  <c r="N78" i="1" s="1"/>
  <c r="O78" i="1" s="1"/>
  <c r="AG78" i="1" s="1"/>
  <c r="P78" i="1" s="1"/>
  <c r="Q78" i="1" s="1"/>
  <c r="AH78" i="1" s="1"/>
  <c r="R78" i="1" s="1"/>
  <c r="S78" i="1" s="1"/>
  <c r="AI78" i="1" s="1"/>
  <c r="T78" i="1" s="1"/>
  <c r="U78" i="1" s="1"/>
  <c r="AJ78" i="1" s="1"/>
  <c r="V78" i="1" s="1"/>
  <c r="W78" i="1" s="1"/>
  <c r="AK78" i="1" s="1"/>
  <c r="M77" i="1"/>
  <c r="AF77" i="1" s="1"/>
  <c r="N77" i="1" s="1"/>
  <c r="O77" i="1" s="1"/>
  <c r="AG77" i="1" s="1"/>
  <c r="P77" i="1" s="1"/>
  <c r="Q77" i="1" s="1"/>
  <c r="AH77" i="1" s="1"/>
  <c r="R77" i="1" s="1"/>
  <c r="S77" i="1" s="1"/>
  <c r="AI77" i="1" s="1"/>
  <c r="T77" i="1" s="1"/>
  <c r="U77" i="1" s="1"/>
  <c r="AJ77" i="1" s="1"/>
  <c r="V77" i="1" s="1"/>
  <c r="W77" i="1" s="1"/>
  <c r="AK77" i="1" s="1"/>
  <c r="M76" i="1"/>
  <c r="AF76" i="1" s="1"/>
  <c r="N76" i="1" s="1"/>
  <c r="O76" i="1" s="1"/>
  <c r="AG76" i="1" s="1"/>
  <c r="P76" i="1" s="1"/>
  <c r="Q76" i="1" s="1"/>
  <c r="AH76" i="1" s="1"/>
  <c r="R76" i="1" s="1"/>
  <c r="S76" i="1" s="1"/>
  <c r="AI76" i="1" s="1"/>
  <c r="T76" i="1" s="1"/>
  <c r="U76" i="1" s="1"/>
  <c r="AJ76" i="1" s="1"/>
  <c r="V76" i="1" s="1"/>
  <c r="W76" i="1" s="1"/>
  <c r="AK76" i="1" s="1"/>
  <c r="M74" i="1"/>
  <c r="AF74" i="1" s="1"/>
  <c r="N74" i="1" s="1"/>
  <c r="O74" i="1" s="1"/>
  <c r="AG74" i="1" s="1"/>
  <c r="P74" i="1" s="1"/>
  <c r="Q74" i="1" s="1"/>
  <c r="AH74" i="1" s="1"/>
  <c r="R74" i="1" s="1"/>
  <c r="S74" i="1" s="1"/>
  <c r="AI74" i="1" s="1"/>
  <c r="T74" i="1" s="1"/>
  <c r="U74" i="1" s="1"/>
  <c r="AJ74" i="1" s="1"/>
  <c r="V74" i="1" s="1"/>
  <c r="W74" i="1" s="1"/>
  <c r="AK74" i="1" s="1"/>
  <c r="M73" i="1"/>
  <c r="AF73" i="1" s="1"/>
  <c r="N73" i="1" s="1"/>
  <c r="O73" i="1" s="1"/>
  <c r="AG73" i="1" s="1"/>
  <c r="P73" i="1" s="1"/>
  <c r="Q73" i="1" s="1"/>
  <c r="AH73" i="1" s="1"/>
  <c r="R73" i="1" s="1"/>
  <c r="S73" i="1" s="1"/>
  <c r="AI73" i="1" s="1"/>
  <c r="T73" i="1" s="1"/>
  <c r="U73" i="1" s="1"/>
  <c r="AJ73" i="1" s="1"/>
  <c r="V73" i="1" s="1"/>
  <c r="W73" i="1" s="1"/>
  <c r="AK73" i="1" s="1"/>
  <c r="M72" i="1"/>
  <c r="AF72" i="1" s="1"/>
  <c r="N72" i="1" s="1"/>
  <c r="O72" i="1" s="1"/>
  <c r="AG72" i="1" s="1"/>
  <c r="P72" i="1" s="1"/>
  <c r="Q72" i="1" s="1"/>
  <c r="AH72" i="1" s="1"/>
  <c r="R72" i="1" s="1"/>
  <c r="S72" i="1" s="1"/>
  <c r="AI72" i="1" s="1"/>
  <c r="T72" i="1" s="1"/>
  <c r="U72" i="1" s="1"/>
  <c r="AJ72" i="1" s="1"/>
  <c r="V72" i="1" s="1"/>
  <c r="W72" i="1" s="1"/>
  <c r="AK72" i="1" s="1"/>
  <c r="M66" i="1"/>
  <c r="AF66" i="1" s="1"/>
  <c r="N66" i="1" s="1"/>
  <c r="O66" i="1" s="1"/>
  <c r="AG66" i="1" s="1"/>
  <c r="P66" i="1" s="1"/>
  <c r="Q66" i="1" s="1"/>
  <c r="AH66" i="1" s="1"/>
  <c r="R66" i="1" s="1"/>
  <c r="S66" i="1" s="1"/>
  <c r="AI66" i="1" s="1"/>
  <c r="T66" i="1" s="1"/>
  <c r="U66" i="1" s="1"/>
  <c r="AJ66" i="1" s="1"/>
  <c r="V66" i="1" s="1"/>
  <c r="W66" i="1" s="1"/>
  <c r="AK66" i="1" s="1"/>
  <c r="M65" i="1"/>
  <c r="AF65" i="1" s="1"/>
  <c r="N65" i="1" s="1"/>
  <c r="O65" i="1" s="1"/>
  <c r="AG65" i="1" s="1"/>
  <c r="P65" i="1" s="1"/>
  <c r="Q65" i="1" s="1"/>
  <c r="AH65" i="1" s="1"/>
  <c r="R65" i="1" s="1"/>
  <c r="S65" i="1" s="1"/>
  <c r="AI65" i="1" s="1"/>
  <c r="T65" i="1" s="1"/>
  <c r="U65" i="1" s="1"/>
  <c r="AJ65" i="1" s="1"/>
  <c r="V65" i="1" s="1"/>
  <c r="W65" i="1" s="1"/>
  <c r="AK65" i="1" s="1"/>
  <c r="M64" i="1"/>
  <c r="AF64" i="1" s="1"/>
  <c r="N64" i="1" s="1"/>
  <c r="O64" i="1" s="1"/>
  <c r="AG64" i="1" s="1"/>
  <c r="P64" i="1" s="1"/>
  <c r="Q64" i="1" s="1"/>
  <c r="AH64" i="1" s="1"/>
  <c r="R64" i="1" s="1"/>
  <c r="S64" i="1" s="1"/>
  <c r="AI64" i="1" s="1"/>
  <c r="T64" i="1" s="1"/>
  <c r="U64" i="1" s="1"/>
  <c r="AJ64" i="1" s="1"/>
  <c r="V64" i="1" s="1"/>
  <c r="W64" i="1" s="1"/>
  <c r="AK64" i="1" s="1"/>
  <c r="M69" i="1"/>
  <c r="AF69" i="1" s="1"/>
  <c r="N69" i="1" s="1"/>
  <c r="O69" i="1" s="1"/>
  <c r="AG69" i="1" s="1"/>
  <c r="P69" i="1" s="1"/>
  <c r="Q69" i="1" s="1"/>
  <c r="AH69" i="1" s="1"/>
  <c r="R69" i="1" s="1"/>
  <c r="S69" i="1" s="1"/>
  <c r="AI69" i="1" s="1"/>
  <c r="T69" i="1" s="1"/>
  <c r="U69" i="1" s="1"/>
  <c r="AJ69" i="1" s="1"/>
  <c r="V69" i="1" s="1"/>
  <c r="W69" i="1" s="1"/>
  <c r="AK69" i="1" s="1"/>
  <c r="M58" i="1"/>
  <c r="AF58" i="1" s="1"/>
  <c r="N58" i="1" s="1"/>
  <c r="O58" i="1" s="1"/>
  <c r="AG58" i="1" s="1"/>
  <c r="P58" i="1" s="1"/>
  <c r="Q58" i="1" s="1"/>
  <c r="AH58" i="1" s="1"/>
  <c r="R58" i="1" s="1"/>
  <c r="S58" i="1" s="1"/>
  <c r="AI58" i="1" s="1"/>
  <c r="T58" i="1" s="1"/>
  <c r="U58" i="1" s="1"/>
  <c r="AJ58" i="1" s="1"/>
  <c r="V58" i="1" s="1"/>
  <c r="W58" i="1" s="1"/>
  <c r="AK58" i="1" s="1"/>
  <c r="M57" i="1"/>
  <c r="AF57" i="1" s="1"/>
  <c r="N57" i="1" s="1"/>
  <c r="O57" i="1" s="1"/>
  <c r="AG57" i="1" s="1"/>
  <c r="P57" i="1" s="1"/>
  <c r="Q57" i="1" s="1"/>
  <c r="AH57" i="1" s="1"/>
  <c r="R57" i="1" s="1"/>
  <c r="S57" i="1" s="1"/>
  <c r="AI57" i="1" s="1"/>
  <c r="T57" i="1" s="1"/>
  <c r="U57" i="1" s="1"/>
  <c r="AJ57" i="1" s="1"/>
  <c r="V57" i="1" s="1"/>
  <c r="W57" i="1" s="1"/>
  <c r="AK57" i="1" s="1"/>
  <c r="M56" i="1"/>
  <c r="M51" i="1"/>
  <c r="AF51" i="1" s="1"/>
  <c r="N51" i="1" s="1"/>
  <c r="O51" i="1" s="1"/>
  <c r="AG51" i="1" s="1"/>
  <c r="P51" i="1" s="1"/>
  <c r="Q51" i="1" s="1"/>
  <c r="AH51" i="1" s="1"/>
  <c r="R51" i="1" s="1"/>
  <c r="S51" i="1" s="1"/>
  <c r="AI51" i="1" s="1"/>
  <c r="T51" i="1" s="1"/>
  <c r="U51" i="1" s="1"/>
  <c r="AJ51" i="1" s="1"/>
  <c r="V51" i="1" s="1"/>
  <c r="W51" i="1" s="1"/>
  <c r="AK51" i="1" s="1"/>
  <c r="M50" i="1"/>
  <c r="AF50" i="1" s="1"/>
  <c r="N50" i="1" s="1"/>
  <c r="O50" i="1" s="1"/>
  <c r="AG50" i="1" s="1"/>
  <c r="P50" i="1" s="1"/>
  <c r="Q50" i="1" s="1"/>
  <c r="AH50" i="1" s="1"/>
  <c r="R50" i="1" s="1"/>
  <c r="S50" i="1" s="1"/>
  <c r="AI50" i="1" s="1"/>
  <c r="T50" i="1" s="1"/>
  <c r="U50" i="1" s="1"/>
  <c r="AJ50" i="1" s="1"/>
  <c r="V50" i="1" s="1"/>
  <c r="W50" i="1" s="1"/>
  <c r="AK50" i="1" s="1"/>
  <c r="M49" i="1"/>
  <c r="AF49" i="1" s="1"/>
  <c r="N49" i="1" s="1"/>
  <c r="O49" i="1" s="1"/>
  <c r="AG49" i="1" s="1"/>
  <c r="P49" i="1" s="1"/>
  <c r="Q49" i="1" s="1"/>
  <c r="AH49" i="1" s="1"/>
  <c r="R49" i="1" s="1"/>
  <c r="S49" i="1" s="1"/>
  <c r="AI49" i="1" s="1"/>
  <c r="T49" i="1" s="1"/>
  <c r="U49" i="1" s="1"/>
  <c r="AJ49" i="1" s="1"/>
  <c r="V49" i="1" s="1"/>
  <c r="W49" i="1" s="1"/>
  <c r="AK49" i="1" s="1"/>
  <c r="M48" i="1"/>
  <c r="M46" i="1"/>
  <c r="AF46" i="1" s="1"/>
  <c r="N46" i="1" s="1"/>
  <c r="O46" i="1" s="1"/>
  <c r="AG46" i="1" s="1"/>
  <c r="P46" i="1" s="1"/>
  <c r="Q46" i="1" s="1"/>
  <c r="AH46" i="1" s="1"/>
  <c r="R46" i="1" s="1"/>
  <c r="S46" i="1" s="1"/>
  <c r="AI46" i="1" s="1"/>
  <c r="T46" i="1" s="1"/>
  <c r="U46" i="1" s="1"/>
  <c r="AJ46" i="1" s="1"/>
  <c r="V46" i="1" s="1"/>
  <c r="W46" i="1" s="1"/>
  <c r="AK46" i="1" s="1"/>
  <c r="M45" i="1"/>
  <c r="AF45" i="1" s="1"/>
  <c r="N45" i="1" s="1"/>
  <c r="O45" i="1" s="1"/>
  <c r="AG45" i="1" s="1"/>
  <c r="P45" i="1" s="1"/>
  <c r="Q45" i="1" s="1"/>
  <c r="AH45" i="1" s="1"/>
  <c r="R45" i="1" s="1"/>
  <c r="S45" i="1" s="1"/>
  <c r="AI45" i="1" s="1"/>
  <c r="T45" i="1" s="1"/>
  <c r="U45" i="1" s="1"/>
  <c r="AJ45" i="1" s="1"/>
  <c r="V45" i="1" s="1"/>
  <c r="W45" i="1" s="1"/>
  <c r="AK45" i="1" s="1"/>
  <c r="AF38" i="1"/>
  <c r="AF37" i="1"/>
  <c r="AG37" i="1" s="1"/>
  <c r="M38" i="1"/>
  <c r="M37" i="1"/>
  <c r="J136" i="1"/>
  <c r="J60" i="1"/>
  <c r="AC13" i="1"/>
  <c r="AC11" i="1" s="1"/>
  <c r="AD13" i="1"/>
  <c r="AD11" i="1" s="1"/>
  <c r="J9" i="4"/>
  <c r="J13" i="1" s="1"/>
  <c r="J11" i="1" s="1"/>
  <c r="H9" i="4"/>
  <c r="H13" i="1" s="1"/>
  <c r="H11" i="1" s="1"/>
  <c r="F9" i="4"/>
  <c r="F13" i="1" s="1"/>
  <c r="F11" i="1" s="1"/>
  <c r="E9" i="4"/>
  <c r="E13" i="1" s="1"/>
  <c r="E11" i="1" s="1"/>
  <c r="C9" i="4"/>
  <c r="C13" i="1" s="1"/>
  <c r="C11" i="1" s="1"/>
  <c r="H30" i="4"/>
  <c r="H29" i="4"/>
  <c r="AD30" i="4"/>
  <c r="AD29" i="4"/>
  <c r="AH18" i="9" l="1"/>
  <c r="J38" i="9"/>
  <c r="I38" i="9"/>
  <c r="AH30" i="9"/>
  <c r="J41" i="9"/>
  <c r="H42" i="9"/>
  <c r="L93" i="1"/>
  <c r="L163" i="1"/>
  <c r="L160" i="1"/>
  <c r="AE160" i="1"/>
  <c r="AE163" i="1"/>
  <c r="K26" i="9"/>
  <c r="K31" i="9"/>
  <c r="I32" i="9"/>
  <c r="K28" i="9"/>
  <c r="K30" i="9"/>
  <c r="AF28" i="9"/>
  <c r="AF37" i="9"/>
  <c r="AF31" i="9"/>
  <c r="AF39" i="9"/>
  <c r="AG19" i="9"/>
  <c r="Q19" i="9"/>
  <c r="AH8" i="9"/>
  <c r="K12" i="9"/>
  <c r="M11" i="9"/>
  <c r="AG6" i="9"/>
  <c r="AG35" i="9"/>
  <c r="L31" i="9"/>
  <c r="L28" i="9"/>
  <c r="L30" i="9"/>
  <c r="J32" i="9"/>
  <c r="L26" i="9"/>
  <c r="T15" i="9"/>
  <c r="AI15" i="9"/>
  <c r="AI16" i="9" s="1"/>
  <c r="AI10" i="9"/>
  <c r="U29" i="9"/>
  <c r="AI29" i="9"/>
  <c r="AI30" i="9" s="1"/>
  <c r="T5" i="9"/>
  <c r="R35" i="9"/>
  <c r="AI5" i="9"/>
  <c r="I41" i="9"/>
  <c r="AE41" i="9"/>
  <c r="AE36" i="9"/>
  <c r="AD42" i="9"/>
  <c r="AE38" i="9"/>
  <c r="AE40" i="9"/>
  <c r="L41" i="9"/>
  <c r="L38" i="9"/>
  <c r="J42" i="9"/>
  <c r="L36" i="9"/>
  <c r="L40" i="9"/>
  <c r="V19" i="9"/>
  <c r="Q27" i="9"/>
  <c r="AG27" i="9"/>
  <c r="AH5" i="9"/>
  <c r="AF21" i="9"/>
  <c r="AE22" i="9"/>
  <c r="V27" i="9"/>
  <c r="J12" i="9"/>
  <c r="L6" i="9"/>
  <c r="L10" i="9"/>
  <c r="L11" i="9"/>
  <c r="L8" i="9"/>
  <c r="L22" i="9"/>
  <c r="N21" i="9"/>
  <c r="K21" i="9"/>
  <c r="K41" i="9" s="1"/>
  <c r="K18" i="9"/>
  <c r="I22" i="9"/>
  <c r="K20" i="9"/>
  <c r="K16" i="9"/>
  <c r="G42" i="9"/>
  <c r="I40" i="9"/>
  <c r="AG11" i="9"/>
  <c r="V17" i="9"/>
  <c r="AK17" i="9" s="1"/>
  <c r="AJ17" i="9"/>
  <c r="AJ18" i="9" s="1"/>
  <c r="V9" i="9"/>
  <c r="T39" i="9"/>
  <c r="AJ9" i="9"/>
  <c r="T7" i="9"/>
  <c r="R37" i="9"/>
  <c r="AI7" i="9"/>
  <c r="V25" i="9"/>
  <c r="AK25" i="9" s="1"/>
  <c r="AJ25" i="9"/>
  <c r="AJ26" i="9" s="1"/>
  <c r="AE140" i="1"/>
  <c r="AE156" i="1"/>
  <c r="AE155" i="1" s="1"/>
  <c r="AE20" i="1"/>
  <c r="AE21" i="1" s="1"/>
  <c r="L140" i="1"/>
  <c r="L156" i="1"/>
  <c r="L155" i="1" s="1"/>
  <c r="L20" i="1"/>
  <c r="L16" i="1"/>
  <c r="K62" i="1"/>
  <c r="R136" i="1"/>
  <c r="W136" i="1"/>
  <c r="S136" i="1"/>
  <c r="K91" i="1"/>
  <c r="AG38" i="1"/>
  <c r="AH38" i="1" s="1"/>
  <c r="C21" i="5"/>
  <c r="K120" i="1"/>
  <c r="AE93" i="1"/>
  <c r="K13" i="1"/>
  <c r="K11" i="1"/>
  <c r="M136" i="1"/>
  <c r="U136" i="1"/>
  <c r="V136" i="1"/>
  <c r="AE16" i="1"/>
  <c r="K7" i="1"/>
  <c r="P37" i="1"/>
  <c r="Q37" i="1" s="1"/>
  <c r="AH37" i="1"/>
  <c r="N37" i="1"/>
  <c r="O37" i="1" s="1"/>
  <c r="N38" i="1"/>
  <c r="O38" i="1" s="1"/>
  <c r="Q136" i="1"/>
  <c r="N136" i="1"/>
  <c r="P136" i="1"/>
  <c r="O136" i="1"/>
  <c r="T136" i="1"/>
  <c r="AF56" i="1"/>
  <c r="M61" i="1"/>
  <c r="AF48" i="1"/>
  <c r="AK30" i="4"/>
  <c r="AK131" i="1" s="1"/>
  <c r="AK29" i="4"/>
  <c r="AK132" i="1" s="1"/>
  <c r="AJ30" i="4"/>
  <c r="AJ131" i="1" s="1"/>
  <c r="AJ29" i="4"/>
  <c r="AJ132" i="1" s="1"/>
  <c r="AI30" i="4"/>
  <c r="AI131" i="1" s="1"/>
  <c r="AI29" i="4"/>
  <c r="AI132" i="1" s="1"/>
  <c r="AH30" i="4"/>
  <c r="AH131" i="1" s="1"/>
  <c r="AH29" i="4"/>
  <c r="AH132" i="1" s="1"/>
  <c r="AG30" i="4"/>
  <c r="AG131" i="1" s="1"/>
  <c r="AG29" i="4"/>
  <c r="AG132" i="1" s="1"/>
  <c r="J32" i="4"/>
  <c r="AD32" i="4"/>
  <c r="H32" i="4"/>
  <c r="AC32" i="4"/>
  <c r="F32" i="4"/>
  <c r="E32" i="4"/>
  <c r="C32" i="4"/>
  <c r="AF30" i="4"/>
  <c r="AD31" i="4"/>
  <c r="AE28" i="4" s="1"/>
  <c r="H31" i="4"/>
  <c r="I28" i="4" s="1"/>
  <c r="AC31" i="4"/>
  <c r="H28" i="4" s="1"/>
  <c r="F31" i="4"/>
  <c r="I29" i="4"/>
  <c r="J31" i="4"/>
  <c r="K28" i="4" s="1"/>
  <c r="C31" i="4"/>
  <c r="D28" i="4" s="1"/>
  <c r="E31" i="4"/>
  <c r="F28" i="4" s="1"/>
  <c r="N29" i="8"/>
  <c r="P29" i="8" s="1"/>
  <c r="N27" i="8"/>
  <c r="P27" i="8" s="1"/>
  <c r="R27" i="8" s="1"/>
  <c r="N25" i="8"/>
  <c r="P25" i="8" s="1"/>
  <c r="R25" i="8" s="1"/>
  <c r="T25" i="8" s="1"/>
  <c r="M19" i="8"/>
  <c r="AF19" i="8" s="1"/>
  <c r="AF20" i="8" s="1"/>
  <c r="N19" i="8"/>
  <c r="N17" i="8"/>
  <c r="P17" i="8" s="1"/>
  <c r="N15" i="8"/>
  <c r="N9" i="8"/>
  <c r="N7" i="8"/>
  <c r="N5" i="8"/>
  <c r="N29" i="7"/>
  <c r="N27" i="7"/>
  <c r="P27" i="7" s="1"/>
  <c r="N25" i="7"/>
  <c r="P25" i="7" s="1"/>
  <c r="R25" i="7" s="1"/>
  <c r="M19" i="7"/>
  <c r="O19" i="7" s="1"/>
  <c r="Q19" i="7" s="1"/>
  <c r="S19" i="7" s="1"/>
  <c r="U19" i="7" s="1"/>
  <c r="W19" i="7" s="1"/>
  <c r="N19" i="7"/>
  <c r="N17" i="7"/>
  <c r="N15" i="7"/>
  <c r="N9" i="7"/>
  <c r="N7" i="7"/>
  <c r="J39" i="2"/>
  <c r="J37" i="2"/>
  <c r="K37" i="2" s="1"/>
  <c r="J35" i="2"/>
  <c r="K35" i="2" s="1"/>
  <c r="N29" i="2"/>
  <c r="P29" i="2" s="1"/>
  <c r="N27" i="2"/>
  <c r="N25" i="2"/>
  <c r="P25" i="2" s="1"/>
  <c r="N19" i="2"/>
  <c r="N17" i="2"/>
  <c r="P17" i="2" s="1"/>
  <c r="R17" i="2" s="1"/>
  <c r="AC30" i="8"/>
  <c r="F30" i="8"/>
  <c r="AC28" i="8"/>
  <c r="F28" i="8"/>
  <c r="AC26" i="8"/>
  <c r="F26" i="8"/>
  <c r="AC20" i="8"/>
  <c r="F20" i="8"/>
  <c r="AC18" i="8"/>
  <c r="F18" i="8"/>
  <c r="AC16" i="8"/>
  <c r="F16" i="8"/>
  <c r="AC10" i="8"/>
  <c r="F10" i="8"/>
  <c r="AC8" i="8"/>
  <c r="F8" i="8"/>
  <c r="AC6" i="8"/>
  <c r="F6" i="8"/>
  <c r="D31" i="8"/>
  <c r="D21" i="8"/>
  <c r="D22" i="8" s="1"/>
  <c r="D11" i="8"/>
  <c r="F11" i="8"/>
  <c r="H11" i="8" s="1"/>
  <c r="J10" i="8" s="1"/>
  <c r="AC11" i="8"/>
  <c r="AD10" i="8" s="1"/>
  <c r="E41" i="8"/>
  <c r="E42" i="8" s="1"/>
  <c r="G9" i="8"/>
  <c r="G7" i="8"/>
  <c r="G5" i="8"/>
  <c r="G19" i="8"/>
  <c r="G17" i="8"/>
  <c r="G15" i="8"/>
  <c r="G29" i="8"/>
  <c r="G27" i="8"/>
  <c r="G25" i="8"/>
  <c r="I29" i="8"/>
  <c r="I27" i="8"/>
  <c r="I25" i="8"/>
  <c r="I19" i="8"/>
  <c r="I17" i="8"/>
  <c r="I15" i="8"/>
  <c r="I9" i="8"/>
  <c r="I7" i="8"/>
  <c r="I5" i="8"/>
  <c r="AC30" i="2"/>
  <c r="F30" i="2"/>
  <c r="AC28" i="2"/>
  <c r="F28" i="2"/>
  <c r="AC26" i="2"/>
  <c r="F26" i="2"/>
  <c r="AC20" i="2"/>
  <c r="F20" i="2"/>
  <c r="AC18" i="2"/>
  <c r="F18" i="2"/>
  <c r="AC16" i="2"/>
  <c r="F16" i="2"/>
  <c r="AC10" i="2"/>
  <c r="F10" i="2"/>
  <c r="AC8" i="2"/>
  <c r="F8" i="2"/>
  <c r="AC6" i="2"/>
  <c r="F6" i="2"/>
  <c r="AC30" i="7"/>
  <c r="F30" i="7"/>
  <c r="AC28" i="7"/>
  <c r="F28" i="7"/>
  <c r="AC26" i="7"/>
  <c r="F26" i="7"/>
  <c r="AC20" i="7"/>
  <c r="F20" i="7"/>
  <c r="AC18" i="7"/>
  <c r="F18" i="7"/>
  <c r="AC16" i="7"/>
  <c r="F16" i="7"/>
  <c r="AC10" i="7"/>
  <c r="F10" i="7"/>
  <c r="AC8" i="7"/>
  <c r="F8" i="7"/>
  <c r="AC6" i="7"/>
  <c r="F6" i="7"/>
  <c r="D31" i="7"/>
  <c r="D32" i="7" s="1"/>
  <c r="D21" i="7"/>
  <c r="D22" i="7" s="1"/>
  <c r="D11" i="7"/>
  <c r="G29" i="7"/>
  <c r="G27" i="7"/>
  <c r="G25" i="7"/>
  <c r="G19" i="7"/>
  <c r="G17" i="7"/>
  <c r="G15" i="7"/>
  <c r="G9" i="7"/>
  <c r="G7" i="7"/>
  <c r="G5" i="7"/>
  <c r="I29" i="7"/>
  <c r="I27" i="7"/>
  <c r="I25" i="7"/>
  <c r="I19" i="7"/>
  <c r="I17" i="7"/>
  <c r="I15" i="7"/>
  <c r="I9" i="7"/>
  <c r="I7" i="7"/>
  <c r="I5" i="7"/>
  <c r="D31" i="2"/>
  <c r="D21" i="2"/>
  <c r="D11" i="2"/>
  <c r="I29" i="2"/>
  <c r="I27" i="2"/>
  <c r="I25" i="2"/>
  <c r="I19" i="2"/>
  <c r="I17" i="2"/>
  <c r="I15" i="2"/>
  <c r="I9" i="2"/>
  <c r="I7" i="2"/>
  <c r="I5" i="2"/>
  <c r="G29" i="2"/>
  <c r="G27" i="2"/>
  <c r="G25" i="2"/>
  <c r="G19" i="2"/>
  <c r="G17" i="2"/>
  <c r="G15" i="2"/>
  <c r="G9" i="2"/>
  <c r="G10" i="2" s="1"/>
  <c r="G7" i="2"/>
  <c r="G5" i="2"/>
  <c r="AK3" i="4"/>
  <c r="AJ3" i="4"/>
  <c r="AI3" i="4"/>
  <c r="AH3" i="4"/>
  <c r="AG3" i="4"/>
  <c r="AF3" i="4"/>
  <c r="AD3" i="4"/>
  <c r="AC3" i="4"/>
  <c r="E3" i="4"/>
  <c r="F39" i="8"/>
  <c r="F37" i="8"/>
  <c r="F35" i="8"/>
  <c r="F31" i="8"/>
  <c r="H31" i="8" s="1"/>
  <c r="H32" i="8" s="1"/>
  <c r="F21" i="8"/>
  <c r="H21" i="8" s="1"/>
  <c r="H22" i="8" s="1"/>
  <c r="F39" i="7"/>
  <c r="F37" i="7"/>
  <c r="F35" i="7"/>
  <c r="F31" i="7"/>
  <c r="H28" i="7" s="1"/>
  <c r="F21" i="7"/>
  <c r="F22" i="7" s="1"/>
  <c r="F11" i="7"/>
  <c r="H11" i="7" s="1"/>
  <c r="H12" i="7" s="1"/>
  <c r="F39" i="2"/>
  <c r="F37" i="2"/>
  <c r="F35" i="2"/>
  <c r="F31" i="2"/>
  <c r="H28" i="2" s="1"/>
  <c r="F21" i="2"/>
  <c r="H21" i="2" s="1"/>
  <c r="J21" i="2" s="1"/>
  <c r="F11" i="2"/>
  <c r="H6" i="2" s="1"/>
  <c r="AC31" i="8"/>
  <c r="AC32" i="8" s="1"/>
  <c r="AC21" i="8"/>
  <c r="AC22" i="8" s="1"/>
  <c r="AC31" i="7"/>
  <c r="AC32" i="7" s="1"/>
  <c r="AC21" i="7"/>
  <c r="AC22" i="7" s="1"/>
  <c r="AC11" i="7"/>
  <c r="AD11" i="7" s="1"/>
  <c r="AC39" i="2"/>
  <c r="AC37" i="2"/>
  <c r="AC35" i="2"/>
  <c r="AC31" i="2"/>
  <c r="AD31" i="2" s="1"/>
  <c r="AC21" i="2"/>
  <c r="AD21" i="2" s="1"/>
  <c r="AC11" i="2"/>
  <c r="AD6" i="2" s="1"/>
  <c r="H39" i="8"/>
  <c r="AC39" i="8"/>
  <c r="H37" i="8"/>
  <c r="AC37" i="8"/>
  <c r="H35" i="8"/>
  <c r="AC35" i="8"/>
  <c r="H39" i="7"/>
  <c r="AC39" i="7"/>
  <c r="H37" i="7"/>
  <c r="AC37" i="7"/>
  <c r="H35" i="7"/>
  <c r="AC35" i="7"/>
  <c r="H31" i="7"/>
  <c r="J31" i="7" s="1"/>
  <c r="H21" i="7"/>
  <c r="J18" i="7" s="1"/>
  <c r="H39" i="2"/>
  <c r="H37" i="2"/>
  <c r="H35" i="2"/>
  <c r="AD39" i="8"/>
  <c r="AD37" i="8"/>
  <c r="AD35" i="8"/>
  <c r="AD39" i="7"/>
  <c r="AD37" i="7"/>
  <c r="AD35" i="7"/>
  <c r="AD39" i="2"/>
  <c r="AD37" i="2"/>
  <c r="AD35" i="2"/>
  <c r="J39" i="8"/>
  <c r="K39" i="8" s="1"/>
  <c r="J37" i="8"/>
  <c r="K37" i="8" s="1"/>
  <c r="J35" i="8"/>
  <c r="K35" i="8" s="1"/>
  <c r="J39" i="7"/>
  <c r="K39" i="7" s="1"/>
  <c r="J37" i="7"/>
  <c r="K37" i="7" s="1"/>
  <c r="J35" i="7"/>
  <c r="K35" i="7" s="1"/>
  <c r="E32" i="8"/>
  <c r="C32" i="8"/>
  <c r="E30" i="8"/>
  <c r="D30" i="8"/>
  <c r="C30" i="8"/>
  <c r="E28" i="8"/>
  <c r="D28" i="8"/>
  <c r="C28" i="8"/>
  <c r="E26" i="8"/>
  <c r="D26" i="8"/>
  <c r="C26" i="8"/>
  <c r="E22" i="8"/>
  <c r="E20" i="8"/>
  <c r="D20" i="8"/>
  <c r="C20" i="8"/>
  <c r="E18" i="8"/>
  <c r="D18" i="8"/>
  <c r="C18" i="8"/>
  <c r="E16" i="8"/>
  <c r="D16" i="8"/>
  <c r="C16" i="8"/>
  <c r="C12" i="8"/>
  <c r="E10" i="8"/>
  <c r="D10" i="8"/>
  <c r="C10" i="8"/>
  <c r="E8" i="8"/>
  <c r="D8" i="8"/>
  <c r="C8" i="8"/>
  <c r="E6" i="8"/>
  <c r="D6" i="8"/>
  <c r="C6" i="8"/>
  <c r="E32" i="7"/>
  <c r="C32" i="7"/>
  <c r="E30" i="7"/>
  <c r="D30" i="7"/>
  <c r="C30" i="7"/>
  <c r="E28" i="7"/>
  <c r="D28" i="7"/>
  <c r="C28" i="7"/>
  <c r="E26" i="7"/>
  <c r="D26" i="7"/>
  <c r="C26" i="7"/>
  <c r="E22" i="7"/>
  <c r="C22" i="7"/>
  <c r="E20" i="7"/>
  <c r="D20" i="7"/>
  <c r="C20" i="7"/>
  <c r="E18" i="7"/>
  <c r="D18" i="7"/>
  <c r="C18" i="7"/>
  <c r="E16" i="7"/>
  <c r="D16" i="7"/>
  <c r="C16" i="7"/>
  <c r="E12" i="7"/>
  <c r="E41" i="7"/>
  <c r="E42" i="7" s="1"/>
  <c r="C12" i="7"/>
  <c r="E10" i="7"/>
  <c r="D10" i="7"/>
  <c r="C10" i="7"/>
  <c r="E8" i="7"/>
  <c r="D8" i="7"/>
  <c r="C8" i="7"/>
  <c r="E6" i="7"/>
  <c r="D6" i="7"/>
  <c r="C6" i="7"/>
  <c r="AC113" i="1"/>
  <c r="G113" i="1" s="1"/>
  <c r="C113" i="1"/>
  <c r="D113" i="1" s="1"/>
  <c r="J113" i="1"/>
  <c r="K113" i="1" s="1"/>
  <c r="H113" i="1"/>
  <c r="I112" i="1"/>
  <c r="I111" i="1"/>
  <c r="AD113" i="1"/>
  <c r="G111" i="1"/>
  <c r="C60" i="1"/>
  <c r="D137" i="1"/>
  <c r="C109" i="1"/>
  <c r="C115" i="1" s="1"/>
  <c r="F52" i="1"/>
  <c r="F109" i="1"/>
  <c r="H89" i="1"/>
  <c r="H60" i="1"/>
  <c r="H52" i="1"/>
  <c r="J89" i="1"/>
  <c r="J68" i="1"/>
  <c r="J70" i="1" s="1"/>
  <c r="J52" i="1"/>
  <c r="I17" i="1"/>
  <c r="I32" i="4" s="1"/>
  <c r="D17" i="1"/>
  <c r="D32" i="4" s="1"/>
  <c r="G17" i="1"/>
  <c r="G32" i="4" s="1"/>
  <c r="I11" i="1"/>
  <c r="G11" i="1"/>
  <c r="D11" i="1"/>
  <c r="E127" i="1"/>
  <c r="D114" i="1"/>
  <c r="D108" i="1"/>
  <c r="D107" i="1"/>
  <c r="D106" i="1"/>
  <c r="D105" i="1"/>
  <c r="D104" i="1"/>
  <c r="D103" i="1"/>
  <c r="D102" i="1"/>
  <c r="D9" i="4" s="1"/>
  <c r="D101" i="1"/>
  <c r="D100" i="1"/>
  <c r="D99" i="1"/>
  <c r="D98" i="1"/>
  <c r="D97" i="1"/>
  <c r="E109" i="1"/>
  <c r="D116" i="1"/>
  <c r="D90" i="1"/>
  <c r="D88" i="1"/>
  <c r="D87" i="1"/>
  <c r="D86" i="1"/>
  <c r="D85" i="1"/>
  <c r="D84" i="1"/>
  <c r="E89" i="1"/>
  <c r="E79" i="1"/>
  <c r="D77" i="1"/>
  <c r="D76" i="1"/>
  <c r="D75" i="1"/>
  <c r="D31" i="4" s="1"/>
  <c r="E28" i="4" s="1"/>
  <c r="D67" i="1"/>
  <c r="D61" i="1"/>
  <c r="D57" i="1"/>
  <c r="D48" i="1"/>
  <c r="C52" i="1"/>
  <c r="E52" i="1"/>
  <c r="G137" i="1"/>
  <c r="I137" i="1"/>
  <c r="I133" i="1"/>
  <c r="AD136" i="1"/>
  <c r="H136" i="1"/>
  <c r="F136" i="1"/>
  <c r="E136" i="1"/>
  <c r="C136" i="1"/>
  <c r="AC136" i="1"/>
  <c r="AC127" i="1"/>
  <c r="I114" i="1"/>
  <c r="I108" i="1"/>
  <c r="I107" i="1"/>
  <c r="I106" i="1"/>
  <c r="I105" i="1"/>
  <c r="I104" i="1"/>
  <c r="I103" i="1"/>
  <c r="I102" i="1"/>
  <c r="I9" i="4" s="1"/>
  <c r="I101" i="1"/>
  <c r="I100" i="1"/>
  <c r="I99" i="1"/>
  <c r="I98" i="1"/>
  <c r="I97" i="1"/>
  <c r="I96" i="1"/>
  <c r="J119" i="1"/>
  <c r="AD119" i="1"/>
  <c r="H119" i="1"/>
  <c r="F119" i="1"/>
  <c r="E119" i="1"/>
  <c r="C119" i="1"/>
  <c r="AC119" i="1"/>
  <c r="G108" i="1"/>
  <c r="G107" i="1"/>
  <c r="G106" i="1"/>
  <c r="G105" i="1"/>
  <c r="G104" i="1"/>
  <c r="G103" i="1"/>
  <c r="G102" i="1"/>
  <c r="G9" i="4" s="1"/>
  <c r="G101" i="1"/>
  <c r="G100" i="1"/>
  <c r="G99" i="1"/>
  <c r="G98" i="1"/>
  <c r="G97" i="1"/>
  <c r="AC109" i="1"/>
  <c r="AC115" i="1" s="1"/>
  <c r="G90" i="1"/>
  <c r="G77" i="1"/>
  <c r="G76" i="1"/>
  <c r="G75" i="1"/>
  <c r="G31" i="4" s="1"/>
  <c r="G86" i="1"/>
  <c r="G84" i="1"/>
  <c r="AC52" i="1"/>
  <c r="G48" i="1"/>
  <c r="I48" i="1"/>
  <c r="I61" i="1"/>
  <c r="G61" i="1"/>
  <c r="I57" i="1"/>
  <c r="G57" i="1"/>
  <c r="AD68" i="1"/>
  <c r="AD70" i="1" s="1"/>
  <c r="H68" i="1"/>
  <c r="H70" i="1" s="1"/>
  <c r="F68" i="1"/>
  <c r="F70" i="1" s="1"/>
  <c r="E68" i="1"/>
  <c r="E70" i="1" s="1"/>
  <c r="C68" i="1"/>
  <c r="C70" i="1" s="1"/>
  <c r="J79" i="1"/>
  <c r="H79" i="1"/>
  <c r="AC79" i="1"/>
  <c r="F79" i="1"/>
  <c r="C79" i="1"/>
  <c r="I77" i="1"/>
  <c r="I76" i="1"/>
  <c r="I75" i="1"/>
  <c r="I31" i="4" s="1"/>
  <c r="AC89" i="1"/>
  <c r="F89" i="1"/>
  <c r="C89" i="1"/>
  <c r="I86" i="1"/>
  <c r="I84" i="1"/>
  <c r="AD89" i="1"/>
  <c r="AD79" i="1"/>
  <c r="AC68" i="1"/>
  <c r="AC70" i="1" s="1"/>
  <c r="I67" i="1"/>
  <c r="G67" i="1"/>
  <c r="AD52" i="1"/>
  <c r="I5" i="1"/>
  <c r="I16" i="4" s="1"/>
  <c r="I69" i="1"/>
  <c r="G69" i="1"/>
  <c r="C14" i="5"/>
  <c r="D5" i="5"/>
  <c r="AK7" i="4"/>
  <c r="AJ7" i="4"/>
  <c r="AI7" i="4"/>
  <c r="AH7" i="4"/>
  <c r="AG7" i="4"/>
  <c r="AF7" i="4"/>
  <c r="D8" i="4"/>
  <c r="G8" i="4"/>
  <c r="I8" i="4"/>
  <c r="C31" i="5"/>
  <c r="J5" i="4"/>
  <c r="K5" i="4" s="1"/>
  <c r="K6" i="4" s="1"/>
  <c r="AD5" i="4"/>
  <c r="H5" i="4"/>
  <c r="H6" i="4" s="1"/>
  <c r="AC5" i="4"/>
  <c r="AC6" i="4" s="1"/>
  <c r="F5" i="4"/>
  <c r="F6" i="4" s="1"/>
  <c r="E5" i="4"/>
  <c r="E6" i="4" s="1"/>
  <c r="C5" i="4"/>
  <c r="C6" i="4" s="1"/>
  <c r="C11" i="4"/>
  <c r="J11" i="4"/>
  <c r="K4" i="4" s="1"/>
  <c r="K10" i="4" s="1"/>
  <c r="AD11" i="4"/>
  <c r="AE4" i="4" s="1"/>
  <c r="H11" i="4"/>
  <c r="I4" i="4" s="1"/>
  <c r="AC11" i="4"/>
  <c r="AD4" i="4" s="1"/>
  <c r="F11" i="4"/>
  <c r="G4" i="4" s="1"/>
  <c r="E11" i="4"/>
  <c r="AC4" i="4" s="1"/>
  <c r="AF29" i="4"/>
  <c r="J20" i="4"/>
  <c r="AD20" i="4"/>
  <c r="H20" i="4"/>
  <c r="AC20" i="4"/>
  <c r="F20" i="4"/>
  <c r="E20" i="4"/>
  <c r="C20" i="4"/>
  <c r="J19" i="4"/>
  <c r="AD19" i="4"/>
  <c r="H19" i="4"/>
  <c r="AC19" i="4"/>
  <c r="F19" i="4"/>
  <c r="E19" i="4"/>
  <c r="C19" i="4"/>
  <c r="J18" i="4"/>
  <c r="AD18" i="4"/>
  <c r="H18" i="4"/>
  <c r="AC18" i="4"/>
  <c r="F18" i="4"/>
  <c r="E18" i="4"/>
  <c r="C18" i="4"/>
  <c r="J16" i="4"/>
  <c r="AD16" i="4"/>
  <c r="H16" i="4"/>
  <c r="AC16" i="4"/>
  <c r="F16" i="4"/>
  <c r="E16" i="4"/>
  <c r="C16" i="4"/>
  <c r="J15" i="4"/>
  <c r="AD15" i="4"/>
  <c r="H15" i="4"/>
  <c r="AC15" i="4"/>
  <c r="F15" i="4"/>
  <c r="E15" i="4"/>
  <c r="C15" i="4"/>
  <c r="I123" i="1"/>
  <c r="I124" i="1"/>
  <c r="D133" i="1"/>
  <c r="G133" i="1"/>
  <c r="D123" i="1"/>
  <c r="D124" i="1"/>
  <c r="G123" i="1"/>
  <c r="G124" i="1"/>
  <c r="D139" i="1"/>
  <c r="D129" i="1"/>
  <c r="D132" i="1"/>
  <c r="D131" i="1"/>
  <c r="D134" i="1"/>
  <c r="D130" i="1"/>
  <c r="D126" i="1"/>
  <c r="D125" i="1"/>
  <c r="D122" i="1"/>
  <c r="D117" i="1"/>
  <c r="D118" i="1"/>
  <c r="D112" i="1"/>
  <c r="D111" i="1"/>
  <c r="D110" i="1"/>
  <c r="D96" i="1"/>
  <c r="G139" i="1"/>
  <c r="G129" i="1"/>
  <c r="G132" i="1"/>
  <c r="G131" i="1"/>
  <c r="G134" i="1"/>
  <c r="G130" i="1"/>
  <c r="G126" i="1"/>
  <c r="G125" i="1"/>
  <c r="G122" i="1"/>
  <c r="G117" i="1"/>
  <c r="G116" i="1"/>
  <c r="G118" i="1"/>
  <c r="G112" i="1"/>
  <c r="G96" i="1"/>
  <c r="G114" i="1"/>
  <c r="F127" i="1"/>
  <c r="I139" i="1"/>
  <c r="I129" i="1"/>
  <c r="I132" i="1"/>
  <c r="I131" i="1"/>
  <c r="I134" i="1"/>
  <c r="I130" i="1"/>
  <c r="I126" i="1"/>
  <c r="I125" i="1"/>
  <c r="I122" i="1"/>
  <c r="I117" i="1"/>
  <c r="I116" i="1"/>
  <c r="I118" i="1"/>
  <c r="J12" i="1"/>
  <c r="AD127" i="1"/>
  <c r="H127" i="1"/>
  <c r="C127" i="1"/>
  <c r="AD109" i="1"/>
  <c r="H109" i="1"/>
  <c r="J127" i="1"/>
  <c r="J109" i="1"/>
  <c r="D81" i="1"/>
  <c r="D83" i="1"/>
  <c r="D82" i="1"/>
  <c r="D20" i="4" s="1"/>
  <c r="D74" i="1"/>
  <c r="D72" i="1"/>
  <c r="D73" i="1"/>
  <c r="D78" i="1"/>
  <c r="D69" i="1"/>
  <c r="D66" i="1"/>
  <c r="D65" i="1"/>
  <c r="D64" i="1"/>
  <c r="D59" i="1"/>
  <c r="D58" i="1"/>
  <c r="D56" i="1"/>
  <c r="D55" i="1"/>
  <c r="D19" i="4" s="1"/>
  <c r="D54" i="1"/>
  <c r="D18" i="4" s="1"/>
  <c r="D51" i="1"/>
  <c r="D50" i="1"/>
  <c r="D49" i="1"/>
  <c r="D47" i="1"/>
  <c r="D11" i="4" s="1"/>
  <c r="D45" i="1"/>
  <c r="D46" i="1"/>
  <c r="G88" i="1"/>
  <c r="G81" i="1"/>
  <c r="G83" i="1"/>
  <c r="G87" i="1"/>
  <c r="G82" i="1"/>
  <c r="G20" i="4" s="1"/>
  <c r="G85" i="1"/>
  <c r="G74" i="1"/>
  <c r="G72" i="1"/>
  <c r="G73" i="1"/>
  <c r="G78" i="1"/>
  <c r="G66" i="1"/>
  <c r="G65" i="1"/>
  <c r="G64" i="1"/>
  <c r="G59" i="1"/>
  <c r="G58" i="1"/>
  <c r="G56" i="1"/>
  <c r="G55" i="1"/>
  <c r="G19" i="4" s="1"/>
  <c r="G54" i="1"/>
  <c r="G18" i="4" s="1"/>
  <c r="G51" i="1"/>
  <c r="G50" i="1"/>
  <c r="G49" i="1"/>
  <c r="G47" i="1"/>
  <c r="G11" i="4" s="1"/>
  <c r="G45" i="1"/>
  <c r="G46" i="1"/>
  <c r="I88" i="1"/>
  <c r="I81" i="1"/>
  <c r="I83" i="1"/>
  <c r="I87" i="1"/>
  <c r="I82" i="1"/>
  <c r="I20" i="4" s="1"/>
  <c r="I85" i="1"/>
  <c r="I74" i="1"/>
  <c r="I72" i="1"/>
  <c r="I73" i="1"/>
  <c r="I78" i="1"/>
  <c r="I66" i="1"/>
  <c r="I65" i="1"/>
  <c r="I64" i="1"/>
  <c r="I59" i="1"/>
  <c r="I58" i="1"/>
  <c r="I56" i="1"/>
  <c r="I55" i="1"/>
  <c r="I19" i="4" s="1"/>
  <c r="I54" i="1"/>
  <c r="I18" i="4" s="1"/>
  <c r="I51" i="1"/>
  <c r="I50" i="1"/>
  <c r="I49" i="1"/>
  <c r="I47" i="1"/>
  <c r="I11" i="4" s="1"/>
  <c r="I45" i="1"/>
  <c r="I46" i="1"/>
  <c r="AC60" i="1"/>
  <c r="F60" i="1"/>
  <c r="E60" i="1"/>
  <c r="AD60" i="1"/>
  <c r="C44" i="1"/>
  <c r="C95" i="1" s="1"/>
  <c r="D44" i="1"/>
  <c r="D95" i="1" s="1"/>
  <c r="E44" i="1"/>
  <c r="E95" i="1" s="1"/>
  <c r="F44" i="1"/>
  <c r="F95" i="1" s="1"/>
  <c r="G44" i="1"/>
  <c r="G95" i="1" s="1"/>
  <c r="AC44" i="1"/>
  <c r="AC95" i="1" s="1"/>
  <c r="H44" i="1"/>
  <c r="H95" i="1" s="1"/>
  <c r="I44" i="1"/>
  <c r="I95" i="1" s="1"/>
  <c r="AD44" i="1"/>
  <c r="AD95" i="1" s="1"/>
  <c r="J44" i="1"/>
  <c r="J95" i="1" s="1"/>
  <c r="C12" i="1"/>
  <c r="D13" i="1"/>
  <c r="G13" i="1"/>
  <c r="I13" i="1"/>
  <c r="F12" i="1"/>
  <c r="E12" i="1"/>
  <c r="AC12" i="1"/>
  <c r="AD12" i="1"/>
  <c r="M3" i="1"/>
  <c r="AF3" i="1"/>
  <c r="N3" i="1"/>
  <c r="O3" i="1"/>
  <c r="AG3" i="1"/>
  <c r="P3" i="1"/>
  <c r="Q3" i="1"/>
  <c r="AH3" i="1"/>
  <c r="R3" i="1"/>
  <c r="S3" i="1"/>
  <c r="AI3" i="1"/>
  <c r="T3" i="1"/>
  <c r="U3" i="1"/>
  <c r="AJ3" i="1"/>
  <c r="V3" i="1"/>
  <c r="W3" i="1"/>
  <c r="AK3" i="1"/>
  <c r="N9" i="2"/>
  <c r="P9" i="2" s="1"/>
  <c r="N7" i="2"/>
  <c r="E6" i="2"/>
  <c r="D6" i="2"/>
  <c r="C6" i="2"/>
  <c r="E8" i="2"/>
  <c r="D8" i="2"/>
  <c r="C8" i="2"/>
  <c r="E10" i="2"/>
  <c r="D10" i="2"/>
  <c r="C10" i="2"/>
  <c r="E26" i="2"/>
  <c r="D26" i="2"/>
  <c r="C26" i="2"/>
  <c r="E28" i="2"/>
  <c r="D28" i="2"/>
  <c r="C28" i="2"/>
  <c r="E30" i="2"/>
  <c r="D30" i="2"/>
  <c r="C30" i="2"/>
  <c r="E16" i="2"/>
  <c r="D16" i="2"/>
  <c r="C16" i="2"/>
  <c r="E18" i="2"/>
  <c r="D18" i="2"/>
  <c r="C18" i="2"/>
  <c r="E20" i="2"/>
  <c r="D20" i="2"/>
  <c r="C20" i="2"/>
  <c r="C12" i="2"/>
  <c r="D38" i="1"/>
  <c r="D37" i="1"/>
  <c r="D26" i="1"/>
  <c r="D29" i="1"/>
  <c r="D24" i="1"/>
  <c r="D22" i="1"/>
  <c r="D19" i="1"/>
  <c r="D18" i="1"/>
  <c r="D14" i="1"/>
  <c r="D5" i="1"/>
  <c r="D16" i="4" s="1"/>
  <c r="D4" i="1"/>
  <c r="D15" i="4" s="1"/>
  <c r="G38" i="1"/>
  <c r="G37" i="1"/>
  <c r="G26" i="1"/>
  <c r="G29" i="1"/>
  <c r="G24" i="1"/>
  <c r="G22" i="1"/>
  <c r="G19" i="1"/>
  <c r="G18" i="1"/>
  <c r="G14" i="1"/>
  <c r="G5" i="1"/>
  <c r="G16" i="4" s="1"/>
  <c r="G4" i="1"/>
  <c r="G15" i="4" s="1"/>
  <c r="I38" i="1"/>
  <c r="I37" i="1"/>
  <c r="I26" i="1"/>
  <c r="I29" i="1"/>
  <c r="I24" i="1"/>
  <c r="I22" i="1"/>
  <c r="I19" i="1"/>
  <c r="I18" i="1"/>
  <c r="I14" i="1"/>
  <c r="I4" i="1"/>
  <c r="F6" i="1"/>
  <c r="J6" i="1"/>
  <c r="AC6" i="1"/>
  <c r="E6" i="1"/>
  <c r="C6" i="1"/>
  <c r="AD6" i="1"/>
  <c r="AE27" i="1" l="1"/>
  <c r="AE30" i="1" s="1"/>
  <c r="AE150" i="1" s="1"/>
  <c r="AE23" i="1"/>
  <c r="K160" i="1"/>
  <c r="AD11" i="8"/>
  <c r="AE10" i="8" s="1"/>
  <c r="G18" i="8"/>
  <c r="F22" i="8"/>
  <c r="AD31" i="8"/>
  <c r="AE26" i="8" s="1"/>
  <c r="G31" i="8"/>
  <c r="I30" i="8" s="1"/>
  <c r="G10" i="8"/>
  <c r="AD26" i="8"/>
  <c r="G6" i="8"/>
  <c r="D32" i="8"/>
  <c r="G28" i="8"/>
  <c r="AC38" i="8"/>
  <c r="H10" i="8"/>
  <c r="I37" i="8"/>
  <c r="G30" i="8"/>
  <c r="J20" i="8"/>
  <c r="G16" i="8"/>
  <c r="G20" i="8"/>
  <c r="G8" i="8"/>
  <c r="AC36" i="8"/>
  <c r="I35" i="8"/>
  <c r="G26" i="8"/>
  <c r="J16" i="8"/>
  <c r="G39" i="8"/>
  <c r="D12" i="8"/>
  <c r="J6" i="8"/>
  <c r="AD18" i="8"/>
  <c r="G37" i="8"/>
  <c r="H20" i="8"/>
  <c r="H6" i="8"/>
  <c r="J8" i="8"/>
  <c r="AD30" i="8"/>
  <c r="H8" i="8"/>
  <c r="AD16" i="8"/>
  <c r="I39" i="8"/>
  <c r="G21" i="8"/>
  <c r="G22" i="8" s="1"/>
  <c r="AD8" i="8"/>
  <c r="G11" i="8"/>
  <c r="J26" i="8"/>
  <c r="J18" i="8"/>
  <c r="J30" i="8"/>
  <c r="H16" i="8"/>
  <c r="H28" i="8"/>
  <c r="AD21" i="8"/>
  <c r="G35" i="8"/>
  <c r="AD6" i="8"/>
  <c r="AD28" i="8"/>
  <c r="AD20" i="8"/>
  <c r="AC40" i="8"/>
  <c r="J28" i="8"/>
  <c r="H26" i="8"/>
  <c r="H18" i="8"/>
  <c r="H30" i="8"/>
  <c r="G37" i="7"/>
  <c r="G16" i="7"/>
  <c r="G18" i="7"/>
  <c r="I35" i="7"/>
  <c r="G39" i="7"/>
  <c r="G20" i="7"/>
  <c r="G26" i="7"/>
  <c r="G28" i="7"/>
  <c r="G30" i="7"/>
  <c r="AC12" i="7"/>
  <c r="AD8" i="7"/>
  <c r="G11" i="7"/>
  <c r="I11" i="7" s="1"/>
  <c r="I12" i="7" s="1"/>
  <c r="I37" i="7"/>
  <c r="H10" i="7"/>
  <c r="D12" i="7"/>
  <c r="G21" i="7"/>
  <c r="I20" i="7" s="1"/>
  <c r="H20" i="7"/>
  <c r="J30" i="7"/>
  <c r="G6" i="7"/>
  <c r="G31" i="7"/>
  <c r="I30" i="7" s="1"/>
  <c r="AC36" i="7"/>
  <c r="G8" i="7"/>
  <c r="G10" i="7"/>
  <c r="J6" i="7"/>
  <c r="AC38" i="7"/>
  <c r="H8" i="7"/>
  <c r="G35" i="7"/>
  <c r="J10" i="7"/>
  <c r="J16" i="7"/>
  <c r="AD20" i="7"/>
  <c r="AD28" i="7"/>
  <c r="J32" i="7"/>
  <c r="L28" i="7"/>
  <c r="L26" i="7"/>
  <c r="L31" i="7"/>
  <c r="L32" i="7" s="1"/>
  <c r="L30" i="7"/>
  <c r="H6" i="7"/>
  <c r="J20" i="7"/>
  <c r="J26" i="7"/>
  <c r="H30" i="7"/>
  <c r="AD10" i="7"/>
  <c r="H16" i="7"/>
  <c r="H26" i="7"/>
  <c r="AD30" i="7"/>
  <c r="AC40" i="7"/>
  <c r="AD6" i="7"/>
  <c r="AD16" i="7"/>
  <c r="AD26" i="7"/>
  <c r="AD21" i="7"/>
  <c r="AE10" i="7"/>
  <c r="AE11" i="7"/>
  <c r="AE12" i="7" s="1"/>
  <c r="AE8" i="7"/>
  <c r="AE6" i="7"/>
  <c r="I39" i="7"/>
  <c r="J8" i="7"/>
  <c r="H18" i="7"/>
  <c r="J28" i="7"/>
  <c r="AD18" i="7"/>
  <c r="K42" i="9"/>
  <c r="M36" i="9"/>
  <c r="AI8" i="9"/>
  <c r="AG12" i="9"/>
  <c r="AH11" i="9"/>
  <c r="N22" i="9"/>
  <c r="P21" i="9"/>
  <c r="AF41" i="9"/>
  <c r="AE42" i="9"/>
  <c r="AF36" i="9"/>
  <c r="L32" i="9"/>
  <c r="N31" i="9"/>
  <c r="AJ10" i="9"/>
  <c r="L12" i="9"/>
  <c r="N11" i="9"/>
  <c r="AH6" i="9"/>
  <c r="AH35" i="9"/>
  <c r="AI35" i="9"/>
  <c r="AI6" i="9"/>
  <c r="AG20" i="9"/>
  <c r="AG39" i="9"/>
  <c r="S19" i="9"/>
  <c r="AH19" i="9"/>
  <c r="AG28" i="9"/>
  <c r="AG37" i="9"/>
  <c r="N41" i="9"/>
  <c r="L42" i="9"/>
  <c r="N40" i="9"/>
  <c r="N38" i="9"/>
  <c r="N36" i="9"/>
  <c r="AJ15" i="9"/>
  <c r="AJ16" i="9" s="1"/>
  <c r="V15" i="9"/>
  <c r="AK15" i="9" s="1"/>
  <c r="M12" i="9"/>
  <c r="O11" i="9"/>
  <c r="O35" i="9"/>
  <c r="V39" i="9"/>
  <c r="AK9" i="9"/>
  <c r="S27" i="9"/>
  <c r="AH27" i="9"/>
  <c r="AJ5" i="9"/>
  <c r="T35" i="9"/>
  <c r="V5" i="9"/>
  <c r="AF40" i="9"/>
  <c r="M39" i="9"/>
  <c r="M40" i="9" s="1"/>
  <c r="AF22" i="9"/>
  <c r="AG21" i="9"/>
  <c r="I42" i="9"/>
  <c r="K36" i="9"/>
  <c r="K38" i="9"/>
  <c r="K40" i="9"/>
  <c r="AG31" i="9"/>
  <c r="AF32" i="9"/>
  <c r="K32" i="9"/>
  <c r="M31" i="9"/>
  <c r="T37" i="9"/>
  <c r="AJ7" i="9"/>
  <c r="V7" i="9"/>
  <c r="AK26" i="9"/>
  <c r="AK18" i="9"/>
  <c r="K22" i="9"/>
  <c r="M21" i="9"/>
  <c r="W29" i="9"/>
  <c r="AK29" i="9" s="1"/>
  <c r="AJ29" i="9"/>
  <c r="AJ30" i="9" s="1"/>
  <c r="M37" i="9"/>
  <c r="M38" i="9" s="1"/>
  <c r="AF38" i="9"/>
  <c r="G26" i="2"/>
  <c r="G28" i="2"/>
  <c r="G30" i="2"/>
  <c r="G6" i="2"/>
  <c r="H11" i="2"/>
  <c r="J11" i="2" s="1"/>
  <c r="L10" i="2" s="1"/>
  <c r="G8" i="2"/>
  <c r="I35" i="2"/>
  <c r="G18" i="2"/>
  <c r="I39" i="2"/>
  <c r="G35" i="2"/>
  <c r="AD11" i="2"/>
  <c r="AE11" i="2" s="1"/>
  <c r="AE12" i="2" s="1"/>
  <c r="I37" i="2"/>
  <c r="G20" i="2"/>
  <c r="G21" i="2"/>
  <c r="I16" i="2" s="1"/>
  <c r="AD8" i="2"/>
  <c r="G16" i="2"/>
  <c r="H16" i="2"/>
  <c r="H30" i="2"/>
  <c r="AD30" i="2"/>
  <c r="G11" i="2"/>
  <c r="I11" i="2" s="1"/>
  <c r="K11" i="2" s="1"/>
  <c r="G37" i="2"/>
  <c r="G31" i="2"/>
  <c r="I31" i="2" s="1"/>
  <c r="H8" i="2"/>
  <c r="L16" i="2"/>
  <c r="L18" i="2"/>
  <c r="L21" i="2"/>
  <c r="L22" i="2" s="1"/>
  <c r="L20" i="2"/>
  <c r="K39" i="2"/>
  <c r="H31" i="2"/>
  <c r="H32" i="2" s="1"/>
  <c r="AD16" i="2"/>
  <c r="H26" i="2"/>
  <c r="H10" i="2"/>
  <c r="AD26" i="2"/>
  <c r="H18" i="2"/>
  <c r="AE18" i="2"/>
  <c r="AE16" i="2"/>
  <c r="AE21" i="2"/>
  <c r="AE22" i="2" s="1"/>
  <c r="AE20" i="2"/>
  <c r="AD18" i="2"/>
  <c r="AE28" i="2"/>
  <c r="AE30" i="2"/>
  <c r="AE26" i="2"/>
  <c r="AE31" i="2"/>
  <c r="AE32" i="2" s="1"/>
  <c r="G39" i="2"/>
  <c r="AD10" i="2"/>
  <c r="J20" i="2"/>
  <c r="J16" i="2"/>
  <c r="H20" i="2"/>
  <c r="AD28" i="2"/>
  <c r="J18" i="2"/>
  <c r="AD20" i="2"/>
  <c r="K140" i="1"/>
  <c r="K156" i="1"/>
  <c r="N39" i="7"/>
  <c r="N39" i="8"/>
  <c r="L23" i="1"/>
  <c r="L21" i="1"/>
  <c r="L27" i="1"/>
  <c r="E62" i="1"/>
  <c r="P38" i="1"/>
  <c r="Q38" i="1" s="1"/>
  <c r="H62" i="1"/>
  <c r="AC7" i="1"/>
  <c r="AC10" i="1"/>
  <c r="F15" i="1"/>
  <c r="F10" i="1"/>
  <c r="AE10" i="4"/>
  <c r="AE7" i="4"/>
  <c r="AE12" i="4" s="1"/>
  <c r="J7" i="1"/>
  <c r="J10" i="1"/>
  <c r="AD15" i="1"/>
  <c r="AD157" i="1" s="1"/>
  <c r="AD149" i="1" s="1"/>
  <c r="AD10" i="1"/>
  <c r="C7" i="1"/>
  <c r="C10" i="1"/>
  <c r="E7" i="1"/>
  <c r="E10" i="1"/>
  <c r="O19" i="8"/>
  <c r="Q19" i="8" s="1"/>
  <c r="S19" i="8" s="1"/>
  <c r="U19" i="8" s="1"/>
  <c r="W19" i="8" s="1"/>
  <c r="AF19" i="7"/>
  <c r="AF20" i="7" s="1"/>
  <c r="K15" i="1"/>
  <c r="K163" i="1" s="1"/>
  <c r="K93" i="1"/>
  <c r="AG136" i="1"/>
  <c r="AH136" i="1"/>
  <c r="J91" i="1"/>
  <c r="R38" i="1"/>
  <c r="S38" i="1" s="1"/>
  <c r="AI38" i="1"/>
  <c r="AI37" i="1"/>
  <c r="R37" i="1"/>
  <c r="S37" i="1" s="1"/>
  <c r="AK136" i="1"/>
  <c r="AJ136" i="1"/>
  <c r="AF136" i="1"/>
  <c r="AI136" i="1"/>
  <c r="AF61" i="1"/>
  <c r="N56" i="1"/>
  <c r="N48" i="1"/>
  <c r="I30" i="4"/>
  <c r="J4" i="4"/>
  <c r="J7" i="4" s="1"/>
  <c r="M9" i="2"/>
  <c r="O9" i="2" s="1"/>
  <c r="Q9" i="2" s="1"/>
  <c r="S9" i="2" s="1"/>
  <c r="U9" i="2" s="1"/>
  <c r="W9" i="2" s="1"/>
  <c r="P7" i="2"/>
  <c r="R9" i="2"/>
  <c r="M7" i="2"/>
  <c r="O7" i="2" s="1"/>
  <c r="Q7" i="2" s="1"/>
  <c r="S7" i="2" s="1"/>
  <c r="U7" i="2" s="1"/>
  <c r="W7" i="2" s="1"/>
  <c r="T17" i="2"/>
  <c r="V17" i="2" s="1"/>
  <c r="P19" i="2"/>
  <c r="P39" i="2" s="1"/>
  <c r="N15" i="2"/>
  <c r="P15" i="2" s="1"/>
  <c r="R15" i="2" s="1"/>
  <c r="N5" i="2"/>
  <c r="P5" i="2" s="1"/>
  <c r="R29" i="2"/>
  <c r="N39" i="2"/>
  <c r="P27" i="2"/>
  <c r="N37" i="2"/>
  <c r="R25" i="2"/>
  <c r="D89" i="1"/>
  <c r="E15" i="1"/>
  <c r="D79" i="1"/>
  <c r="C91" i="1"/>
  <c r="E91" i="1"/>
  <c r="AC120" i="1"/>
  <c r="D52" i="1"/>
  <c r="AC15" i="1"/>
  <c r="C15" i="1"/>
  <c r="J15" i="1"/>
  <c r="M9" i="8"/>
  <c r="R17" i="8"/>
  <c r="M25" i="8"/>
  <c r="T27" i="8"/>
  <c r="P7" i="8"/>
  <c r="N37" i="8"/>
  <c r="P19" i="8"/>
  <c r="M29" i="8"/>
  <c r="O29" i="8" s="1"/>
  <c r="Q29" i="8" s="1"/>
  <c r="S29" i="8" s="1"/>
  <c r="U29" i="8" s="1"/>
  <c r="W29" i="8" s="1"/>
  <c r="N35" i="8"/>
  <c r="M15" i="8"/>
  <c r="O15" i="8" s="1"/>
  <c r="Q15" i="8" s="1"/>
  <c r="S15" i="8" s="1"/>
  <c r="U15" i="8" s="1"/>
  <c r="W15" i="8" s="1"/>
  <c r="P15" i="8"/>
  <c r="V25" i="8"/>
  <c r="R29" i="8"/>
  <c r="M17" i="8"/>
  <c r="O17" i="8" s="1"/>
  <c r="M7" i="8"/>
  <c r="O7" i="8" s="1"/>
  <c r="Q7" i="8" s="1"/>
  <c r="S7" i="8" s="1"/>
  <c r="U7" i="8" s="1"/>
  <c r="W7" i="8" s="1"/>
  <c r="P9" i="8"/>
  <c r="P5" i="8"/>
  <c r="M27" i="8"/>
  <c r="P19" i="7"/>
  <c r="AG19" i="7"/>
  <c r="T25" i="7"/>
  <c r="M27" i="7"/>
  <c r="M15" i="7"/>
  <c r="O15" i="7" s="1"/>
  <c r="Q15" i="7" s="1"/>
  <c r="S15" i="7" s="1"/>
  <c r="U15" i="7" s="1"/>
  <c r="W15" i="7" s="1"/>
  <c r="P15" i="7"/>
  <c r="R27" i="7"/>
  <c r="P7" i="7"/>
  <c r="N37" i="7"/>
  <c r="M17" i="7"/>
  <c r="O17" i="7" s="1"/>
  <c r="Q17" i="7" s="1"/>
  <c r="S17" i="7" s="1"/>
  <c r="U17" i="7" s="1"/>
  <c r="W17" i="7" s="1"/>
  <c r="M29" i="7"/>
  <c r="O29" i="7" s="1"/>
  <c r="Q29" i="7" s="1"/>
  <c r="S29" i="7" s="1"/>
  <c r="U29" i="7" s="1"/>
  <c r="W29" i="7" s="1"/>
  <c r="P17" i="7"/>
  <c r="M25" i="7"/>
  <c r="P29" i="7"/>
  <c r="N5" i="7"/>
  <c r="M7" i="7"/>
  <c r="P9" i="7"/>
  <c r="M9" i="7"/>
  <c r="M29" i="2"/>
  <c r="O29" i="2" s="1"/>
  <c r="Q29" i="2" s="1"/>
  <c r="S29" i="2" s="1"/>
  <c r="U29" i="2" s="1"/>
  <c r="W29" i="2" s="1"/>
  <c r="M27" i="2"/>
  <c r="AF27" i="2" s="1"/>
  <c r="AF28" i="2" s="1"/>
  <c r="M25" i="2"/>
  <c r="O25" i="2" s="1"/>
  <c r="Q25" i="2" s="1"/>
  <c r="S25" i="2" s="1"/>
  <c r="U25" i="2" s="1"/>
  <c r="W25" i="2" s="1"/>
  <c r="M19" i="2"/>
  <c r="O19" i="2" s="1"/>
  <c r="Q19" i="2" s="1"/>
  <c r="S19" i="2" s="1"/>
  <c r="U19" i="2" s="1"/>
  <c r="W19" i="2" s="1"/>
  <c r="M17" i="2"/>
  <c r="O17" i="2" s="1"/>
  <c r="Q17" i="2" s="1"/>
  <c r="S17" i="2" s="1"/>
  <c r="U17" i="2" s="1"/>
  <c r="W17" i="2" s="1"/>
  <c r="E12" i="8"/>
  <c r="J11" i="8"/>
  <c r="H12" i="8"/>
  <c r="F32" i="7"/>
  <c r="F22" i="2"/>
  <c r="AC12" i="8"/>
  <c r="AC41" i="8"/>
  <c r="AD36" i="8" s="1"/>
  <c r="AD31" i="7"/>
  <c r="AC41" i="7"/>
  <c r="AD40" i="7" s="1"/>
  <c r="J31" i="8"/>
  <c r="J21" i="8"/>
  <c r="H32" i="7"/>
  <c r="H22" i="7"/>
  <c r="J21" i="7"/>
  <c r="J11" i="7"/>
  <c r="AD12" i="7"/>
  <c r="F32" i="8"/>
  <c r="C41" i="8"/>
  <c r="F38" i="8" s="1"/>
  <c r="F12" i="8"/>
  <c r="D41" i="8"/>
  <c r="D42" i="8" s="1"/>
  <c r="C22" i="8"/>
  <c r="F12" i="7"/>
  <c r="C41" i="7"/>
  <c r="F38" i="7" s="1"/>
  <c r="D41" i="7"/>
  <c r="D42" i="7" s="1"/>
  <c r="F41" i="2"/>
  <c r="H38" i="2" s="1"/>
  <c r="D41" i="2"/>
  <c r="E41" i="2"/>
  <c r="AC41" i="2" s="1"/>
  <c r="AD40" i="2" s="1"/>
  <c r="C41" i="2"/>
  <c r="F38" i="2" s="1"/>
  <c r="G110" i="1"/>
  <c r="I113" i="1"/>
  <c r="I110" i="1"/>
  <c r="D119" i="1"/>
  <c r="D109" i="1"/>
  <c r="G127" i="1"/>
  <c r="G119" i="1"/>
  <c r="G109" i="1"/>
  <c r="I136" i="1"/>
  <c r="G136" i="1"/>
  <c r="D136" i="1"/>
  <c r="I119" i="1"/>
  <c r="F62" i="1"/>
  <c r="G68" i="1"/>
  <c r="G70" i="1" s="1"/>
  <c r="AD91" i="1"/>
  <c r="I52" i="1"/>
  <c r="G52" i="1"/>
  <c r="AC62" i="1"/>
  <c r="AC91" i="1"/>
  <c r="I68" i="1"/>
  <c r="I70" i="1" s="1"/>
  <c r="D68" i="1"/>
  <c r="D70" i="1" s="1"/>
  <c r="I89" i="1"/>
  <c r="I79" i="1"/>
  <c r="G79" i="1"/>
  <c r="C62" i="1"/>
  <c r="J62" i="1"/>
  <c r="G89" i="1"/>
  <c r="AD62" i="1"/>
  <c r="E33" i="4"/>
  <c r="I33" i="4"/>
  <c r="I2" i="4"/>
  <c r="AD2" i="4"/>
  <c r="E2" i="4"/>
  <c r="C120" i="1"/>
  <c r="C2" i="4"/>
  <c r="I5" i="4"/>
  <c r="I6" i="4" s="1"/>
  <c r="H6" i="1"/>
  <c r="H10" i="1" s="1"/>
  <c r="E22" i="2"/>
  <c r="J12" i="2"/>
  <c r="D12" i="2"/>
  <c r="F12" i="2"/>
  <c r="AC22" i="2"/>
  <c r="H22" i="2"/>
  <c r="C22" i="2"/>
  <c r="AD22" i="2"/>
  <c r="D22" i="2"/>
  <c r="J22" i="2"/>
  <c r="E5" i="5"/>
  <c r="D14" i="5"/>
  <c r="G33" i="4"/>
  <c r="C33" i="4"/>
  <c r="E7" i="4"/>
  <c r="AD6" i="4"/>
  <c r="AD7" i="4"/>
  <c r="AD12" i="4" s="1"/>
  <c r="D5" i="4"/>
  <c r="D6" i="4" s="1"/>
  <c r="J28" i="4"/>
  <c r="J29" i="4" s="1"/>
  <c r="K29" i="4" s="1"/>
  <c r="K30" i="4" s="1"/>
  <c r="G5" i="4"/>
  <c r="G6" i="4" s="1"/>
  <c r="C10" i="4"/>
  <c r="D33" i="4"/>
  <c r="AD28" i="4"/>
  <c r="AC7" i="4"/>
  <c r="H4" i="4"/>
  <c r="D29" i="4"/>
  <c r="S2" i="4"/>
  <c r="AF2" i="4"/>
  <c r="H2" i="4"/>
  <c r="AC28" i="4"/>
  <c r="AC30" i="4" s="1"/>
  <c r="AI2" i="4"/>
  <c r="AK2" i="4"/>
  <c r="R2" i="4"/>
  <c r="M2" i="4"/>
  <c r="AC2" i="4"/>
  <c r="I15" i="4"/>
  <c r="I23" i="4" s="1"/>
  <c r="T2" i="4"/>
  <c r="O2" i="4"/>
  <c r="W2" i="4"/>
  <c r="AH2" i="4"/>
  <c r="G2" i="4"/>
  <c r="J33" i="4"/>
  <c r="V2" i="4"/>
  <c r="Q2" i="4"/>
  <c r="F2" i="4"/>
  <c r="F4" i="4"/>
  <c r="F7" i="4" s="1"/>
  <c r="N2" i="4"/>
  <c r="AJ2" i="4"/>
  <c r="P2" i="4"/>
  <c r="F33" i="4"/>
  <c r="H33" i="4"/>
  <c r="U2" i="4"/>
  <c r="AG2" i="4"/>
  <c r="J2" i="4"/>
  <c r="D2" i="4"/>
  <c r="AD10" i="4"/>
  <c r="E29" i="4"/>
  <c r="E30" i="4" s="1"/>
  <c r="AD33" i="4"/>
  <c r="F29" i="4"/>
  <c r="F30" i="4" s="1"/>
  <c r="H22" i="4"/>
  <c r="I22" i="4"/>
  <c r="I24" i="4"/>
  <c r="AC33" i="4"/>
  <c r="G28" i="4"/>
  <c r="G23" i="4"/>
  <c r="C23" i="4"/>
  <c r="AD23" i="4"/>
  <c r="F23" i="4"/>
  <c r="G22" i="4"/>
  <c r="G24" i="4"/>
  <c r="E23" i="4"/>
  <c r="H24" i="4"/>
  <c r="E24" i="4"/>
  <c r="C22" i="4"/>
  <c r="AD22" i="4"/>
  <c r="C24" i="4"/>
  <c r="AD24" i="4"/>
  <c r="D22" i="4"/>
  <c r="J22" i="4"/>
  <c r="AC23" i="4"/>
  <c r="D24" i="4"/>
  <c r="J24" i="4"/>
  <c r="H23" i="4"/>
  <c r="F22" i="4"/>
  <c r="F24" i="4"/>
  <c r="AC22" i="4"/>
  <c r="D23" i="4"/>
  <c r="J23" i="4"/>
  <c r="AC24" i="4"/>
  <c r="E22" i="4"/>
  <c r="AC10" i="4"/>
  <c r="E10" i="4"/>
  <c r="J6" i="4"/>
  <c r="G8" i="1"/>
  <c r="J115" i="1"/>
  <c r="J120" i="1" s="1"/>
  <c r="I60" i="1"/>
  <c r="H115" i="1"/>
  <c r="H120" i="1" s="1"/>
  <c r="H91" i="1"/>
  <c r="G60" i="1"/>
  <c r="F115" i="1"/>
  <c r="F120" i="1" s="1"/>
  <c r="D127" i="1"/>
  <c r="I127" i="1"/>
  <c r="E115" i="1"/>
  <c r="E120" i="1" s="1"/>
  <c r="I109" i="1"/>
  <c r="AD115" i="1"/>
  <c r="AD120" i="1" s="1"/>
  <c r="D8" i="1"/>
  <c r="D60" i="1"/>
  <c r="F91" i="1"/>
  <c r="I8" i="1"/>
  <c r="H12" i="1"/>
  <c r="G6" i="1"/>
  <c r="D6" i="1"/>
  <c r="I6" i="1"/>
  <c r="F32" i="2"/>
  <c r="D32" i="2"/>
  <c r="AC32" i="2"/>
  <c r="C32" i="2"/>
  <c r="AD32" i="2"/>
  <c r="AC12" i="2"/>
  <c r="E32" i="2"/>
  <c r="E12" i="2"/>
  <c r="F7" i="1"/>
  <c r="AD7" i="1"/>
  <c r="AK16" i="9" l="1"/>
  <c r="M41" i="9"/>
  <c r="M42" i="9" s="1"/>
  <c r="AD16" i="1"/>
  <c r="AE28" i="1"/>
  <c r="AE25" i="1"/>
  <c r="F156" i="1"/>
  <c r="F163" i="1"/>
  <c r="F160" i="1"/>
  <c r="AC163" i="1"/>
  <c r="AC160" i="1"/>
  <c r="AD156" i="1"/>
  <c r="AD155" i="1" s="1"/>
  <c r="AD160" i="1"/>
  <c r="AD163" i="1"/>
  <c r="H156" i="1"/>
  <c r="H160" i="1"/>
  <c r="J156" i="1"/>
  <c r="J160" i="1"/>
  <c r="J163" i="1"/>
  <c r="E163" i="1"/>
  <c r="E160" i="1"/>
  <c r="C156" i="1"/>
  <c r="C160" i="1"/>
  <c r="C163" i="1"/>
  <c r="AD12" i="8"/>
  <c r="AE11" i="8"/>
  <c r="AE12" i="8" s="1"/>
  <c r="AE6" i="8"/>
  <c r="AE8" i="8"/>
  <c r="AD32" i="8"/>
  <c r="G32" i="8"/>
  <c r="I26" i="8"/>
  <c r="AE28" i="8"/>
  <c r="AE31" i="8"/>
  <c r="AE32" i="8" s="1"/>
  <c r="AE30" i="8"/>
  <c r="I31" i="8"/>
  <c r="I28" i="8"/>
  <c r="AD38" i="8"/>
  <c r="AD40" i="8"/>
  <c r="I16" i="8"/>
  <c r="F36" i="8"/>
  <c r="I11" i="8"/>
  <c r="I12" i="8" s="1"/>
  <c r="I8" i="8"/>
  <c r="G36" i="8"/>
  <c r="J32" i="8"/>
  <c r="L30" i="8"/>
  <c r="L28" i="8"/>
  <c r="L26" i="8"/>
  <c r="L31" i="8"/>
  <c r="J12" i="8"/>
  <c r="L10" i="8"/>
  <c r="L11" i="8"/>
  <c r="L8" i="8"/>
  <c r="L6" i="8"/>
  <c r="AD22" i="8"/>
  <c r="AE21" i="8"/>
  <c r="AE22" i="8" s="1"/>
  <c r="AE20" i="8"/>
  <c r="AE18" i="8"/>
  <c r="AE16" i="8"/>
  <c r="I21" i="8"/>
  <c r="I18" i="8"/>
  <c r="G40" i="8"/>
  <c r="I20" i="8"/>
  <c r="I6" i="8"/>
  <c r="J22" i="8"/>
  <c r="L18" i="8"/>
  <c r="L16" i="8"/>
  <c r="L21" i="8"/>
  <c r="L22" i="8" s="1"/>
  <c r="L20" i="8"/>
  <c r="I10" i="8"/>
  <c r="F40" i="8"/>
  <c r="AC42" i="8"/>
  <c r="AD41" i="8"/>
  <c r="AD42" i="8" s="1"/>
  <c r="G38" i="8"/>
  <c r="G12" i="7"/>
  <c r="I26" i="7"/>
  <c r="I18" i="7"/>
  <c r="I16" i="7"/>
  <c r="G22" i="7"/>
  <c r="I8" i="7"/>
  <c r="I6" i="7"/>
  <c r="G32" i="7"/>
  <c r="AD38" i="7"/>
  <c r="I31" i="7"/>
  <c r="K26" i="7" s="1"/>
  <c r="I10" i="7"/>
  <c r="N31" i="7"/>
  <c r="P31" i="7" s="1"/>
  <c r="AD36" i="7"/>
  <c r="I21" i="7"/>
  <c r="K18" i="7" s="1"/>
  <c r="I28" i="7"/>
  <c r="F36" i="7"/>
  <c r="G38" i="7"/>
  <c r="G40" i="7"/>
  <c r="AD22" i="7"/>
  <c r="AE16" i="7"/>
  <c r="AE21" i="7"/>
  <c r="AE22" i="7" s="1"/>
  <c r="AE20" i="7"/>
  <c r="AE18" i="7"/>
  <c r="C42" i="7"/>
  <c r="F40" i="7"/>
  <c r="J12" i="7"/>
  <c r="L11" i="7"/>
  <c r="L12" i="7" s="1"/>
  <c r="L8" i="7"/>
  <c r="L6" i="7"/>
  <c r="L10" i="7"/>
  <c r="AD32" i="7"/>
  <c r="AE28" i="7"/>
  <c r="AE26" i="7"/>
  <c r="AE30" i="7"/>
  <c r="AE31" i="7"/>
  <c r="AE32" i="7" s="1"/>
  <c r="K8" i="7"/>
  <c r="K10" i="7"/>
  <c r="K11" i="7"/>
  <c r="K6" i="7"/>
  <c r="J22" i="7"/>
  <c r="L21" i="7"/>
  <c r="L22" i="7" s="1"/>
  <c r="L20" i="7"/>
  <c r="L18" i="7"/>
  <c r="L16" i="7"/>
  <c r="F41" i="7"/>
  <c r="F42" i="7" s="1"/>
  <c r="G36" i="7"/>
  <c r="AJ8" i="9"/>
  <c r="AJ35" i="9"/>
  <c r="AJ6" i="9"/>
  <c r="R21" i="9"/>
  <c r="P22" i="9"/>
  <c r="AK30" i="9"/>
  <c r="AH28" i="9"/>
  <c r="AH37" i="9"/>
  <c r="N42" i="9"/>
  <c r="P41" i="9"/>
  <c r="P40" i="9"/>
  <c r="P36" i="9"/>
  <c r="P38" i="9"/>
  <c r="N32" i="9"/>
  <c r="P31" i="9"/>
  <c r="M32" i="9"/>
  <c r="O31" i="9"/>
  <c r="S35" i="9"/>
  <c r="AI11" i="9"/>
  <c r="AH12" i="9"/>
  <c r="M22" i="9"/>
  <c r="O21" i="9"/>
  <c r="AK10" i="9"/>
  <c r="Q35" i="9"/>
  <c r="AG40" i="9"/>
  <c r="O39" i="9"/>
  <c r="AG22" i="9"/>
  <c r="AH21" i="9"/>
  <c r="U27" i="9"/>
  <c r="AI27" i="9"/>
  <c r="AG38" i="9"/>
  <c r="O37" i="9"/>
  <c r="AK7" i="9"/>
  <c r="V37" i="9"/>
  <c r="Q11" i="9"/>
  <c r="O12" i="9"/>
  <c r="AG32" i="9"/>
  <c r="AH31" i="9"/>
  <c r="AH20" i="9"/>
  <c r="AH39" i="9"/>
  <c r="P11" i="9"/>
  <c r="N12" i="9"/>
  <c r="AG41" i="9"/>
  <c r="AF42" i="9"/>
  <c r="V35" i="9"/>
  <c r="AK5" i="9"/>
  <c r="AG36" i="9"/>
  <c r="U19" i="9"/>
  <c r="AI19" i="9"/>
  <c r="AE8" i="2"/>
  <c r="AE6" i="2"/>
  <c r="G32" i="2"/>
  <c r="H12" i="2"/>
  <c r="AD12" i="2"/>
  <c r="I30" i="2"/>
  <c r="AE10" i="2"/>
  <c r="J8" i="2"/>
  <c r="L6" i="2"/>
  <c r="J6" i="2"/>
  <c r="L8" i="2"/>
  <c r="I6" i="2"/>
  <c r="L11" i="2"/>
  <c r="L12" i="2" s="1"/>
  <c r="J10" i="2"/>
  <c r="I20" i="2"/>
  <c r="I26" i="2"/>
  <c r="G22" i="2"/>
  <c r="I28" i="2"/>
  <c r="I8" i="2"/>
  <c r="K10" i="2"/>
  <c r="AD36" i="2"/>
  <c r="AC36" i="2"/>
  <c r="K8" i="2"/>
  <c r="I12" i="2"/>
  <c r="I18" i="2"/>
  <c r="I10" i="2"/>
  <c r="K6" i="2"/>
  <c r="G12" i="2"/>
  <c r="I21" i="2"/>
  <c r="I22" i="2" s="1"/>
  <c r="G38" i="2"/>
  <c r="G41" i="2"/>
  <c r="I40" i="2" s="1"/>
  <c r="AD41" i="2"/>
  <c r="AE40" i="2" s="1"/>
  <c r="I32" i="2"/>
  <c r="AC40" i="2"/>
  <c r="G40" i="2"/>
  <c r="J30" i="2"/>
  <c r="J28" i="2"/>
  <c r="J31" i="2"/>
  <c r="J26" i="2"/>
  <c r="F40" i="2"/>
  <c r="AC38" i="2"/>
  <c r="H41" i="2"/>
  <c r="H40" i="2"/>
  <c r="K12" i="2"/>
  <c r="F36" i="2"/>
  <c r="G36" i="2"/>
  <c r="K26" i="2"/>
  <c r="K30" i="2"/>
  <c r="K28" i="2"/>
  <c r="K31" i="2"/>
  <c r="K32" i="2" s="1"/>
  <c r="H36" i="2"/>
  <c r="AD38" i="2"/>
  <c r="J20" i="1"/>
  <c r="J157" i="1"/>
  <c r="E20" i="1"/>
  <c r="E27" i="1" s="1"/>
  <c r="E157" i="1"/>
  <c r="C20" i="1"/>
  <c r="C27" i="1" s="1"/>
  <c r="C157" i="1"/>
  <c r="F20" i="1"/>
  <c r="F21" i="1" s="1"/>
  <c r="F157" i="1"/>
  <c r="AC20" i="1"/>
  <c r="AC23" i="1" s="1"/>
  <c r="AC157" i="1"/>
  <c r="K16" i="1"/>
  <c r="K157" i="1"/>
  <c r="K155" i="1" s="1"/>
  <c r="AD20" i="1"/>
  <c r="AD27" i="1" s="1"/>
  <c r="AD25" i="1" s="1"/>
  <c r="AC140" i="1"/>
  <c r="AC143" i="1" s="1"/>
  <c r="AD142" i="1" s="1"/>
  <c r="AC156" i="1"/>
  <c r="E140" i="1"/>
  <c r="E156" i="1"/>
  <c r="G12" i="1"/>
  <c r="G9" i="1"/>
  <c r="I12" i="1"/>
  <c r="I9" i="1"/>
  <c r="D12" i="1"/>
  <c r="D9" i="1"/>
  <c r="L25" i="1"/>
  <c r="L30" i="1"/>
  <c r="AG20" i="7"/>
  <c r="L28" i="1"/>
  <c r="G10" i="1"/>
  <c r="D62" i="1"/>
  <c r="K7" i="4"/>
  <c r="I7" i="1"/>
  <c r="I10" i="1"/>
  <c r="D7" i="1"/>
  <c r="D10" i="1"/>
  <c r="AG19" i="8"/>
  <c r="AG20" i="8" s="1"/>
  <c r="AG29" i="8"/>
  <c r="AH29" i="8"/>
  <c r="AF15" i="7"/>
  <c r="AF16" i="7" s="1"/>
  <c r="AG29" i="7"/>
  <c r="AF17" i="7"/>
  <c r="AF18" i="7" s="1"/>
  <c r="AG17" i="7"/>
  <c r="K20" i="1"/>
  <c r="J10" i="4"/>
  <c r="AJ38" i="1"/>
  <c r="T38" i="1"/>
  <c r="U38" i="1" s="1"/>
  <c r="T37" i="1"/>
  <c r="U37" i="1" s="1"/>
  <c r="AJ37" i="1"/>
  <c r="AE33" i="1"/>
  <c r="AE34" i="1"/>
  <c r="AF29" i="2"/>
  <c r="AF30" i="2" s="1"/>
  <c r="J12" i="4"/>
  <c r="O56" i="1"/>
  <c r="N61" i="1"/>
  <c r="O48" i="1"/>
  <c r="G29" i="4"/>
  <c r="G30" i="4" s="1"/>
  <c r="AH9" i="2"/>
  <c r="AG9" i="2"/>
  <c r="AF9" i="2"/>
  <c r="AF10" i="2" s="1"/>
  <c r="AK17" i="2"/>
  <c r="AI9" i="2"/>
  <c r="T9" i="2"/>
  <c r="AH7" i="2"/>
  <c r="R7" i="2"/>
  <c r="AF7" i="2"/>
  <c r="AF8" i="2" s="1"/>
  <c r="AG7" i="2"/>
  <c r="AG25" i="2"/>
  <c r="AG17" i="2"/>
  <c r="AH17" i="2"/>
  <c r="AJ17" i="2"/>
  <c r="AH19" i="2"/>
  <c r="R19" i="2"/>
  <c r="R39" i="2" s="1"/>
  <c r="AG19" i="2"/>
  <c r="M15" i="2"/>
  <c r="O15" i="2" s="1"/>
  <c r="Q15" i="2" s="1"/>
  <c r="S15" i="2" s="1"/>
  <c r="U15" i="2" s="1"/>
  <c r="W15" i="2" s="1"/>
  <c r="AH25" i="2"/>
  <c r="AI17" i="2"/>
  <c r="N21" i="2"/>
  <c r="P35" i="2"/>
  <c r="N35" i="2"/>
  <c r="T15" i="2"/>
  <c r="R5" i="2"/>
  <c r="T5" i="2" s="1"/>
  <c r="AG29" i="2"/>
  <c r="T29" i="2"/>
  <c r="AI29" i="2"/>
  <c r="AH29" i="2"/>
  <c r="R27" i="2"/>
  <c r="O27" i="2"/>
  <c r="T25" i="2"/>
  <c r="AI25" i="2"/>
  <c r="I15" i="1"/>
  <c r="H15" i="1"/>
  <c r="H163" i="1" s="1"/>
  <c r="R9" i="8"/>
  <c r="P39" i="8"/>
  <c r="O25" i="8"/>
  <c r="AF25" i="8"/>
  <c r="AF26" i="8" s="1"/>
  <c r="AF15" i="8"/>
  <c r="AG15" i="8"/>
  <c r="AG7" i="8"/>
  <c r="AG17" i="8"/>
  <c r="Q17" i="8"/>
  <c r="AF7" i="8"/>
  <c r="AH15" i="8"/>
  <c r="R15" i="8"/>
  <c r="V27" i="8"/>
  <c r="R7" i="8"/>
  <c r="P37" i="8"/>
  <c r="AH7" i="8"/>
  <c r="AF29" i="8"/>
  <c r="AF30" i="8" s="1"/>
  <c r="AF27" i="8"/>
  <c r="AF28" i="8" s="1"/>
  <c r="O27" i="8"/>
  <c r="AF17" i="8"/>
  <c r="AF18" i="8" s="1"/>
  <c r="R19" i="8"/>
  <c r="AH19" i="8"/>
  <c r="T17" i="8"/>
  <c r="M5" i="8"/>
  <c r="P35" i="8"/>
  <c r="R5" i="8"/>
  <c r="T29" i="8"/>
  <c r="AI29" i="8"/>
  <c r="AF9" i="8"/>
  <c r="O9" i="8"/>
  <c r="R19" i="7"/>
  <c r="AH19" i="7"/>
  <c r="AH20" i="7" s="1"/>
  <c r="T27" i="7"/>
  <c r="O27" i="7"/>
  <c r="AF27" i="7"/>
  <c r="AF28" i="7" s="1"/>
  <c r="M5" i="7"/>
  <c r="N35" i="7"/>
  <c r="P5" i="7"/>
  <c r="AG15" i="7"/>
  <c r="AH29" i="7"/>
  <c r="R29" i="7"/>
  <c r="AH15" i="7"/>
  <c r="R15" i="7"/>
  <c r="O25" i="7"/>
  <c r="AF25" i="7"/>
  <c r="AF26" i="7" s="1"/>
  <c r="P39" i="7"/>
  <c r="R9" i="7"/>
  <c r="AF29" i="7"/>
  <c r="AF30" i="7" s="1"/>
  <c r="O7" i="7"/>
  <c r="AF7" i="7"/>
  <c r="R7" i="7"/>
  <c r="P37" i="7"/>
  <c r="V25" i="7"/>
  <c r="AF9" i="7"/>
  <c r="O9" i="7"/>
  <c r="R17" i="7"/>
  <c r="AH17" i="7"/>
  <c r="M5" i="2"/>
  <c r="M11" i="2" s="1"/>
  <c r="AF25" i="2"/>
  <c r="AF26" i="2" s="1"/>
  <c r="AF19" i="2"/>
  <c r="AF20" i="2" s="1"/>
  <c r="AF17" i="2"/>
  <c r="AF18" i="2" s="1"/>
  <c r="C42" i="8"/>
  <c r="F41" i="8"/>
  <c r="G12" i="8"/>
  <c r="G41" i="8"/>
  <c r="I40" i="8" s="1"/>
  <c r="G41" i="7"/>
  <c r="AC42" i="7"/>
  <c r="AD41" i="7"/>
  <c r="D15" i="1"/>
  <c r="G15" i="1"/>
  <c r="G62" i="1"/>
  <c r="I62" i="1"/>
  <c r="G91" i="1"/>
  <c r="H7" i="1"/>
  <c r="C7" i="4"/>
  <c r="F16" i="1"/>
  <c r="I91" i="1"/>
  <c r="J93" i="1"/>
  <c r="AD93" i="1"/>
  <c r="F5" i="5"/>
  <c r="E14" i="5"/>
  <c r="F10" i="4"/>
  <c r="G7" i="4"/>
  <c r="H7" i="4"/>
  <c r="I7" i="4" s="1"/>
  <c r="H10" i="4"/>
  <c r="G10" i="4"/>
  <c r="I10" i="4"/>
  <c r="H93" i="1"/>
  <c r="I115" i="1"/>
  <c r="I120" i="1" s="1"/>
  <c r="F93" i="1"/>
  <c r="D91" i="1"/>
  <c r="G115" i="1"/>
  <c r="G120" i="1" s="1"/>
  <c r="D115" i="1"/>
  <c r="D120" i="1" s="1"/>
  <c r="C93" i="1"/>
  <c r="E93" i="1"/>
  <c r="AC93" i="1"/>
  <c r="G7" i="1"/>
  <c r="P37" i="2"/>
  <c r="D42" i="2"/>
  <c r="C42" i="2"/>
  <c r="F27" i="1"/>
  <c r="J16" i="1"/>
  <c r="AC16" i="1"/>
  <c r="C16" i="1"/>
  <c r="E16" i="1"/>
  <c r="O41" i="9" l="1"/>
  <c r="O42" i="9" s="1"/>
  <c r="O40" i="9"/>
  <c r="O36" i="9"/>
  <c r="O38" i="9"/>
  <c r="F155" i="1"/>
  <c r="AD28" i="1"/>
  <c r="E155" i="1"/>
  <c r="C155" i="1"/>
  <c r="AD23" i="1"/>
  <c r="J155" i="1"/>
  <c r="I156" i="1"/>
  <c r="I160" i="1"/>
  <c r="I163" i="1"/>
  <c r="G156" i="1"/>
  <c r="G160" i="1"/>
  <c r="G163" i="1"/>
  <c r="F23" i="1"/>
  <c r="D163" i="1"/>
  <c r="D160" i="1"/>
  <c r="I41" i="8"/>
  <c r="K36" i="8" s="1"/>
  <c r="AH16" i="8"/>
  <c r="K30" i="8"/>
  <c r="I32" i="8"/>
  <c r="K28" i="8"/>
  <c r="K31" i="8"/>
  <c r="K26" i="8"/>
  <c r="AI30" i="8"/>
  <c r="N21" i="8"/>
  <c r="P21" i="8" s="1"/>
  <c r="L32" i="8"/>
  <c r="N31" i="8"/>
  <c r="G42" i="8"/>
  <c r="I36" i="8"/>
  <c r="I38" i="8"/>
  <c r="K18" i="8"/>
  <c r="K21" i="8"/>
  <c r="K16" i="8"/>
  <c r="K20" i="8"/>
  <c r="I22" i="8"/>
  <c r="L12" i="8"/>
  <c r="N11" i="8"/>
  <c r="H41" i="8"/>
  <c r="H42" i="8" s="1"/>
  <c r="H40" i="8"/>
  <c r="H36" i="8"/>
  <c r="H38" i="8"/>
  <c r="AE41" i="8"/>
  <c r="AE42" i="8" s="1"/>
  <c r="AE38" i="8"/>
  <c r="AE40" i="8"/>
  <c r="AE36" i="8"/>
  <c r="K10" i="8"/>
  <c r="K6" i="8"/>
  <c r="K8" i="8"/>
  <c r="K11" i="8"/>
  <c r="M11" i="8" s="1"/>
  <c r="N32" i="7"/>
  <c r="K28" i="7"/>
  <c r="I41" i="7"/>
  <c r="K36" i="7" s="1"/>
  <c r="I32" i="7"/>
  <c r="K30" i="7"/>
  <c r="K31" i="7"/>
  <c r="K32" i="7" s="1"/>
  <c r="K21" i="7"/>
  <c r="K22" i="7" s="1"/>
  <c r="K20" i="7"/>
  <c r="N11" i="7"/>
  <c r="N12" i="7" s="1"/>
  <c r="K16" i="7"/>
  <c r="I22" i="7"/>
  <c r="N21" i="7"/>
  <c r="N22" i="7" s="1"/>
  <c r="G42" i="7"/>
  <c r="I36" i="7"/>
  <c r="I38" i="7"/>
  <c r="AD42" i="7"/>
  <c r="AE41" i="7"/>
  <c r="AE42" i="7" s="1"/>
  <c r="AE38" i="7"/>
  <c r="AE36" i="7"/>
  <c r="AE40" i="7"/>
  <c r="H41" i="7"/>
  <c r="H40" i="7"/>
  <c r="H38" i="7"/>
  <c r="H36" i="7"/>
  <c r="K12" i="7"/>
  <c r="I40" i="7"/>
  <c r="AK8" i="9"/>
  <c r="AK6" i="9"/>
  <c r="AK35" i="9"/>
  <c r="AH32" i="9"/>
  <c r="AI31" i="9"/>
  <c r="AJ11" i="9"/>
  <c r="AI12" i="9"/>
  <c r="T21" i="9"/>
  <c r="R22" i="9"/>
  <c r="AH41" i="9"/>
  <c r="AG42" i="9"/>
  <c r="AI28" i="9"/>
  <c r="AI37" i="9"/>
  <c r="AH36" i="9"/>
  <c r="P42" i="9"/>
  <c r="R41" i="9"/>
  <c r="R40" i="9"/>
  <c r="R38" i="9"/>
  <c r="R36" i="9"/>
  <c r="W27" i="9"/>
  <c r="AK27" i="9" s="1"/>
  <c r="AK37" i="9" s="1"/>
  <c r="AJ27" i="9"/>
  <c r="O32" i="9"/>
  <c r="Q31" i="9"/>
  <c r="U35" i="9"/>
  <c r="S11" i="9"/>
  <c r="Q12" i="9"/>
  <c r="AI20" i="9"/>
  <c r="AI39" i="9"/>
  <c r="R11" i="9"/>
  <c r="P12" i="9"/>
  <c r="AH22" i="9"/>
  <c r="AI21" i="9"/>
  <c r="Q37" i="9"/>
  <c r="Q38" i="9" s="1"/>
  <c r="AH38" i="9"/>
  <c r="W19" i="9"/>
  <c r="AK19" i="9" s="1"/>
  <c r="AJ19" i="9"/>
  <c r="Q39" i="9"/>
  <c r="AH40" i="9"/>
  <c r="Q21" i="9"/>
  <c r="O22" i="9"/>
  <c r="R31" i="9"/>
  <c r="P32" i="9"/>
  <c r="AE36" i="2"/>
  <c r="M31" i="2"/>
  <c r="M32" i="2" s="1"/>
  <c r="N11" i="2"/>
  <c r="P11" i="2" s="1"/>
  <c r="P12" i="2" s="1"/>
  <c r="K21" i="2"/>
  <c r="K22" i="2" s="1"/>
  <c r="I41" i="2"/>
  <c r="K38" i="2" s="1"/>
  <c r="AE38" i="2"/>
  <c r="AE41" i="2"/>
  <c r="AE42" i="2" s="1"/>
  <c r="K16" i="2"/>
  <c r="K20" i="2"/>
  <c r="K18" i="2"/>
  <c r="I38" i="2"/>
  <c r="I36" i="2"/>
  <c r="J41" i="2"/>
  <c r="J40" i="2"/>
  <c r="J36" i="2"/>
  <c r="J38" i="2"/>
  <c r="L31" i="2"/>
  <c r="L30" i="2"/>
  <c r="L28" i="2"/>
  <c r="L26" i="2"/>
  <c r="J32" i="2"/>
  <c r="AD30" i="1"/>
  <c r="AD34" i="1" s="1"/>
  <c r="G20" i="1"/>
  <c r="G21" i="1" s="1"/>
  <c r="G157" i="1"/>
  <c r="I20" i="1"/>
  <c r="I21" i="1" s="1"/>
  <c r="I157" i="1"/>
  <c r="I155" i="1" s="1"/>
  <c r="AC27" i="1"/>
  <c r="AC30" i="1" s="1"/>
  <c r="AC34" i="1" s="1"/>
  <c r="D20" i="1"/>
  <c r="D23" i="1" s="1"/>
  <c r="D157" i="1"/>
  <c r="AC21" i="1"/>
  <c r="D140" i="1"/>
  <c r="D156" i="1"/>
  <c r="AD21" i="1"/>
  <c r="H20" i="1"/>
  <c r="H21" i="1" s="1"/>
  <c r="H157" i="1"/>
  <c r="H155" i="1" s="1"/>
  <c r="AC155" i="1"/>
  <c r="AG30" i="2"/>
  <c r="AG16" i="7"/>
  <c r="AH18" i="7"/>
  <c r="L34" i="1"/>
  <c r="L33" i="1"/>
  <c r="AH20" i="8"/>
  <c r="AG18" i="8"/>
  <c r="AH30" i="8"/>
  <c r="AG30" i="7"/>
  <c r="AH16" i="7"/>
  <c r="AF21" i="7"/>
  <c r="AF22" i="7" s="1"/>
  <c r="AG18" i="7"/>
  <c r="AF31" i="7"/>
  <c r="AF32" i="7" s="1"/>
  <c r="AH30" i="7"/>
  <c r="AG10" i="2"/>
  <c r="AH8" i="2"/>
  <c r="AI26" i="2"/>
  <c r="AI10" i="2"/>
  <c r="AH10" i="2"/>
  <c r="AK18" i="2"/>
  <c r="AG8" i="2"/>
  <c r="K23" i="1"/>
  <c r="K27" i="1"/>
  <c r="K21" i="1"/>
  <c r="V38" i="1"/>
  <c r="W38" i="1" s="1"/>
  <c r="AK38" i="1"/>
  <c r="V37" i="1"/>
  <c r="W37" i="1" s="1"/>
  <c r="AK37" i="1"/>
  <c r="AH18" i="2"/>
  <c r="O61" i="1"/>
  <c r="AG56" i="1"/>
  <c r="AG48" i="1"/>
  <c r="AH26" i="2"/>
  <c r="AG26" i="2"/>
  <c r="AG18" i="2"/>
  <c r="AI18" i="2"/>
  <c r="AJ18" i="2"/>
  <c r="AG39" i="2"/>
  <c r="O39" i="2" s="1"/>
  <c r="R35" i="2"/>
  <c r="AI7" i="2"/>
  <c r="AI8" i="2" s="1"/>
  <c r="T7" i="2"/>
  <c r="AJ9" i="2"/>
  <c r="AJ10" i="2" s="1"/>
  <c r="V9" i="2"/>
  <c r="AK9" i="2" s="1"/>
  <c r="AH15" i="2"/>
  <c r="AH30" i="2"/>
  <c r="AG15" i="2"/>
  <c r="AH20" i="2"/>
  <c r="AF15" i="2"/>
  <c r="AI15" i="2"/>
  <c r="AI19" i="2"/>
  <c r="AI20" i="2" s="1"/>
  <c r="T19" i="2"/>
  <c r="AF39" i="2"/>
  <c r="AF37" i="2"/>
  <c r="M37" i="2" s="1"/>
  <c r="AG20" i="2"/>
  <c r="P21" i="2"/>
  <c r="N22" i="2"/>
  <c r="V15" i="2"/>
  <c r="AK15" i="2" s="1"/>
  <c r="AJ15" i="2"/>
  <c r="V5" i="2"/>
  <c r="AI30" i="2"/>
  <c r="V29" i="2"/>
  <c r="AK29" i="2" s="1"/>
  <c r="AJ29" i="2"/>
  <c r="AJ30" i="2" s="1"/>
  <c r="T27" i="2"/>
  <c r="Q27" i="2"/>
  <c r="AG27" i="2"/>
  <c r="AG28" i="2" s="1"/>
  <c r="AF31" i="2"/>
  <c r="AF32" i="2" s="1"/>
  <c r="AJ25" i="2"/>
  <c r="AJ26" i="2" s="1"/>
  <c r="V25" i="2"/>
  <c r="AK25" i="2" s="1"/>
  <c r="H16" i="1"/>
  <c r="AF8" i="8"/>
  <c r="AF37" i="8"/>
  <c r="AG25" i="8"/>
  <c r="AG26" i="8" s="1"/>
  <c r="Q25" i="8"/>
  <c r="R39" i="8"/>
  <c r="T9" i="8"/>
  <c r="T19" i="8"/>
  <c r="AI19" i="8"/>
  <c r="AI20" i="8" s="1"/>
  <c r="S17" i="8"/>
  <c r="AH17" i="8"/>
  <c r="AH18" i="8" s="1"/>
  <c r="T7" i="8"/>
  <c r="AI7" i="8"/>
  <c r="R37" i="8"/>
  <c r="AF39" i="8"/>
  <c r="AF10" i="8"/>
  <c r="V29" i="8"/>
  <c r="AK29" i="8" s="1"/>
  <c r="AJ29" i="8"/>
  <c r="AJ30" i="8" s="1"/>
  <c r="O5" i="8"/>
  <c r="AF5" i="8"/>
  <c r="AH8" i="8"/>
  <c r="AG16" i="8"/>
  <c r="AG30" i="8"/>
  <c r="Q9" i="8"/>
  <c r="AG9" i="8"/>
  <c r="V17" i="8"/>
  <c r="R35" i="8"/>
  <c r="T5" i="8"/>
  <c r="AF31" i="8"/>
  <c r="AG8" i="8"/>
  <c r="Q27" i="8"/>
  <c r="AG27" i="8"/>
  <c r="AG28" i="8" s="1"/>
  <c r="T15" i="8"/>
  <c r="AI15" i="8"/>
  <c r="AI16" i="8" s="1"/>
  <c r="AF16" i="8"/>
  <c r="AF21" i="8"/>
  <c r="P32" i="7"/>
  <c r="R31" i="7"/>
  <c r="O5" i="7"/>
  <c r="AF5" i="7"/>
  <c r="T29" i="7"/>
  <c r="AI29" i="7"/>
  <c r="AI30" i="7" s="1"/>
  <c r="T15" i="7"/>
  <c r="AI15" i="7"/>
  <c r="AI16" i="7" s="1"/>
  <c r="R39" i="7"/>
  <c r="T9" i="7"/>
  <c r="V27" i="7"/>
  <c r="M11" i="7"/>
  <c r="T7" i="7"/>
  <c r="R37" i="7"/>
  <c r="T17" i="7"/>
  <c r="AI17" i="7"/>
  <c r="AI18" i="7" s="1"/>
  <c r="AF8" i="7"/>
  <c r="AF37" i="7"/>
  <c r="P35" i="7"/>
  <c r="R5" i="7"/>
  <c r="Q9" i="7"/>
  <c r="AG9" i="7"/>
  <c r="Q7" i="7"/>
  <c r="AG7" i="7"/>
  <c r="AG25" i="7"/>
  <c r="AG26" i="7" s="1"/>
  <c r="Q25" i="7"/>
  <c r="Q27" i="7"/>
  <c r="AG27" i="7"/>
  <c r="AG28" i="7" s="1"/>
  <c r="AF39" i="7"/>
  <c r="AF10" i="7"/>
  <c r="T19" i="7"/>
  <c r="AI19" i="7"/>
  <c r="AI20" i="7" s="1"/>
  <c r="O5" i="2"/>
  <c r="O11" i="2" s="1"/>
  <c r="AF5" i="2"/>
  <c r="AH39" i="2"/>
  <c r="F42" i="8"/>
  <c r="I42" i="7"/>
  <c r="F30" i="1"/>
  <c r="G16" i="1"/>
  <c r="G5" i="5"/>
  <c r="G14" i="5" s="1"/>
  <c r="F14" i="5"/>
  <c r="D93" i="1"/>
  <c r="I93" i="1"/>
  <c r="G93" i="1"/>
  <c r="I16" i="1"/>
  <c r="D16" i="1"/>
  <c r="R37" i="2"/>
  <c r="T35" i="2"/>
  <c r="F42" i="2"/>
  <c r="H42" i="2"/>
  <c r="G42" i="2"/>
  <c r="AD42" i="2"/>
  <c r="AC42" i="2"/>
  <c r="E42" i="2"/>
  <c r="F25" i="1"/>
  <c r="F28" i="1"/>
  <c r="J23" i="1"/>
  <c r="J27" i="1"/>
  <c r="J21" i="1"/>
  <c r="C23" i="1"/>
  <c r="C21" i="1"/>
  <c r="E21" i="1"/>
  <c r="E25" i="1"/>
  <c r="E23" i="1"/>
  <c r="Q40" i="9" l="1"/>
  <c r="Q36" i="9"/>
  <c r="G27" i="1"/>
  <c r="G25" i="1" s="1"/>
  <c r="G23" i="1"/>
  <c r="AC33" i="1"/>
  <c r="AD33" i="1"/>
  <c r="D155" i="1"/>
  <c r="G155" i="1"/>
  <c r="AC28" i="1"/>
  <c r="AC25" i="1"/>
  <c r="I27" i="1"/>
  <c r="I25" i="1" s="1"/>
  <c r="I23" i="1"/>
  <c r="K40" i="8"/>
  <c r="K38" i="8"/>
  <c r="I42" i="8"/>
  <c r="K32" i="8"/>
  <c r="M31" i="8"/>
  <c r="N22" i="8"/>
  <c r="N12" i="8"/>
  <c r="P11" i="8"/>
  <c r="J41" i="8"/>
  <c r="J36" i="8"/>
  <c r="J38" i="8"/>
  <c r="J40" i="8"/>
  <c r="N32" i="8"/>
  <c r="P31" i="8"/>
  <c r="K12" i="8"/>
  <c r="K41" i="8"/>
  <c r="K42" i="8" s="1"/>
  <c r="K22" i="8"/>
  <c r="M21" i="8"/>
  <c r="K40" i="7"/>
  <c r="P21" i="7"/>
  <c r="P22" i="7" s="1"/>
  <c r="K38" i="7"/>
  <c r="P11" i="7"/>
  <c r="R11" i="7" s="1"/>
  <c r="M31" i="7"/>
  <c r="O31" i="7" s="1"/>
  <c r="O32" i="7" s="1"/>
  <c r="K41" i="7"/>
  <c r="K42" i="7" s="1"/>
  <c r="M21" i="7"/>
  <c r="J41" i="7"/>
  <c r="J36" i="7"/>
  <c r="J40" i="7"/>
  <c r="J38" i="7"/>
  <c r="H42" i="7"/>
  <c r="AJ28" i="9"/>
  <c r="AJ37" i="9"/>
  <c r="AK11" i="9"/>
  <c r="AK12" i="9" s="1"/>
  <c r="AJ12" i="9"/>
  <c r="S39" i="9"/>
  <c r="AI40" i="9"/>
  <c r="AK28" i="9"/>
  <c r="S12" i="9"/>
  <c r="U11" i="9"/>
  <c r="AI32" i="9"/>
  <c r="AJ31" i="9"/>
  <c r="S21" i="9"/>
  <c r="Q22" i="9"/>
  <c r="AJ21" i="9"/>
  <c r="AI22" i="9"/>
  <c r="Q41" i="9"/>
  <c r="S37" i="9"/>
  <c r="AI38" i="9"/>
  <c r="AI41" i="9"/>
  <c r="AH42" i="9"/>
  <c r="AI36" i="9"/>
  <c r="T41" i="9"/>
  <c r="R42" i="9"/>
  <c r="T40" i="9"/>
  <c r="T38" i="9"/>
  <c r="T36" i="9"/>
  <c r="T22" i="9"/>
  <c r="V21" i="9"/>
  <c r="V22" i="9" s="1"/>
  <c r="AK20" i="9"/>
  <c r="AK39" i="9"/>
  <c r="T31" i="9"/>
  <c r="R32" i="9"/>
  <c r="W35" i="9"/>
  <c r="R12" i="9"/>
  <c r="T11" i="9"/>
  <c r="S31" i="9"/>
  <c r="S41" i="9" s="1"/>
  <c r="U36" i="9" s="1"/>
  <c r="Q32" i="9"/>
  <c r="AJ20" i="9"/>
  <c r="AJ39" i="9"/>
  <c r="W37" i="9"/>
  <c r="O31" i="2"/>
  <c r="Q31" i="2" s="1"/>
  <c r="R11" i="2"/>
  <c r="R12" i="2" s="1"/>
  <c r="N12" i="2"/>
  <c r="M21" i="2"/>
  <c r="M22" i="2" s="1"/>
  <c r="K41" i="2"/>
  <c r="K42" i="2" s="1"/>
  <c r="K40" i="2"/>
  <c r="K36" i="2"/>
  <c r="L32" i="2"/>
  <c r="N31" i="2"/>
  <c r="J42" i="2"/>
  <c r="L36" i="2"/>
  <c r="L38" i="2"/>
  <c r="L40" i="2"/>
  <c r="L41" i="2"/>
  <c r="D21" i="1"/>
  <c r="D27" i="1"/>
  <c r="D28" i="1" s="1"/>
  <c r="H27" i="1"/>
  <c r="H30" i="1" s="1"/>
  <c r="H34" i="1" s="1"/>
  <c r="H23" i="1"/>
  <c r="AF11" i="2"/>
  <c r="AF12" i="2" s="1"/>
  <c r="AF6" i="2"/>
  <c r="AG21" i="7"/>
  <c r="AG22" i="7" s="1"/>
  <c r="AJ16" i="2"/>
  <c r="K30" i="1"/>
  <c r="K25" i="1"/>
  <c r="K28" i="1"/>
  <c r="AF38" i="2"/>
  <c r="AK26" i="2"/>
  <c r="AG61" i="1"/>
  <c r="P56" i="1"/>
  <c r="P48" i="1"/>
  <c r="AF21" i="2"/>
  <c r="AG21" i="2" s="1"/>
  <c r="AG22" i="2" s="1"/>
  <c r="AF16" i="2"/>
  <c r="AK16" i="2"/>
  <c r="AG16" i="2"/>
  <c r="AH16" i="2"/>
  <c r="AI16" i="2"/>
  <c r="AK10" i="2"/>
  <c r="AJ7" i="2"/>
  <c r="AJ8" i="2" s="1"/>
  <c r="V7" i="2"/>
  <c r="AK7" i="2" s="1"/>
  <c r="O21" i="2"/>
  <c r="M39" i="2"/>
  <c r="AF40" i="2"/>
  <c r="AJ19" i="2"/>
  <c r="AJ20" i="2" s="1"/>
  <c r="V19" i="2"/>
  <c r="AK19" i="2" s="1"/>
  <c r="R21" i="2"/>
  <c r="P22" i="2"/>
  <c r="AK30" i="2"/>
  <c r="AG37" i="2"/>
  <c r="O37" i="2" s="1"/>
  <c r="S27" i="2"/>
  <c r="AH27" i="2"/>
  <c r="AH28" i="2" s="1"/>
  <c r="V27" i="2"/>
  <c r="AG31" i="2"/>
  <c r="S27" i="8"/>
  <c r="AH27" i="8"/>
  <c r="AH28" i="8" s="1"/>
  <c r="AI8" i="8"/>
  <c r="T39" i="8"/>
  <c r="V9" i="8"/>
  <c r="P22" i="8"/>
  <c r="R21" i="8"/>
  <c r="T35" i="8"/>
  <c r="V5" i="8"/>
  <c r="T37" i="8"/>
  <c r="AJ7" i="8"/>
  <c r="V7" i="8"/>
  <c r="AF22" i="8"/>
  <c r="AG21" i="8"/>
  <c r="V19" i="8"/>
  <c r="AK19" i="8" s="1"/>
  <c r="AJ19" i="8"/>
  <c r="AJ20" i="8" s="1"/>
  <c r="AK30" i="8"/>
  <c r="V15" i="8"/>
  <c r="AK15" i="8" s="1"/>
  <c r="AJ15" i="8"/>
  <c r="AJ16" i="8" s="1"/>
  <c r="AG39" i="8"/>
  <c r="AG10" i="8"/>
  <c r="Q5" i="8"/>
  <c r="AG5" i="8"/>
  <c r="U17" i="8"/>
  <c r="AI17" i="8"/>
  <c r="AI18" i="8" s="1"/>
  <c r="M37" i="8"/>
  <c r="AF38" i="8"/>
  <c r="AG31" i="8"/>
  <c r="AF32" i="8"/>
  <c r="S25" i="8"/>
  <c r="AH25" i="8"/>
  <c r="AH26" i="8" s="1"/>
  <c r="AG37" i="8"/>
  <c r="AF35" i="8"/>
  <c r="AF6" i="8"/>
  <c r="AF11" i="8"/>
  <c r="S9" i="8"/>
  <c r="AH9" i="8"/>
  <c r="M12" i="8"/>
  <c r="O11" i="8"/>
  <c r="AF40" i="8"/>
  <c r="M39" i="8"/>
  <c r="AF40" i="7"/>
  <c r="M39" i="7"/>
  <c r="R32" i="7"/>
  <c r="T31" i="7"/>
  <c r="AG37" i="7"/>
  <c r="AG8" i="7"/>
  <c r="V17" i="7"/>
  <c r="AK17" i="7" s="1"/>
  <c r="AJ17" i="7"/>
  <c r="AJ18" i="7" s="1"/>
  <c r="S7" i="7"/>
  <c r="AH7" i="7"/>
  <c r="S25" i="7"/>
  <c r="AH25" i="7"/>
  <c r="AH26" i="7" s="1"/>
  <c r="AG39" i="7"/>
  <c r="AG10" i="7"/>
  <c r="AG31" i="7"/>
  <c r="R35" i="7"/>
  <c r="T5" i="7"/>
  <c r="V15" i="7"/>
  <c r="AK15" i="7" s="1"/>
  <c r="AJ15" i="7"/>
  <c r="AJ16" i="7" s="1"/>
  <c r="V19" i="7"/>
  <c r="AK19" i="7" s="1"/>
  <c r="AJ19" i="7"/>
  <c r="AJ20" i="7" s="1"/>
  <c r="S27" i="7"/>
  <c r="AH27" i="7"/>
  <c r="AH28" i="7" s="1"/>
  <c r="S9" i="7"/>
  <c r="AH9" i="7"/>
  <c r="T37" i="7"/>
  <c r="V7" i="7"/>
  <c r="T39" i="7"/>
  <c r="V9" i="7"/>
  <c r="V29" i="7"/>
  <c r="AK29" i="7" s="1"/>
  <c r="AJ29" i="7"/>
  <c r="AJ30" i="7" s="1"/>
  <c r="M12" i="7"/>
  <c r="O11" i="7"/>
  <c r="M37" i="7"/>
  <c r="AF38" i="7"/>
  <c r="AF35" i="7"/>
  <c r="AF6" i="7"/>
  <c r="AF11" i="7"/>
  <c r="Q5" i="7"/>
  <c r="AG5" i="7"/>
  <c r="M12" i="2"/>
  <c r="AF35" i="2"/>
  <c r="Q5" i="2"/>
  <c r="Q11" i="2" s="1"/>
  <c r="AG5" i="2"/>
  <c r="T39" i="2"/>
  <c r="Q39" i="2"/>
  <c r="AI39" i="2"/>
  <c r="F34" i="1"/>
  <c r="F33" i="1"/>
  <c r="E30" i="1"/>
  <c r="C30" i="1"/>
  <c r="J30" i="1"/>
  <c r="V35" i="2"/>
  <c r="T37" i="2"/>
  <c r="I42" i="2"/>
  <c r="J25" i="1"/>
  <c r="J28" i="1"/>
  <c r="C25" i="1"/>
  <c r="C28" i="1"/>
  <c r="E28" i="1"/>
  <c r="S38" i="9" l="1"/>
  <c r="G30" i="1"/>
  <c r="G34" i="1" s="1"/>
  <c r="G28" i="1"/>
  <c r="H33" i="1"/>
  <c r="H25" i="1"/>
  <c r="H28" i="1"/>
  <c r="D30" i="1"/>
  <c r="D34" i="1" s="1"/>
  <c r="D25" i="1"/>
  <c r="I30" i="1"/>
  <c r="I33" i="1" s="1"/>
  <c r="I28" i="1"/>
  <c r="O31" i="8"/>
  <c r="M32" i="8"/>
  <c r="M41" i="8"/>
  <c r="M42" i="8" s="1"/>
  <c r="L41" i="8"/>
  <c r="L38" i="8"/>
  <c r="L40" i="8"/>
  <c r="L36" i="8"/>
  <c r="J42" i="8"/>
  <c r="M40" i="8"/>
  <c r="P32" i="8"/>
  <c r="R31" i="8"/>
  <c r="P12" i="8"/>
  <c r="R11" i="8"/>
  <c r="M22" i="8"/>
  <c r="O21" i="8"/>
  <c r="M38" i="8"/>
  <c r="R21" i="7"/>
  <c r="P12" i="7"/>
  <c r="Q31" i="7"/>
  <c r="Q32" i="7" s="1"/>
  <c r="M41" i="7"/>
  <c r="M6" i="1" s="1"/>
  <c r="M32" i="7"/>
  <c r="M38" i="7"/>
  <c r="M40" i="7"/>
  <c r="O21" i="7"/>
  <c r="M22" i="7"/>
  <c r="L40" i="7"/>
  <c r="L41" i="7"/>
  <c r="L38" i="7"/>
  <c r="L36" i="7"/>
  <c r="J42" i="7"/>
  <c r="U12" i="9"/>
  <c r="W11" i="9"/>
  <c r="S42" i="9"/>
  <c r="T32" i="9"/>
  <c r="V31" i="9"/>
  <c r="V32" i="9" s="1"/>
  <c r="U31" i="9"/>
  <c r="S32" i="9"/>
  <c r="W39" i="9"/>
  <c r="V41" i="9"/>
  <c r="V42" i="9" s="1"/>
  <c r="T42" i="9"/>
  <c r="V40" i="9"/>
  <c r="V38" i="9"/>
  <c r="V36" i="9"/>
  <c r="AJ22" i="9"/>
  <c r="AK21" i="9"/>
  <c r="AK22" i="9" s="1"/>
  <c r="Q42" i="9"/>
  <c r="S36" i="9"/>
  <c r="T12" i="9"/>
  <c r="V11" i="9"/>
  <c r="V12" i="9" s="1"/>
  <c r="AI42" i="9"/>
  <c r="AJ41" i="9"/>
  <c r="AK40" i="9" s="1"/>
  <c r="AJ36" i="9"/>
  <c r="AK31" i="9"/>
  <c r="AK32" i="9" s="1"/>
  <c r="AJ32" i="9"/>
  <c r="U39" i="9"/>
  <c r="U40" i="9" s="1"/>
  <c r="AJ40" i="9"/>
  <c r="U37" i="9"/>
  <c r="U38" i="9" s="1"/>
  <c r="AJ38" i="9"/>
  <c r="S22" i="9"/>
  <c r="U21" i="9"/>
  <c r="S40" i="9"/>
  <c r="M41" i="2"/>
  <c r="M42" i="2" s="1"/>
  <c r="O32" i="2"/>
  <c r="T11" i="2"/>
  <c r="T12" i="2" s="1"/>
  <c r="M38" i="2"/>
  <c r="M40" i="2"/>
  <c r="L42" i="2"/>
  <c r="N36" i="2"/>
  <c r="N41" i="2"/>
  <c r="N40" i="2"/>
  <c r="N38" i="2"/>
  <c r="N32" i="2"/>
  <c r="P31" i="2"/>
  <c r="AG11" i="2"/>
  <c r="AG12" i="2" s="1"/>
  <c r="AH37" i="8"/>
  <c r="Q37" i="8" s="1"/>
  <c r="AK20" i="8"/>
  <c r="AH21" i="7"/>
  <c r="AH22" i="7" s="1"/>
  <c r="AK20" i="7"/>
  <c r="M42" i="7"/>
  <c r="AK30" i="7"/>
  <c r="AH21" i="2"/>
  <c r="AI21" i="2" s="1"/>
  <c r="AI22" i="2" s="1"/>
  <c r="AK8" i="2"/>
  <c r="K34" i="1"/>
  <c r="K33" i="1"/>
  <c r="AF22" i="2"/>
  <c r="O40" i="2"/>
  <c r="S55" i="1"/>
  <c r="AF55" i="1"/>
  <c r="AK55" i="1"/>
  <c r="R55" i="1"/>
  <c r="M55" i="1"/>
  <c r="O55" i="1"/>
  <c r="W55" i="1"/>
  <c r="AH55" i="1"/>
  <c r="V55" i="1"/>
  <c r="Q55" i="1"/>
  <c r="AJ55" i="1"/>
  <c r="P55" i="1"/>
  <c r="U55" i="1"/>
  <c r="AG55" i="1"/>
  <c r="T55" i="1"/>
  <c r="AI55" i="1"/>
  <c r="N55" i="1"/>
  <c r="P61" i="1"/>
  <c r="Q56" i="1"/>
  <c r="Q48" i="1"/>
  <c r="AK20" i="2"/>
  <c r="AH31" i="2"/>
  <c r="AH32" i="2" s="1"/>
  <c r="Q21" i="2"/>
  <c r="O22" i="2"/>
  <c r="R22" i="2"/>
  <c r="T21" i="2"/>
  <c r="AG32" i="2"/>
  <c r="S31" i="2"/>
  <c r="Q32" i="2"/>
  <c r="AH37" i="2"/>
  <c r="Q37" i="2" s="1"/>
  <c r="U27" i="2"/>
  <c r="AI27" i="2"/>
  <c r="AI28" i="2" s="1"/>
  <c r="U27" i="8"/>
  <c r="AI27" i="8"/>
  <c r="AI28" i="8" s="1"/>
  <c r="AF12" i="8"/>
  <c r="AG11" i="8"/>
  <c r="AG32" i="8"/>
  <c r="AH31" i="8"/>
  <c r="AJ8" i="8"/>
  <c r="M35" i="8"/>
  <c r="M36" i="8" s="1"/>
  <c r="AF36" i="8"/>
  <c r="AF41" i="8"/>
  <c r="AF8" i="1" s="1"/>
  <c r="V39" i="8"/>
  <c r="R22" i="8"/>
  <c r="T21" i="8"/>
  <c r="O39" i="8"/>
  <c r="V35" i="8"/>
  <c r="Q11" i="8"/>
  <c r="O12" i="8"/>
  <c r="W17" i="8"/>
  <c r="AK17" i="8" s="1"/>
  <c r="AJ17" i="8"/>
  <c r="AJ18" i="8" s="1"/>
  <c r="AG35" i="8"/>
  <c r="AG6" i="8"/>
  <c r="AG22" i="8"/>
  <c r="AH21" i="8"/>
  <c r="U9" i="8"/>
  <c r="AI9" i="8"/>
  <c r="AK7" i="8"/>
  <c r="V37" i="8"/>
  <c r="O37" i="8"/>
  <c r="AK16" i="8"/>
  <c r="AH39" i="8"/>
  <c r="AH10" i="8"/>
  <c r="U25" i="8"/>
  <c r="AI25" i="8"/>
  <c r="AI26" i="8" s="1"/>
  <c r="S5" i="8"/>
  <c r="AH5" i="8"/>
  <c r="V39" i="7"/>
  <c r="R12" i="7"/>
  <c r="T11" i="7"/>
  <c r="U27" i="7"/>
  <c r="AI27" i="7"/>
  <c r="AI28" i="7" s="1"/>
  <c r="T35" i="7"/>
  <c r="V5" i="7"/>
  <c r="U25" i="7"/>
  <c r="AI25" i="7"/>
  <c r="AI26" i="7" s="1"/>
  <c r="AK18" i="7"/>
  <c r="AG35" i="7"/>
  <c r="AG6" i="7"/>
  <c r="V37" i="7"/>
  <c r="AH8" i="7"/>
  <c r="AH37" i="7"/>
  <c r="S5" i="7"/>
  <c r="AH5" i="7"/>
  <c r="R22" i="7"/>
  <c r="T21" i="7"/>
  <c r="U7" i="7"/>
  <c r="AI7" i="7"/>
  <c r="O37" i="7"/>
  <c r="AF12" i="7"/>
  <c r="AG11" i="7"/>
  <c r="Q11" i="7"/>
  <c r="O12" i="7"/>
  <c r="T32" i="7"/>
  <c r="V31" i="7"/>
  <c r="V32" i="7" s="1"/>
  <c r="AH39" i="7"/>
  <c r="AH10" i="7"/>
  <c r="AG32" i="7"/>
  <c r="AH31" i="7"/>
  <c r="AF36" i="7"/>
  <c r="M35" i="7"/>
  <c r="M36" i="7" s="1"/>
  <c r="AF41" i="7"/>
  <c r="AF6" i="1" s="1"/>
  <c r="U9" i="7"/>
  <c r="AI9" i="7"/>
  <c r="AK16" i="7"/>
  <c r="O39" i="7"/>
  <c r="AG35" i="2"/>
  <c r="AG6" i="2"/>
  <c r="Q12" i="2"/>
  <c r="AH5" i="2"/>
  <c r="AH35" i="2" s="1"/>
  <c r="S5" i="2"/>
  <c r="S11" i="2" s="1"/>
  <c r="AF36" i="2"/>
  <c r="M35" i="2"/>
  <c r="M36" i="2" s="1"/>
  <c r="AF41" i="2"/>
  <c r="AF4" i="1" s="1"/>
  <c r="C6" i="5" s="1"/>
  <c r="O12" i="2"/>
  <c r="O41" i="2"/>
  <c r="O4" i="1" s="1"/>
  <c r="O5" i="4" s="1"/>
  <c r="S39" i="2"/>
  <c r="AK39" i="2"/>
  <c r="V39" i="2"/>
  <c r="AJ39" i="2"/>
  <c r="E34" i="1"/>
  <c r="E33" i="1"/>
  <c r="C34" i="1"/>
  <c r="C33" i="1"/>
  <c r="J33" i="1"/>
  <c r="J34" i="1"/>
  <c r="D33" i="1" l="1"/>
  <c r="G33" i="1"/>
  <c r="I34" i="1"/>
  <c r="O41" i="8"/>
  <c r="Q38" i="8" s="1"/>
  <c r="M8" i="1"/>
  <c r="M10" i="1" s="1"/>
  <c r="Q31" i="8"/>
  <c r="O32" i="8"/>
  <c r="O40" i="8"/>
  <c r="O38" i="8"/>
  <c r="R32" i="8"/>
  <c r="T31" i="8"/>
  <c r="Q21" i="8"/>
  <c r="O22" i="8"/>
  <c r="R12" i="8"/>
  <c r="T11" i="8"/>
  <c r="L42" i="8"/>
  <c r="N41" i="8"/>
  <c r="N40" i="8"/>
  <c r="N36" i="8"/>
  <c r="N38" i="8"/>
  <c r="O40" i="7"/>
  <c r="S31" i="7"/>
  <c r="S32" i="7" s="1"/>
  <c r="O38" i="7"/>
  <c r="Q21" i="7"/>
  <c r="Q41" i="7" s="1"/>
  <c r="O22" i="7"/>
  <c r="O41" i="7"/>
  <c r="O42" i="7" s="1"/>
  <c r="L42" i="7"/>
  <c r="N38" i="7"/>
  <c r="N41" i="7"/>
  <c r="N40" i="7"/>
  <c r="N36" i="7"/>
  <c r="U32" i="9"/>
  <c r="W31" i="9"/>
  <c r="W32" i="9" s="1"/>
  <c r="W12" i="9"/>
  <c r="U22" i="9"/>
  <c r="W21" i="9"/>
  <c r="W22" i="9" s="1"/>
  <c r="AJ42" i="9"/>
  <c r="AK41" i="9"/>
  <c r="AK42" i="9" s="1"/>
  <c r="AK36" i="9"/>
  <c r="AK38" i="9"/>
  <c r="U41" i="9"/>
  <c r="M4" i="1"/>
  <c r="O38" i="2"/>
  <c r="V11" i="2"/>
  <c r="V12" i="2" s="1"/>
  <c r="R31" i="2"/>
  <c r="P32" i="2"/>
  <c r="N4" i="1"/>
  <c r="P40" i="2"/>
  <c r="P41" i="2"/>
  <c r="P36" i="2"/>
  <c r="P38" i="2"/>
  <c r="N42" i="2"/>
  <c r="AF9" i="1"/>
  <c r="AG111" i="1"/>
  <c r="AJ21" i="2"/>
  <c r="AK21" i="2" s="1"/>
  <c r="AK22" i="2" s="1"/>
  <c r="AG40" i="8"/>
  <c r="AF10" i="1"/>
  <c r="AG38" i="8"/>
  <c r="AI21" i="7"/>
  <c r="AJ21" i="7" s="1"/>
  <c r="AG40" i="7"/>
  <c r="AH22" i="2"/>
  <c r="S111" i="1"/>
  <c r="AJ111" i="1"/>
  <c r="AK111" i="1"/>
  <c r="T111" i="1"/>
  <c r="AF11" i="1"/>
  <c r="M11" i="1" s="1"/>
  <c r="AF5" i="1"/>
  <c r="AF7" i="1"/>
  <c r="O111" i="1"/>
  <c r="N111" i="1"/>
  <c r="P111" i="1"/>
  <c r="R111" i="1"/>
  <c r="Q111" i="1"/>
  <c r="V111" i="1"/>
  <c r="AH111" i="1"/>
  <c r="W111" i="1"/>
  <c r="U111" i="1"/>
  <c r="M111" i="1"/>
  <c r="AF111" i="1" s="1"/>
  <c r="AI111" i="1"/>
  <c r="AH56" i="1"/>
  <c r="Q61" i="1"/>
  <c r="AH48" i="1"/>
  <c r="S21" i="2"/>
  <c r="S41" i="2" s="1"/>
  <c r="S4" i="1" s="1"/>
  <c r="Q22" i="2"/>
  <c r="V21" i="2"/>
  <c r="V22" i="2" s="1"/>
  <c r="T22" i="2"/>
  <c r="AH11" i="2"/>
  <c r="AH12" i="2" s="1"/>
  <c r="AI37" i="2"/>
  <c r="S37" i="2" s="1"/>
  <c r="W27" i="2"/>
  <c r="AK27" i="2" s="1"/>
  <c r="AK37" i="2" s="1"/>
  <c r="AJ27" i="2"/>
  <c r="AJ28" i="2" s="1"/>
  <c r="U31" i="2"/>
  <c r="S32" i="2"/>
  <c r="AI31" i="2"/>
  <c r="AI32" i="2" s="1"/>
  <c r="O42" i="2"/>
  <c r="AH6" i="8"/>
  <c r="AH35" i="8"/>
  <c r="AK8" i="8"/>
  <c r="AI37" i="8"/>
  <c r="W9" i="8"/>
  <c r="AK9" i="8" s="1"/>
  <c r="AJ9" i="8"/>
  <c r="W25" i="8"/>
  <c r="AK25" i="8" s="1"/>
  <c r="AJ25" i="8"/>
  <c r="AJ26" i="8" s="1"/>
  <c r="AK18" i="8"/>
  <c r="V21" i="8"/>
  <c r="V22" i="8" s="1"/>
  <c r="T22" i="8"/>
  <c r="AG41" i="8"/>
  <c r="AG8" i="1" s="1"/>
  <c r="AF42" i="8"/>
  <c r="AH32" i="8"/>
  <c r="AI31" i="8"/>
  <c r="U5" i="8"/>
  <c r="AI5" i="8"/>
  <c r="Q39" i="8"/>
  <c r="AH22" i="8"/>
  <c r="AI21" i="8"/>
  <c r="AH11" i="8"/>
  <c r="AG12" i="8"/>
  <c r="O35" i="8"/>
  <c r="O36" i="8" s="1"/>
  <c r="AG36" i="8"/>
  <c r="W27" i="8"/>
  <c r="AK27" i="8" s="1"/>
  <c r="AJ27" i="8"/>
  <c r="AJ28" i="8" s="1"/>
  <c r="AI39" i="8"/>
  <c r="AI10" i="8"/>
  <c r="Q12" i="8"/>
  <c r="S11" i="8"/>
  <c r="Q39" i="7"/>
  <c r="V21" i="7"/>
  <c r="V22" i="7" s="1"/>
  <c r="T22" i="7"/>
  <c r="AG41" i="7"/>
  <c r="AG6" i="1" s="1"/>
  <c r="AF42" i="7"/>
  <c r="Q12" i="7"/>
  <c r="S11" i="7"/>
  <c r="O35" i="7"/>
  <c r="O36" i="7" s="1"/>
  <c r="AG36" i="7"/>
  <c r="W27" i="7"/>
  <c r="AK27" i="7" s="1"/>
  <c r="AJ27" i="7"/>
  <c r="AJ28" i="7" s="1"/>
  <c r="U31" i="7"/>
  <c r="AH11" i="7"/>
  <c r="AG12" i="7"/>
  <c r="AH6" i="7"/>
  <c r="AH35" i="7"/>
  <c r="W7" i="7"/>
  <c r="AK7" i="7" s="1"/>
  <c r="AJ7" i="7"/>
  <c r="W9" i="7"/>
  <c r="AK9" i="7" s="1"/>
  <c r="AJ9" i="7"/>
  <c r="U5" i="7"/>
  <c r="AI5" i="7"/>
  <c r="V11" i="7"/>
  <c r="V12" i="7" s="1"/>
  <c r="T12" i="7"/>
  <c r="AI37" i="7"/>
  <c r="AI8" i="7"/>
  <c r="AI39" i="7"/>
  <c r="AI10" i="7"/>
  <c r="AH32" i="7"/>
  <c r="AI31" i="7"/>
  <c r="AG38" i="7"/>
  <c r="Q37" i="7"/>
  <c r="W25" i="7"/>
  <c r="AK25" i="7" s="1"/>
  <c r="AJ25" i="7"/>
  <c r="AJ26" i="7" s="1"/>
  <c r="V35" i="7"/>
  <c r="Q40" i="2"/>
  <c r="S12" i="2"/>
  <c r="AI5" i="2"/>
  <c r="U5" i="2"/>
  <c r="U11" i="2" s="1"/>
  <c r="AH6" i="2"/>
  <c r="Q41" i="2"/>
  <c r="Q4" i="1" s="1"/>
  <c r="AF42" i="2"/>
  <c r="AG40" i="2"/>
  <c r="AG41" i="2"/>
  <c r="AG38" i="2"/>
  <c r="O35" i="2"/>
  <c r="O36" i="2" s="1"/>
  <c r="AG36" i="2"/>
  <c r="Q38" i="2"/>
  <c r="V37" i="2"/>
  <c r="Q35" i="2"/>
  <c r="Q36" i="2" s="1"/>
  <c r="U39" i="2"/>
  <c r="W39" i="2"/>
  <c r="O8" i="1" l="1"/>
  <c r="O9" i="1" s="1"/>
  <c r="O42" i="8"/>
  <c r="Q40" i="8"/>
  <c r="M12" i="1"/>
  <c r="Q41" i="8"/>
  <c r="Q8" i="1" s="1"/>
  <c r="Q32" i="8"/>
  <c r="S31" i="8"/>
  <c r="N8" i="1"/>
  <c r="N9" i="1" s="1"/>
  <c r="P40" i="8"/>
  <c r="P41" i="8"/>
  <c r="N42" i="8"/>
  <c r="P36" i="8"/>
  <c r="P38" i="8"/>
  <c r="Q22" i="8"/>
  <c r="S21" i="8"/>
  <c r="T12" i="8"/>
  <c r="V11" i="8"/>
  <c r="V12" i="8" s="1"/>
  <c r="V31" i="8"/>
  <c r="V32" i="8" s="1"/>
  <c r="T32" i="8"/>
  <c r="Q40" i="7"/>
  <c r="O6" i="1"/>
  <c r="O7" i="1" s="1"/>
  <c r="Q38" i="7"/>
  <c r="S21" i="7"/>
  <c r="S41" i="7" s="1"/>
  <c r="Q22" i="7"/>
  <c r="N6" i="1"/>
  <c r="N42" i="7"/>
  <c r="P38" i="7"/>
  <c r="P41" i="7"/>
  <c r="P40" i="7"/>
  <c r="P36" i="7"/>
  <c r="U42" i="9"/>
  <c r="W36" i="9"/>
  <c r="W38" i="9"/>
  <c r="W41" i="9"/>
  <c r="W42" i="9" s="1"/>
  <c r="W40" i="9"/>
  <c r="M5" i="1"/>
  <c r="M16" i="4" s="1"/>
  <c r="M5" i="4"/>
  <c r="M11" i="4" s="1"/>
  <c r="M15" i="4"/>
  <c r="M7" i="1"/>
  <c r="M9" i="1"/>
  <c r="P4" i="1"/>
  <c r="R41" i="2"/>
  <c r="R38" i="2"/>
  <c r="R40" i="2"/>
  <c r="R36" i="2"/>
  <c r="P42" i="2"/>
  <c r="N11" i="1"/>
  <c r="N15" i="4"/>
  <c r="N19" i="4" s="1"/>
  <c r="N5" i="4"/>
  <c r="N122" i="1" s="1"/>
  <c r="N127" i="1" s="1"/>
  <c r="R32" i="2"/>
  <c r="T31" i="2"/>
  <c r="AI22" i="7"/>
  <c r="AJ22" i="2"/>
  <c r="W37" i="2"/>
  <c r="AG10" i="1"/>
  <c r="AH40" i="8"/>
  <c r="AK28" i="7"/>
  <c r="AH38" i="7"/>
  <c r="AH40" i="7"/>
  <c r="Q42" i="7"/>
  <c r="Q6" i="1"/>
  <c r="AK28" i="2"/>
  <c r="AG4" i="1"/>
  <c r="S82" i="1"/>
  <c r="AF82" i="1"/>
  <c r="AK82" i="1"/>
  <c r="R82" i="1"/>
  <c r="M82" i="1"/>
  <c r="O82" i="1"/>
  <c r="W82" i="1"/>
  <c r="AH82" i="1"/>
  <c r="V82" i="1"/>
  <c r="Q82" i="1"/>
  <c r="P82" i="1"/>
  <c r="AJ82" i="1"/>
  <c r="U82" i="1"/>
  <c r="AG82" i="1"/>
  <c r="T82" i="1"/>
  <c r="AI82" i="1"/>
  <c r="N82" i="1"/>
  <c r="U54" i="1"/>
  <c r="AG54" i="1"/>
  <c r="R54" i="1"/>
  <c r="T54" i="1"/>
  <c r="O54" i="1"/>
  <c r="AI54" i="1"/>
  <c r="N54" i="1"/>
  <c r="S54" i="1"/>
  <c r="AF54" i="1"/>
  <c r="M54" i="1"/>
  <c r="W54" i="1"/>
  <c r="AH54" i="1"/>
  <c r="Q54" i="1"/>
  <c r="AJ54" i="1"/>
  <c r="P54" i="1"/>
  <c r="AK54" i="1"/>
  <c r="V54" i="1"/>
  <c r="AH61" i="1"/>
  <c r="R56" i="1"/>
  <c r="R48" i="1"/>
  <c r="AI11" i="2"/>
  <c r="AI12" i="2" s="1"/>
  <c r="AI35" i="2"/>
  <c r="S35" i="2" s="1"/>
  <c r="S36" i="2" s="1"/>
  <c r="U21" i="2"/>
  <c r="U41" i="2" s="1"/>
  <c r="U4" i="1" s="1"/>
  <c r="S22" i="2"/>
  <c r="AH41" i="2"/>
  <c r="AH4" i="1" s="1"/>
  <c r="AF4" i="4"/>
  <c r="S38" i="2"/>
  <c r="AJ37" i="2"/>
  <c r="U37" i="2" s="1"/>
  <c r="U38" i="2" s="1"/>
  <c r="W31" i="2"/>
  <c r="W32" i="2" s="1"/>
  <c r="U32" i="2"/>
  <c r="AJ31" i="2"/>
  <c r="AK31" i="2" s="1"/>
  <c r="AK32" i="2" s="1"/>
  <c r="AH36" i="2"/>
  <c r="S12" i="8"/>
  <c r="U11" i="8"/>
  <c r="AH36" i="8"/>
  <c r="Q35" i="8"/>
  <c r="Q36" i="8" s="1"/>
  <c r="AJ21" i="8"/>
  <c r="AI22" i="8"/>
  <c r="AJ31" i="8"/>
  <c r="AI32" i="8"/>
  <c r="AJ37" i="8"/>
  <c r="AJ39" i="8"/>
  <c r="AJ10" i="8"/>
  <c r="AG42" i="8"/>
  <c r="AH41" i="8"/>
  <c r="AI40" i="8" s="1"/>
  <c r="AH38" i="8"/>
  <c r="S37" i="8"/>
  <c r="AH12" i="8"/>
  <c r="AI11" i="8"/>
  <c r="W5" i="8"/>
  <c r="AK5" i="8" s="1"/>
  <c r="AJ5" i="8"/>
  <c r="AK28" i="8"/>
  <c r="AK10" i="8"/>
  <c r="AK39" i="8"/>
  <c r="AI35" i="8"/>
  <c r="AI6" i="8"/>
  <c r="S39" i="8"/>
  <c r="AK37" i="8"/>
  <c r="AK26" i="8"/>
  <c r="AK10" i="7"/>
  <c r="AK39" i="7"/>
  <c r="AJ22" i="7"/>
  <c r="AK21" i="7"/>
  <c r="AK22" i="7" s="1"/>
  <c r="AJ31" i="7"/>
  <c r="AI32" i="7"/>
  <c r="AJ37" i="7"/>
  <c r="AJ8" i="7"/>
  <c r="S12" i="7"/>
  <c r="U11" i="7"/>
  <c r="AK37" i="7"/>
  <c r="AK8" i="7"/>
  <c r="AH36" i="7"/>
  <c r="Q35" i="7"/>
  <c r="Q36" i="7" s="1"/>
  <c r="U32" i="7"/>
  <c r="W31" i="7"/>
  <c r="W32" i="7" s="1"/>
  <c r="AK26" i="7"/>
  <c r="S39" i="7"/>
  <c r="S40" i="7" s="1"/>
  <c r="W5" i="7"/>
  <c r="AK5" i="7" s="1"/>
  <c r="AJ5" i="7"/>
  <c r="AG42" i="7"/>
  <c r="AH41" i="7"/>
  <c r="AH6" i="1" s="1"/>
  <c r="S37" i="7"/>
  <c r="S38" i="7" s="1"/>
  <c r="AH12" i="7"/>
  <c r="AI11" i="7"/>
  <c r="AJ39" i="7"/>
  <c r="AJ10" i="7"/>
  <c r="AI35" i="7"/>
  <c r="AI6" i="7"/>
  <c r="S42" i="2"/>
  <c r="Q42" i="2"/>
  <c r="S40" i="2"/>
  <c r="U12" i="2"/>
  <c r="W5" i="2"/>
  <c r="W11" i="2" s="1"/>
  <c r="AJ5" i="2"/>
  <c r="AG42" i="2"/>
  <c r="AH40" i="2"/>
  <c r="AH38" i="2"/>
  <c r="AI6" i="2"/>
  <c r="U40" i="2"/>
  <c r="O15" i="4"/>
  <c r="AF15" i="4"/>
  <c r="AF19" i="4" s="1"/>
  <c r="M19" i="4" s="1"/>
  <c r="M23" i="4" l="1"/>
  <c r="AG110" i="1"/>
  <c r="O12" i="1"/>
  <c r="S40" i="8"/>
  <c r="S38" i="8"/>
  <c r="S32" i="8"/>
  <c r="U31" i="8"/>
  <c r="Q42" i="8"/>
  <c r="S22" i="8"/>
  <c r="U21" i="8"/>
  <c r="S41" i="8"/>
  <c r="S42" i="8" s="1"/>
  <c r="P8" i="1"/>
  <c r="P9" i="1" s="1"/>
  <c r="R36" i="8"/>
  <c r="R41" i="8"/>
  <c r="P42" i="8"/>
  <c r="R38" i="8"/>
  <c r="R40" i="8"/>
  <c r="N10" i="1"/>
  <c r="O10" i="1"/>
  <c r="O5" i="1"/>
  <c r="S22" i="7"/>
  <c r="U21" i="7"/>
  <c r="U41" i="7" s="1"/>
  <c r="N7" i="1"/>
  <c r="N5" i="1"/>
  <c r="N16" i="4" s="1"/>
  <c r="N18" i="4" s="1"/>
  <c r="P6" i="1"/>
  <c r="P42" i="7"/>
  <c r="R36" i="7"/>
  <c r="R41" i="7"/>
  <c r="R38" i="7"/>
  <c r="R40" i="7"/>
  <c r="M122" i="1"/>
  <c r="M127" i="1" s="1"/>
  <c r="AF5" i="4"/>
  <c r="AF6" i="4" s="1"/>
  <c r="P11" i="1"/>
  <c r="V31" i="2"/>
  <c r="V32" i="2" s="1"/>
  <c r="T32" i="2"/>
  <c r="T41" i="2"/>
  <c r="T38" i="2"/>
  <c r="T36" i="2"/>
  <c r="R42" i="2"/>
  <c r="T40" i="2"/>
  <c r="R4" i="1"/>
  <c r="AG112" i="1"/>
  <c r="D6" i="5"/>
  <c r="AG11" i="1"/>
  <c r="O11" i="1" s="1"/>
  <c r="Q12" i="1"/>
  <c r="Q9" i="1"/>
  <c r="E6" i="5"/>
  <c r="AH11" i="1"/>
  <c r="AG9" i="1"/>
  <c r="Q10" i="1"/>
  <c r="AI38" i="8"/>
  <c r="AH8" i="1"/>
  <c r="Q7" i="1"/>
  <c r="S42" i="7"/>
  <c r="S6" i="1"/>
  <c r="Q5" i="1"/>
  <c r="Q16" i="4" s="1"/>
  <c r="AJ11" i="2"/>
  <c r="AJ12" i="2" s="1"/>
  <c r="AG15" i="4"/>
  <c r="AG19" i="4" s="1"/>
  <c r="O19" i="4" s="1"/>
  <c r="O23" i="4" s="1"/>
  <c r="AI110" i="1"/>
  <c r="AK110" i="1"/>
  <c r="AH7" i="1"/>
  <c r="AH5" i="1"/>
  <c r="U110" i="1"/>
  <c r="S110" i="1"/>
  <c r="AG5" i="1"/>
  <c r="AG7" i="1"/>
  <c r="V110" i="1"/>
  <c r="AG89" i="1"/>
  <c r="W110" i="1"/>
  <c r="W89" i="1"/>
  <c r="W112" i="1"/>
  <c r="N110" i="1"/>
  <c r="P110" i="1"/>
  <c r="AJ112" i="1"/>
  <c r="AJ89" i="1"/>
  <c r="O112" i="1"/>
  <c r="O89" i="1"/>
  <c r="AH89" i="1"/>
  <c r="AH112" i="1"/>
  <c r="U112" i="1"/>
  <c r="U89" i="1"/>
  <c r="Q110" i="1"/>
  <c r="AJ110" i="1"/>
  <c r="P112" i="1"/>
  <c r="P89" i="1"/>
  <c r="M112" i="1"/>
  <c r="AF112" i="1" s="1"/>
  <c r="M89" i="1"/>
  <c r="O110" i="1"/>
  <c r="R112" i="1"/>
  <c r="R89" i="1"/>
  <c r="AH110" i="1"/>
  <c r="T110" i="1"/>
  <c r="N112" i="1"/>
  <c r="N89" i="1"/>
  <c r="Q89" i="1"/>
  <c r="Q112" i="1"/>
  <c r="AK112" i="1"/>
  <c r="AK89" i="1"/>
  <c r="M110" i="1"/>
  <c r="AF110" i="1" s="1"/>
  <c r="AI112" i="1"/>
  <c r="AI89" i="1"/>
  <c r="V89" i="1"/>
  <c r="V112" i="1"/>
  <c r="AF89" i="1"/>
  <c r="AG5" i="4"/>
  <c r="O122" i="1"/>
  <c r="O127" i="1" s="1"/>
  <c r="R110" i="1"/>
  <c r="T112" i="1"/>
  <c r="T89" i="1"/>
  <c r="S112" i="1"/>
  <c r="S89" i="1"/>
  <c r="S56" i="1"/>
  <c r="R61" i="1"/>
  <c r="S48" i="1"/>
  <c r="AI41" i="2"/>
  <c r="AI4" i="1" s="1"/>
  <c r="AI38" i="2"/>
  <c r="AI36" i="2"/>
  <c r="AH42" i="2"/>
  <c r="AI40" i="2"/>
  <c r="W21" i="2"/>
  <c r="W22" i="2" s="1"/>
  <c r="U22" i="2"/>
  <c r="AJ35" i="2"/>
  <c r="AJ32" i="2"/>
  <c r="U42" i="2"/>
  <c r="W11" i="8"/>
  <c r="U12" i="8"/>
  <c r="AJ6" i="8"/>
  <c r="AJ35" i="8"/>
  <c r="AK6" i="8"/>
  <c r="AK35" i="8"/>
  <c r="AJ32" i="8"/>
  <c r="AK31" i="8"/>
  <c r="AK32" i="8" s="1"/>
  <c r="S35" i="8"/>
  <c r="S36" i="8" s="1"/>
  <c r="AI36" i="8"/>
  <c r="W39" i="8"/>
  <c r="U39" i="8"/>
  <c r="AH42" i="8"/>
  <c r="AI41" i="8"/>
  <c r="AI12" i="8"/>
  <c r="AJ11" i="8"/>
  <c r="AJ22" i="8"/>
  <c r="AK21" i="8"/>
  <c r="AK22" i="8" s="1"/>
  <c r="W37" i="8"/>
  <c r="U37" i="8"/>
  <c r="AH42" i="7"/>
  <c r="AI41" i="7"/>
  <c r="AJ35" i="7"/>
  <c r="AJ6" i="7"/>
  <c r="U37" i="7"/>
  <c r="U38" i="7" s="1"/>
  <c r="AK6" i="7"/>
  <c r="AK35" i="7"/>
  <c r="AI12" i="7"/>
  <c r="AJ11" i="7"/>
  <c r="AI40" i="7"/>
  <c r="W37" i="7"/>
  <c r="AJ32" i="7"/>
  <c r="AK31" i="7"/>
  <c r="AK32" i="7" s="1"/>
  <c r="AI38" i="7"/>
  <c r="W11" i="7"/>
  <c r="U12" i="7"/>
  <c r="S35" i="7"/>
  <c r="S36" i="7" s="1"/>
  <c r="AI36" i="7"/>
  <c r="W39" i="7"/>
  <c r="U39" i="7"/>
  <c r="U40" i="7" s="1"/>
  <c r="W38" i="2"/>
  <c r="AJ6" i="2"/>
  <c r="W40" i="2"/>
  <c r="Q15" i="4"/>
  <c r="Q5" i="4"/>
  <c r="Q122" i="1" s="1"/>
  <c r="Q127" i="1" s="1"/>
  <c r="W12" i="2"/>
  <c r="AK5" i="2"/>
  <c r="P5" i="4"/>
  <c r="P122" i="1" s="1"/>
  <c r="P127" i="1" s="1"/>
  <c r="S15" i="4"/>
  <c r="S5" i="4"/>
  <c r="S122" i="1" s="1"/>
  <c r="S127" i="1" s="1"/>
  <c r="AH15" i="4"/>
  <c r="AH19" i="4" s="1"/>
  <c r="P15" i="4"/>
  <c r="P19" i="4" s="1"/>
  <c r="AF122" i="1" l="1"/>
  <c r="C12" i="5" s="1"/>
  <c r="U32" i="8"/>
  <c r="W31" i="8"/>
  <c r="W32" i="8" s="1"/>
  <c r="P10" i="1"/>
  <c r="U38" i="8"/>
  <c r="U40" i="8"/>
  <c r="S8" i="1"/>
  <c r="S12" i="1" s="1"/>
  <c r="W21" i="8"/>
  <c r="W22" i="8" s="1"/>
  <c r="U22" i="8"/>
  <c r="R8" i="1"/>
  <c r="R9" i="1" s="1"/>
  <c r="R42" i="8"/>
  <c r="T40" i="8"/>
  <c r="T41" i="8"/>
  <c r="T36" i="8"/>
  <c r="T38" i="8"/>
  <c r="U41" i="8"/>
  <c r="U42" i="8" s="1"/>
  <c r="U22" i="7"/>
  <c r="W21" i="7"/>
  <c r="W22" i="7" s="1"/>
  <c r="N20" i="4"/>
  <c r="P5" i="1"/>
  <c r="R42" i="7"/>
  <c r="T38" i="7"/>
  <c r="T41" i="7"/>
  <c r="T36" i="7"/>
  <c r="T40" i="7"/>
  <c r="R6" i="1"/>
  <c r="P7" i="1"/>
  <c r="V40" i="2"/>
  <c r="V38" i="2"/>
  <c r="T4" i="1"/>
  <c r="V36" i="2"/>
  <c r="V41" i="2"/>
  <c r="T42" i="2"/>
  <c r="Q11" i="1"/>
  <c r="R11" i="1"/>
  <c r="AH10" i="1"/>
  <c r="AH9" i="1"/>
  <c r="F6" i="5"/>
  <c r="AI11" i="1"/>
  <c r="AJ40" i="8"/>
  <c r="AI8" i="1"/>
  <c r="AI9" i="1" s="1"/>
  <c r="W40" i="7"/>
  <c r="AJ38" i="7"/>
  <c r="AI6" i="1"/>
  <c r="U42" i="7"/>
  <c r="U6" i="1"/>
  <c r="S5" i="1"/>
  <c r="S7" i="1"/>
  <c r="AK11" i="2"/>
  <c r="AK12" i="2" s="1"/>
  <c r="W41" i="2"/>
  <c r="W4" i="1" s="1"/>
  <c r="AH114" i="1"/>
  <c r="E11" i="5" s="1"/>
  <c r="AI114" i="1"/>
  <c r="F11" i="5" s="1"/>
  <c r="AK114" i="1"/>
  <c r="U114" i="1"/>
  <c r="S114" i="1"/>
  <c r="AJ114" i="1"/>
  <c r="G11" i="5" s="1"/>
  <c r="M114" i="1"/>
  <c r="T114" i="1"/>
  <c r="V114" i="1"/>
  <c r="O114" i="1"/>
  <c r="AF114" i="1"/>
  <c r="C11" i="5" s="1"/>
  <c r="AG114" i="1"/>
  <c r="D11" i="5" s="1"/>
  <c r="R114" i="1"/>
  <c r="AG6" i="4"/>
  <c r="AG122" i="1"/>
  <c r="D12" i="5" s="1"/>
  <c r="P114" i="1"/>
  <c r="W114" i="1"/>
  <c r="Q114" i="1"/>
  <c r="N114" i="1"/>
  <c r="S61" i="1"/>
  <c r="AI56" i="1"/>
  <c r="AI48" i="1"/>
  <c r="AI42" i="2"/>
  <c r="AJ36" i="2"/>
  <c r="AJ38" i="2"/>
  <c r="AJ40" i="2"/>
  <c r="U35" i="2"/>
  <c r="U36" i="2" s="1"/>
  <c r="AJ41" i="2"/>
  <c r="AJ4" i="1" s="1"/>
  <c r="W12" i="8"/>
  <c r="AJ12" i="8"/>
  <c r="AK11" i="8"/>
  <c r="AK12" i="8" s="1"/>
  <c r="AJ38" i="8"/>
  <c r="U35" i="8"/>
  <c r="U36" i="8" s="1"/>
  <c r="AJ36" i="8"/>
  <c r="AJ41" i="8"/>
  <c r="AJ8" i="1" s="1"/>
  <c r="AI42" i="8"/>
  <c r="W35" i="8"/>
  <c r="W36" i="8" s="1"/>
  <c r="W12" i="7"/>
  <c r="AJ40" i="7"/>
  <c r="W35" i="7"/>
  <c r="W36" i="7" s="1"/>
  <c r="AJ12" i="7"/>
  <c r="AK11" i="7"/>
  <c r="AK12" i="7" s="1"/>
  <c r="U35" i="7"/>
  <c r="U36" i="7" s="1"/>
  <c r="AJ36" i="7"/>
  <c r="AJ41" i="7"/>
  <c r="AJ6" i="1" s="1"/>
  <c r="AI42" i="7"/>
  <c r="W38" i="7"/>
  <c r="AH5" i="4"/>
  <c r="AK6" i="2"/>
  <c r="AK35" i="2"/>
  <c r="W35" i="2" s="1"/>
  <c r="W36" i="2" s="1"/>
  <c r="R5" i="4"/>
  <c r="U15" i="4"/>
  <c r="U5" i="4"/>
  <c r="O16" i="4"/>
  <c r="R15" i="4"/>
  <c r="R19" i="4" s="1"/>
  <c r="AF16" i="4"/>
  <c r="Q19" i="4"/>
  <c r="Q23" i="4" s="1"/>
  <c r="AI15" i="4"/>
  <c r="AI19" i="4" s="1"/>
  <c r="AF127" i="1" l="1"/>
  <c r="W40" i="8"/>
  <c r="S10" i="1"/>
  <c r="S9" i="1"/>
  <c r="W41" i="8"/>
  <c r="W42" i="8" s="1"/>
  <c r="W38" i="8"/>
  <c r="U8" i="1"/>
  <c r="U12" i="1" s="1"/>
  <c r="T8" i="1"/>
  <c r="T9" i="1" s="1"/>
  <c r="V36" i="8"/>
  <c r="T42" i="8"/>
  <c r="V41" i="8"/>
  <c r="V40" i="8"/>
  <c r="V38" i="8"/>
  <c r="R10" i="1"/>
  <c r="W41" i="7"/>
  <c r="W42" i="7" s="1"/>
  <c r="R7" i="1"/>
  <c r="V36" i="7"/>
  <c r="V40" i="7"/>
  <c r="V38" i="7"/>
  <c r="T6" i="1"/>
  <c r="V41" i="7"/>
  <c r="T42" i="7"/>
  <c r="R5" i="1"/>
  <c r="S11" i="1"/>
  <c r="T11" i="1"/>
  <c r="T15" i="4"/>
  <c r="T19" i="4" s="1"/>
  <c r="T5" i="4"/>
  <c r="T122" i="1" s="1"/>
  <c r="T127" i="1" s="1"/>
  <c r="V4" i="1"/>
  <c r="V42" i="2"/>
  <c r="AJ9" i="1"/>
  <c r="G6" i="5"/>
  <c r="AJ11" i="1"/>
  <c r="AI10" i="1"/>
  <c r="AJ10" i="1"/>
  <c r="AK36" i="8"/>
  <c r="AI5" i="1"/>
  <c r="AI7" i="1"/>
  <c r="U5" i="1"/>
  <c r="U7" i="1"/>
  <c r="W6" i="1"/>
  <c r="W42" i="2"/>
  <c r="AJ7" i="1"/>
  <c r="AJ5" i="1"/>
  <c r="AI5" i="4"/>
  <c r="AI122" i="1" s="1"/>
  <c r="F12" i="5" s="1"/>
  <c r="R122" i="1"/>
  <c r="R127" i="1" s="1"/>
  <c r="AG127" i="1"/>
  <c r="AH6" i="4"/>
  <c r="AH122" i="1"/>
  <c r="E12" i="5" s="1"/>
  <c r="U122" i="1"/>
  <c r="U127" i="1" s="1"/>
  <c r="T56" i="1"/>
  <c r="AI61" i="1"/>
  <c r="T48" i="1"/>
  <c r="S16" i="4"/>
  <c r="AK40" i="2"/>
  <c r="AJ42" i="2"/>
  <c r="AK38" i="2"/>
  <c r="W15" i="4"/>
  <c r="W5" i="4"/>
  <c r="W122" i="1" s="1"/>
  <c r="W127" i="1" s="1"/>
  <c r="AJ42" i="8"/>
  <c r="AK41" i="8"/>
  <c r="AK40" i="8"/>
  <c r="AK38" i="8"/>
  <c r="AJ42" i="7"/>
  <c r="AK41" i="7"/>
  <c r="AK38" i="7"/>
  <c r="AK40" i="7"/>
  <c r="AK36" i="7"/>
  <c r="AK36" i="2"/>
  <c r="AK41" i="2"/>
  <c r="AK4" i="1" s="1"/>
  <c r="AK11" i="1" s="1"/>
  <c r="AJ15" i="4"/>
  <c r="AJ19" i="4" s="1"/>
  <c r="U19" i="4" s="1"/>
  <c r="U23" i="4" s="1"/>
  <c r="S19" i="4"/>
  <c r="S23" i="4" s="1"/>
  <c r="AG16" i="4"/>
  <c r="P16" i="4"/>
  <c r="AF18" i="4"/>
  <c r="M18" i="4" s="1"/>
  <c r="M22" i="4" s="1"/>
  <c r="AF20" i="4"/>
  <c r="M20" i="4" s="1"/>
  <c r="M24" i="4" s="1"/>
  <c r="W8" i="1" l="1"/>
  <c r="W12" i="1" s="1"/>
  <c r="U9" i="1"/>
  <c r="U10" i="1"/>
  <c r="T10" i="1"/>
  <c r="V42" i="8"/>
  <c r="V8" i="1"/>
  <c r="V9" i="1" s="1"/>
  <c r="T5" i="1"/>
  <c r="T16" i="4" s="1"/>
  <c r="T20" i="4" s="1"/>
  <c r="T7" i="1"/>
  <c r="V42" i="7"/>
  <c r="V6" i="1"/>
  <c r="U11" i="1"/>
  <c r="AJ5" i="4"/>
  <c r="AJ122" i="1" s="1"/>
  <c r="AJ127" i="1" s="1"/>
  <c r="V11" i="1"/>
  <c r="W11" i="1" s="1"/>
  <c r="AK42" i="8"/>
  <c r="AK8" i="1"/>
  <c r="AK9" i="1" s="1"/>
  <c r="W7" i="1"/>
  <c r="W5" i="1"/>
  <c r="AK42" i="7"/>
  <c r="AK6" i="1"/>
  <c r="AI127" i="1"/>
  <c r="AI6" i="4"/>
  <c r="AH127" i="1"/>
  <c r="T61" i="1"/>
  <c r="U56" i="1"/>
  <c r="U48" i="1"/>
  <c r="AK42" i="2"/>
  <c r="V5" i="4"/>
  <c r="P18" i="4"/>
  <c r="P20" i="4"/>
  <c r="U16" i="4"/>
  <c r="AG18" i="4"/>
  <c r="AG20" i="4"/>
  <c r="AH16" i="4"/>
  <c r="R16" i="4"/>
  <c r="V15" i="4"/>
  <c r="V19" i="4" s="1"/>
  <c r="W9" i="1" l="1"/>
  <c r="W10" i="1"/>
  <c r="V10" i="1"/>
  <c r="T18" i="4"/>
  <c r="V5" i="1"/>
  <c r="V7" i="1"/>
  <c r="G12" i="5"/>
  <c r="AJ6" i="4"/>
  <c r="AK10" i="1"/>
  <c r="AK5" i="1"/>
  <c r="AK7" i="1"/>
  <c r="AK5" i="4"/>
  <c r="AK122" i="1" s="1"/>
  <c r="AK127" i="1" s="1"/>
  <c r="V122" i="1"/>
  <c r="V127" i="1" s="1"/>
  <c r="AJ56" i="1"/>
  <c r="U61" i="1"/>
  <c r="AJ48" i="1"/>
  <c r="AK15" i="4"/>
  <c r="AK19" i="4" s="1"/>
  <c r="AH18" i="4"/>
  <c r="AH20" i="4"/>
  <c r="O20" i="4"/>
  <c r="O18" i="4"/>
  <c r="O22" i="4" s="1"/>
  <c r="AJ16" i="4"/>
  <c r="AI16" i="4"/>
  <c r="R18" i="4"/>
  <c r="R20" i="4"/>
  <c r="AK6" i="4" l="1"/>
  <c r="AJ61" i="1"/>
  <c r="V56" i="1"/>
  <c r="V48" i="1"/>
  <c r="W19" i="4"/>
  <c r="W23" i="4" s="1"/>
  <c r="W16" i="4"/>
  <c r="O24" i="4"/>
  <c r="AJ18" i="4"/>
  <c r="AJ20" i="4"/>
  <c r="Q18" i="4"/>
  <c r="Q22" i="4" s="1"/>
  <c r="V16" i="4"/>
  <c r="Q20" i="4"/>
  <c r="AI18" i="4"/>
  <c r="AI20" i="4"/>
  <c r="V61" i="1" l="1"/>
  <c r="W56" i="1"/>
  <c r="W48" i="1"/>
  <c r="Q24" i="4"/>
  <c r="S20" i="4"/>
  <c r="S18" i="4"/>
  <c r="S22" i="4" s="1"/>
  <c r="U20" i="4"/>
  <c r="U18" i="4"/>
  <c r="U22" i="4" s="1"/>
  <c r="V20" i="4"/>
  <c r="V18" i="4"/>
  <c r="AK16" i="4"/>
  <c r="AK56" i="1" l="1"/>
  <c r="W61" i="1"/>
  <c r="AK48" i="1"/>
  <c r="S24" i="4"/>
  <c r="U24" i="4"/>
  <c r="AK20" i="4"/>
  <c r="AK18" i="4"/>
  <c r="AK61" i="1" l="1"/>
  <c r="W18" i="4"/>
  <c r="W22" i="4" s="1"/>
  <c r="W20" i="4"/>
  <c r="W24" i="4" l="1"/>
  <c r="D4" i="4" l="1"/>
  <c r="D10" i="4" s="1"/>
  <c r="D7" i="4"/>
  <c r="M13" i="1" l="1"/>
  <c r="M102" i="1" l="1"/>
  <c r="M15" i="1"/>
  <c r="M157" i="1" s="1"/>
  <c r="AF9" i="4"/>
  <c r="AF13" i="1" s="1"/>
  <c r="AF8" i="4"/>
  <c r="M47" i="1"/>
  <c r="M52" i="1" s="1"/>
  <c r="M16" i="1" l="1"/>
  <c r="AF15" i="1"/>
  <c r="AF157" i="1" s="1"/>
  <c r="AF102" i="1"/>
  <c r="C10" i="5" s="1"/>
  <c r="AF10" i="4"/>
  <c r="AF11" i="4"/>
  <c r="AF47" i="1" s="1"/>
  <c r="AF52" i="1" s="1"/>
  <c r="C7" i="5" l="1"/>
  <c r="AF16" i="1"/>
  <c r="AG4" i="4"/>
  <c r="N4" i="4"/>
  <c r="N9" i="4" l="1"/>
  <c r="N13" i="1" s="1"/>
  <c r="N102" i="1" l="1"/>
  <c r="N15" i="1"/>
  <c r="N157" i="1" s="1"/>
  <c r="N8" i="4"/>
  <c r="N11" i="4"/>
  <c r="N16" i="1" l="1"/>
  <c r="O4" i="4"/>
  <c r="O9" i="4" s="1"/>
  <c r="O8" i="4" s="1"/>
  <c r="AG8" i="4" s="1"/>
  <c r="N47" i="1"/>
  <c r="N52" i="1" s="1"/>
  <c r="AG9" i="4" l="1"/>
  <c r="AG10" i="4" s="1"/>
  <c r="O11" i="4"/>
  <c r="O47" i="1" s="1"/>
  <c r="O52" i="1" s="1"/>
  <c r="O13" i="1"/>
  <c r="AG11" i="4" l="1"/>
  <c r="AG47" i="1" s="1"/>
  <c r="AG52" i="1" s="1"/>
  <c r="AG13" i="1"/>
  <c r="AG15" i="1" s="1"/>
  <c r="AG157" i="1" s="1"/>
  <c r="O102" i="1"/>
  <c r="O15" i="1"/>
  <c r="O157" i="1" s="1"/>
  <c r="O16" i="1" l="1"/>
  <c r="D7" i="5"/>
  <c r="AG102" i="1"/>
  <c r="D10" i="5" s="1"/>
  <c r="P4" i="4"/>
  <c r="P9" i="4" s="1"/>
  <c r="P13" i="1" s="1"/>
  <c r="P15" i="1" s="1"/>
  <c r="P157" i="1" s="1"/>
  <c r="AH4" i="4"/>
  <c r="AG16" i="1"/>
  <c r="P16" i="1" l="1"/>
  <c r="P8" i="4"/>
  <c r="P102" i="1"/>
  <c r="P11" i="4"/>
  <c r="P47" i="1" s="1"/>
  <c r="P52" i="1" s="1"/>
  <c r="Q4" i="4" l="1"/>
  <c r="Q9" i="4" s="1"/>
  <c r="AH9" i="4" s="1"/>
  <c r="AH10" i="4" s="1"/>
  <c r="AH11" i="4" l="1"/>
  <c r="AH47" i="1" s="1"/>
  <c r="AH52" i="1" s="1"/>
  <c r="Q11" i="4"/>
  <c r="Q47" i="1" s="1"/>
  <c r="Q52" i="1" s="1"/>
  <c r="Q8" i="4"/>
  <c r="AH8" i="4" s="1"/>
  <c r="Q13" i="1"/>
  <c r="Q15" i="1" s="1"/>
  <c r="Q157" i="1" s="1"/>
  <c r="AH13" i="1"/>
  <c r="AH15" i="1" s="1"/>
  <c r="AH157" i="1" s="1"/>
  <c r="D9" i="5"/>
  <c r="E7" i="5" l="1"/>
  <c r="E9" i="5" s="1"/>
  <c r="Q16" i="1"/>
  <c r="R4" i="4"/>
  <c r="R9" i="4" s="1"/>
  <c r="R13" i="1" s="1"/>
  <c r="R102" i="1" s="1"/>
  <c r="AI4" i="4"/>
  <c r="Q102" i="1"/>
  <c r="AH102" i="1"/>
  <c r="E10" i="5" s="1"/>
  <c r="AH16" i="1"/>
  <c r="D13" i="5"/>
  <c r="D15" i="5" s="1"/>
  <c r="E13" i="5" l="1"/>
  <c r="E15" i="5" s="1"/>
  <c r="R11" i="4"/>
  <c r="S4" i="4" s="1"/>
  <c r="S9" i="4" s="1"/>
  <c r="S13" i="1" s="1"/>
  <c r="R8" i="4"/>
  <c r="R15" i="1"/>
  <c r="R157" i="1" s="1"/>
  <c r="R16" i="1" l="1"/>
  <c r="R47" i="1"/>
  <c r="R52" i="1" s="1"/>
  <c r="S8" i="4"/>
  <c r="AI8" i="4" s="1"/>
  <c r="AI9" i="4"/>
  <c r="AI13" i="1" s="1"/>
  <c r="S11" i="4"/>
  <c r="S47" i="1" s="1"/>
  <c r="S52" i="1" s="1"/>
  <c r="S102" i="1"/>
  <c r="S15" i="1"/>
  <c r="S157" i="1" s="1"/>
  <c r="S16" i="1" l="1"/>
  <c r="AI10" i="4"/>
  <c r="AI11" i="4"/>
  <c r="AI47" i="1" s="1"/>
  <c r="AI52" i="1" s="1"/>
  <c r="AI102" i="1"/>
  <c r="F10" i="5" s="1"/>
  <c r="AI15" i="1"/>
  <c r="AI157" i="1" s="1"/>
  <c r="F7" i="5" l="1"/>
  <c r="F9" i="5" s="1"/>
  <c r="F13" i="5" s="1"/>
  <c r="F15" i="5" s="1"/>
  <c r="T4" i="4"/>
  <c r="T9" i="4" s="1"/>
  <c r="T13" i="1" s="1"/>
  <c r="AJ4" i="4"/>
  <c r="AI16" i="1"/>
  <c r="T102" i="1" l="1"/>
  <c r="T15" i="1"/>
  <c r="T157" i="1" s="1"/>
  <c r="T8" i="4"/>
  <c r="T11" i="4"/>
  <c r="T47" i="1" s="1"/>
  <c r="T52" i="1" s="1"/>
  <c r="T16" i="1" l="1"/>
  <c r="U4" i="4"/>
  <c r="U9" i="4" s="1"/>
  <c r="U8" i="4" l="1"/>
  <c r="AJ8" i="4" s="1"/>
  <c r="U13" i="1"/>
  <c r="U11" i="4"/>
  <c r="U47" i="1" s="1"/>
  <c r="U52" i="1" s="1"/>
  <c r="AJ9" i="4"/>
  <c r="AJ13" i="1" s="1"/>
  <c r="AJ15" i="1" l="1"/>
  <c r="AJ157" i="1" s="1"/>
  <c r="AJ102" i="1"/>
  <c r="G10" i="5" s="1"/>
  <c r="U102" i="1"/>
  <c r="U15" i="1"/>
  <c r="U157" i="1" s="1"/>
  <c r="AJ10" i="4"/>
  <c r="AJ11" i="4"/>
  <c r="AJ47" i="1" s="1"/>
  <c r="AJ52" i="1" s="1"/>
  <c r="U16" i="1" l="1"/>
  <c r="AJ16" i="1"/>
  <c r="G7" i="5"/>
  <c r="AK4" i="4"/>
  <c r="V4" i="4"/>
  <c r="G9" i="5" l="1"/>
  <c r="G13" i="5" s="1"/>
  <c r="G16" i="5" s="1"/>
  <c r="V9" i="4"/>
  <c r="V11" i="4" l="1"/>
  <c r="V47" i="1" s="1"/>
  <c r="V52" i="1" s="1"/>
  <c r="V13" i="1"/>
  <c r="G15" i="5"/>
  <c r="V8" i="4"/>
  <c r="W4" i="4" l="1"/>
  <c r="W9" i="4" s="1"/>
  <c r="V102" i="1"/>
  <c r="V15" i="1"/>
  <c r="V157" i="1" s="1"/>
  <c r="V16" i="1" l="1"/>
  <c r="W8" i="4"/>
  <c r="AK8" i="4" s="1"/>
  <c r="W13" i="1"/>
  <c r="W11" i="4"/>
  <c r="W47" i="1" s="1"/>
  <c r="W52" i="1" s="1"/>
  <c r="AK9" i="4"/>
  <c r="AK13" i="1" s="1"/>
  <c r="AK15" i="1" l="1"/>
  <c r="AK157" i="1" s="1"/>
  <c r="AK102" i="1"/>
  <c r="W102" i="1"/>
  <c r="W15" i="1"/>
  <c r="W157" i="1" s="1"/>
  <c r="AK10" i="4"/>
  <c r="AK11" i="4"/>
  <c r="AK47" i="1" s="1"/>
  <c r="AK52" i="1" s="1"/>
  <c r="W16" i="1" l="1"/>
  <c r="AK16" i="1"/>
  <c r="C32" i="5"/>
  <c r="G140" i="1" l="1"/>
  <c r="J140" i="1"/>
  <c r="C140" i="1"/>
  <c r="C143" i="1" s="1"/>
  <c r="I140" i="1"/>
  <c r="H140" i="1"/>
  <c r="F140" i="1"/>
  <c r="H142" i="1"/>
  <c r="AD140" i="1"/>
  <c r="D143" i="1"/>
  <c r="E143" i="1"/>
  <c r="F142" i="1" s="1"/>
  <c r="F143" i="1" l="1"/>
  <c r="G142" i="1" s="1"/>
  <c r="G143" i="1" s="1"/>
  <c r="H143" i="1"/>
  <c r="I142" i="1" l="1"/>
  <c r="I143" i="1" s="1"/>
  <c r="AD143" i="1"/>
  <c r="AE142" i="1" s="1"/>
  <c r="AE143" i="1" s="1"/>
  <c r="L142" i="1" s="1"/>
  <c r="L143" i="1" s="1"/>
  <c r="J142" i="1" l="1"/>
  <c r="J143" i="1" s="1"/>
  <c r="K142" i="1" s="1"/>
  <c r="K143" i="1" s="1"/>
  <c r="AF28" i="4" l="1"/>
  <c r="AF31" i="4" s="1"/>
  <c r="AF75" i="1" s="1"/>
  <c r="AF79" i="1" s="1"/>
  <c r="N28" i="4" l="1"/>
  <c r="N31" i="4" s="1"/>
  <c r="N75" i="1" s="1"/>
  <c r="N79" i="1" s="1"/>
  <c r="AF32" i="4"/>
  <c r="AG28" i="4"/>
  <c r="AG31" i="4" s="1"/>
  <c r="AG75" i="1" s="1"/>
  <c r="AG79" i="1" s="1"/>
  <c r="AF17" i="1" l="1"/>
  <c r="AF20" i="1" s="1"/>
  <c r="AF21" i="1" s="1"/>
  <c r="M32" i="4"/>
  <c r="M33" i="4" s="1"/>
  <c r="N32" i="4"/>
  <c r="N17" i="1" s="1"/>
  <c r="N20" i="1" s="1"/>
  <c r="O28" i="4"/>
  <c r="O31" i="4" s="1"/>
  <c r="O75" i="1" s="1"/>
  <c r="O79" i="1" s="1"/>
  <c r="AH28" i="4"/>
  <c r="AH31" i="4" s="1"/>
  <c r="AH75" i="1" s="1"/>
  <c r="AH79" i="1" s="1"/>
  <c r="P28" i="4"/>
  <c r="P31" i="4" s="1"/>
  <c r="P75" i="1" s="1"/>
  <c r="P79" i="1" s="1"/>
  <c r="AG32" i="4"/>
  <c r="AG17" i="1" s="1"/>
  <c r="AG20" i="1" s="1"/>
  <c r="M75" i="1"/>
  <c r="M79" i="1" s="1"/>
  <c r="AF22" i="1" l="1"/>
  <c r="AF27" i="1" s="1"/>
  <c r="AF28" i="1" s="1"/>
  <c r="N21" i="1"/>
  <c r="N22" i="1"/>
  <c r="N27" i="1" s="1"/>
  <c r="AG22" i="1"/>
  <c r="AG27" i="1" s="1"/>
  <c r="AG21" i="1"/>
  <c r="AH32" i="4"/>
  <c r="AH17" i="1" s="1"/>
  <c r="AH20" i="1" s="1"/>
  <c r="R28" i="4"/>
  <c r="R31" i="4" s="1"/>
  <c r="R75" i="1" s="1"/>
  <c r="R79" i="1" s="1"/>
  <c r="AI28" i="4"/>
  <c r="AI31" i="4" s="1"/>
  <c r="AI75" i="1" s="1"/>
  <c r="AI79" i="1" s="1"/>
  <c r="M17" i="1"/>
  <c r="M20" i="1" s="1"/>
  <c r="O32" i="4"/>
  <c r="O17" i="1" s="1"/>
  <c r="O20" i="1" s="1"/>
  <c r="P32" i="4"/>
  <c r="P17" i="1" s="1"/>
  <c r="P20" i="1" s="1"/>
  <c r="Q28" i="4"/>
  <c r="Q31" i="4" s="1"/>
  <c r="Q75" i="1" s="1"/>
  <c r="Q79" i="1" s="1"/>
  <c r="M22" i="1" l="1"/>
  <c r="M23" i="1" s="1"/>
  <c r="AF30" i="1"/>
  <c r="AF96" i="1" s="1"/>
  <c r="AF109" i="1" s="1"/>
  <c r="AF25" i="1"/>
  <c r="O22" i="1"/>
  <c r="O27" i="1" s="1"/>
  <c r="N28" i="1"/>
  <c r="N25" i="1"/>
  <c r="N30" i="1"/>
  <c r="AH21" i="1"/>
  <c r="AH22" i="1"/>
  <c r="AG25" i="1"/>
  <c r="AG30" i="1"/>
  <c r="AG96" i="1" s="1"/>
  <c r="AG28" i="1"/>
  <c r="O21" i="1"/>
  <c r="M21" i="1"/>
  <c r="P22" i="1"/>
  <c r="P27" i="1" s="1"/>
  <c r="P21" i="1"/>
  <c r="S28" i="4"/>
  <c r="S31" i="4" s="1"/>
  <c r="S75" i="1" s="1"/>
  <c r="S79" i="1" s="1"/>
  <c r="R32" i="4"/>
  <c r="R17" i="1" s="1"/>
  <c r="R20" i="1" s="1"/>
  <c r="Q32" i="4"/>
  <c r="Q17" i="1" s="1"/>
  <c r="Q20" i="1" s="1"/>
  <c r="T28" i="4"/>
  <c r="T31" i="4" s="1"/>
  <c r="T75" i="1" s="1"/>
  <c r="T79" i="1" s="1"/>
  <c r="AJ28" i="4"/>
  <c r="AJ31" i="4" s="1"/>
  <c r="AJ75" i="1" s="1"/>
  <c r="AJ79" i="1" s="1"/>
  <c r="AI32" i="4"/>
  <c r="AI17" i="1" s="1"/>
  <c r="AI20" i="1" s="1"/>
  <c r="O33" i="4"/>
  <c r="AF33" i="1" l="1"/>
  <c r="AF115" i="1"/>
  <c r="AF120" i="1" s="1"/>
  <c r="M27" i="1"/>
  <c r="M25" i="1" s="1"/>
  <c r="AF34" i="1"/>
  <c r="O23" i="1"/>
  <c r="P25" i="1"/>
  <c r="P30" i="1"/>
  <c r="P28" i="1"/>
  <c r="AI22" i="1"/>
  <c r="AI27" i="1" s="1"/>
  <c r="AI21" i="1"/>
  <c r="Q22" i="1"/>
  <c r="Q23" i="1" s="1"/>
  <c r="Q21" i="1"/>
  <c r="R21" i="1"/>
  <c r="R22" i="1"/>
  <c r="AH27" i="1"/>
  <c r="C9" i="5"/>
  <c r="C13" i="5" s="1"/>
  <c r="C15" i="5" s="1"/>
  <c r="C17" i="5" s="1"/>
  <c r="AG109" i="1"/>
  <c r="AG115" i="1" s="1"/>
  <c r="AG120" i="1" s="1"/>
  <c r="AG160" i="1" s="1"/>
  <c r="AG34" i="1"/>
  <c r="AG33" i="1"/>
  <c r="O28" i="1"/>
  <c r="O25" i="1"/>
  <c r="O30" i="1"/>
  <c r="N33" i="1"/>
  <c r="N96" i="1"/>
  <c r="N109" i="1" s="1"/>
  <c r="N115" i="1" s="1"/>
  <c r="N120" i="1" s="1"/>
  <c r="N160" i="1" s="1"/>
  <c r="N34" i="1"/>
  <c r="Q33" i="4"/>
  <c r="AJ32" i="4"/>
  <c r="AJ17" i="1" s="1"/>
  <c r="AJ20" i="1" s="1"/>
  <c r="V28" i="4"/>
  <c r="V31" i="4" s="1"/>
  <c r="V75" i="1" s="1"/>
  <c r="V79" i="1" s="1"/>
  <c r="AK28" i="4"/>
  <c r="AK31" i="4" s="1"/>
  <c r="AK75" i="1" s="1"/>
  <c r="AK79" i="1" s="1"/>
  <c r="S32" i="4"/>
  <c r="S17" i="1" s="1"/>
  <c r="S20" i="1" s="1"/>
  <c r="U28" i="4"/>
  <c r="U31" i="4" s="1"/>
  <c r="U75" i="1" s="1"/>
  <c r="U79" i="1" s="1"/>
  <c r="T32" i="4"/>
  <c r="T17" i="1" s="1"/>
  <c r="T20" i="1" s="1"/>
  <c r="AF156" i="1" l="1"/>
  <c r="AF155" i="1" s="1"/>
  <c r="AF160" i="1"/>
  <c r="N140" i="1"/>
  <c r="N156" i="1"/>
  <c r="N155" i="1" s="1"/>
  <c r="AG140" i="1"/>
  <c r="AG156" i="1"/>
  <c r="AG155" i="1" s="1"/>
  <c r="AF140" i="1"/>
  <c r="M30" i="1"/>
  <c r="M34" i="1" s="1"/>
  <c r="M28" i="1"/>
  <c r="S22" i="1"/>
  <c r="S23" i="1" s="1"/>
  <c r="Q27" i="1"/>
  <c r="Q25" i="1" s="1"/>
  <c r="AH25" i="1"/>
  <c r="AH28" i="1"/>
  <c r="AH30" i="1"/>
  <c r="AH96" i="1" s="1"/>
  <c r="T21" i="1"/>
  <c r="T22" i="1"/>
  <c r="T27" i="1" s="1"/>
  <c r="R27" i="1"/>
  <c r="AJ22" i="1"/>
  <c r="AJ27" i="1" s="1"/>
  <c r="AJ21" i="1"/>
  <c r="O96" i="1"/>
  <c r="O109" i="1" s="1"/>
  <c r="O115" i="1" s="1"/>
  <c r="O120" i="1" s="1"/>
  <c r="O160" i="1" s="1"/>
  <c r="O34" i="1"/>
  <c r="O33" i="1"/>
  <c r="S21" i="1"/>
  <c r="AI28" i="1"/>
  <c r="AI30" i="1"/>
  <c r="AI96" i="1" s="1"/>
  <c r="AI25" i="1"/>
  <c r="P34" i="1"/>
  <c r="P96" i="1"/>
  <c r="P109" i="1" s="1"/>
  <c r="P115" i="1" s="1"/>
  <c r="P120" i="1" s="1"/>
  <c r="P160" i="1" s="1"/>
  <c r="P33" i="1"/>
  <c r="U32" i="4"/>
  <c r="U17" i="1" s="1"/>
  <c r="U20" i="1" s="1"/>
  <c r="S33" i="4"/>
  <c r="AK32" i="4"/>
  <c r="AK17" i="1" s="1"/>
  <c r="AK20" i="1" s="1"/>
  <c r="W28" i="4"/>
  <c r="W31" i="4" s="1"/>
  <c r="W75" i="1" s="1"/>
  <c r="W79" i="1" s="1"/>
  <c r="V32" i="4"/>
  <c r="V17" i="1" s="1"/>
  <c r="V20" i="1" s="1"/>
  <c r="O140" i="1" l="1"/>
  <c r="O156" i="1"/>
  <c r="O155" i="1" s="1"/>
  <c r="P140" i="1"/>
  <c r="P156" i="1"/>
  <c r="P155" i="1" s="1"/>
  <c r="M96" i="1"/>
  <c r="M109" i="1" s="1"/>
  <c r="M115" i="1" s="1"/>
  <c r="M120" i="1" s="1"/>
  <c r="M160" i="1" s="1"/>
  <c r="M33" i="1"/>
  <c r="S27" i="1"/>
  <c r="S30" i="1" s="1"/>
  <c r="Q28" i="1"/>
  <c r="Q30" i="1"/>
  <c r="Q34" i="1" s="1"/>
  <c r="AJ30" i="1"/>
  <c r="AJ96" i="1" s="1"/>
  <c r="AJ25" i="1"/>
  <c r="AJ28" i="1"/>
  <c r="V21" i="1"/>
  <c r="V22" i="1"/>
  <c r="U22" i="1"/>
  <c r="U23" i="1" s="1"/>
  <c r="R25" i="1"/>
  <c r="R28" i="1"/>
  <c r="R30" i="1"/>
  <c r="AH34" i="1"/>
  <c r="AH33" i="1"/>
  <c r="AH109" i="1"/>
  <c r="AH115" i="1" s="1"/>
  <c r="AH120" i="1" s="1"/>
  <c r="AH160" i="1" s="1"/>
  <c r="AK21" i="1"/>
  <c r="AK22" i="1"/>
  <c r="AK27" i="1" s="1"/>
  <c r="T25" i="1"/>
  <c r="T28" i="1"/>
  <c r="T30" i="1"/>
  <c r="U21" i="1"/>
  <c r="AI109" i="1"/>
  <c r="AI115" i="1" s="1"/>
  <c r="AI120" i="1" s="1"/>
  <c r="AI160" i="1" s="1"/>
  <c r="AI34" i="1"/>
  <c r="AI33" i="1"/>
  <c r="U33" i="4"/>
  <c r="W32" i="4"/>
  <c r="W17" i="1" s="1"/>
  <c r="W20" i="1" s="1"/>
  <c r="M140" i="1" l="1"/>
  <c r="M156" i="1"/>
  <c r="M155" i="1" s="1"/>
  <c r="AH140" i="1"/>
  <c r="AH156" i="1"/>
  <c r="AH155" i="1" s="1"/>
  <c r="AI140" i="1"/>
  <c r="AI156" i="1"/>
  <c r="AI155" i="1" s="1"/>
  <c r="S28" i="1"/>
  <c r="Q96" i="1"/>
  <c r="Q109" i="1" s="1"/>
  <c r="Q115" i="1" s="1"/>
  <c r="Q120" i="1" s="1"/>
  <c r="Q160" i="1" s="1"/>
  <c r="Q33" i="1"/>
  <c r="S25" i="1"/>
  <c r="AJ34" i="1"/>
  <c r="AJ109" i="1"/>
  <c r="AJ115" i="1" s="1"/>
  <c r="AJ120" i="1" s="1"/>
  <c r="AJ160" i="1" s="1"/>
  <c r="AJ33" i="1"/>
  <c r="T96" i="1"/>
  <c r="T109" i="1" s="1"/>
  <c r="T115" i="1" s="1"/>
  <c r="T120" i="1" s="1"/>
  <c r="T160" i="1" s="1"/>
  <c r="T34" i="1"/>
  <c r="T33" i="1"/>
  <c r="S33" i="1"/>
  <c r="S96" i="1"/>
  <c r="S109" i="1" s="1"/>
  <c r="S115" i="1" s="1"/>
  <c r="S120" i="1" s="1"/>
  <c r="S160" i="1" s="1"/>
  <c r="S34" i="1"/>
  <c r="W22" i="1"/>
  <c r="W23" i="1" s="1"/>
  <c r="W21" i="1"/>
  <c r="R33" i="1"/>
  <c r="R96" i="1"/>
  <c r="R109" i="1" s="1"/>
  <c r="R115" i="1" s="1"/>
  <c r="R120" i="1" s="1"/>
  <c r="R160" i="1" s="1"/>
  <c r="R34" i="1"/>
  <c r="V27" i="1"/>
  <c r="AK25" i="1"/>
  <c r="AK28" i="1"/>
  <c r="AK30" i="1"/>
  <c r="AK96" i="1" s="1"/>
  <c r="U27" i="1"/>
  <c r="W33" i="4"/>
  <c r="Q140" i="1" l="1"/>
  <c r="Q156" i="1"/>
  <c r="Q155" i="1" s="1"/>
  <c r="T140" i="1"/>
  <c r="T156" i="1"/>
  <c r="T155" i="1" s="1"/>
  <c r="R140" i="1"/>
  <c r="R156" i="1"/>
  <c r="R155" i="1" s="1"/>
  <c r="S140" i="1"/>
  <c r="S156" i="1"/>
  <c r="S155" i="1" s="1"/>
  <c r="AJ140" i="1"/>
  <c r="AJ156" i="1"/>
  <c r="AJ155" i="1" s="1"/>
  <c r="AF142" i="1"/>
  <c r="AF143" i="1" s="1"/>
  <c r="W27" i="1"/>
  <c r="W25" i="1" s="1"/>
  <c r="AK33" i="1"/>
  <c r="AK109" i="1"/>
  <c r="AK115" i="1" s="1"/>
  <c r="AK120" i="1" s="1"/>
  <c r="AK160" i="1" s="1"/>
  <c r="AK34" i="1"/>
  <c r="V25" i="1"/>
  <c r="V30" i="1"/>
  <c r="V28" i="1"/>
  <c r="U30" i="1"/>
  <c r="U25" i="1"/>
  <c r="U28" i="1"/>
  <c r="AK140" i="1" l="1"/>
  <c r="AK156" i="1"/>
  <c r="AK155" i="1" s="1"/>
  <c r="N142" i="1"/>
  <c r="AG142" i="1" s="1"/>
  <c r="AF59" i="1"/>
  <c r="M142" i="1"/>
  <c r="M143" i="1" s="1"/>
  <c r="M59" i="1" s="1"/>
  <c r="M60" i="1" s="1"/>
  <c r="M62" i="1" s="1"/>
  <c r="W28" i="1"/>
  <c r="W30" i="1"/>
  <c r="W33" i="1" s="1"/>
  <c r="U96" i="1"/>
  <c r="U109" i="1" s="1"/>
  <c r="U115" i="1" s="1"/>
  <c r="U120" i="1" s="1"/>
  <c r="U160" i="1" s="1"/>
  <c r="U34" i="1"/>
  <c r="U33" i="1"/>
  <c r="V34" i="1"/>
  <c r="V33" i="1"/>
  <c r="V96" i="1"/>
  <c r="V109" i="1" s="1"/>
  <c r="V115" i="1" s="1"/>
  <c r="V120" i="1" s="1"/>
  <c r="V160" i="1" s="1"/>
  <c r="M67" i="1"/>
  <c r="U140" i="1" l="1"/>
  <c r="U156" i="1"/>
  <c r="U155" i="1" s="1"/>
  <c r="V140" i="1"/>
  <c r="V156" i="1"/>
  <c r="V155" i="1" s="1"/>
  <c r="AF60" i="1"/>
  <c r="AF62" i="1" s="1"/>
  <c r="C18" i="5"/>
  <c r="C20" i="5" s="1"/>
  <c r="C22" i="5" s="1"/>
  <c r="AG143" i="1"/>
  <c r="N143" i="1"/>
  <c r="W34" i="1"/>
  <c r="W96" i="1"/>
  <c r="W109" i="1" s="1"/>
  <c r="W115" i="1" s="1"/>
  <c r="W120" i="1" s="1"/>
  <c r="W160" i="1" s="1"/>
  <c r="M68" i="1"/>
  <c r="M70" i="1" s="1"/>
  <c r="M91" i="1" s="1"/>
  <c r="AF67" i="1"/>
  <c r="W140" i="1" l="1"/>
  <c r="W156" i="1"/>
  <c r="W155" i="1" s="1"/>
  <c r="C24" i="5"/>
  <c r="F27" i="5"/>
  <c r="M93" i="1"/>
  <c r="O142" i="1"/>
  <c r="O143" i="1" s="1"/>
  <c r="O59" i="1" s="1"/>
  <c r="O60" i="1" s="1"/>
  <c r="O62" i="1" s="1"/>
  <c r="N59" i="1"/>
  <c r="N60" i="1" s="1"/>
  <c r="N62" i="1" s="1"/>
  <c r="P142" i="1"/>
  <c r="AG59" i="1"/>
  <c r="AG60" i="1" s="1"/>
  <c r="AG62" i="1" s="1"/>
  <c r="AF68" i="1"/>
  <c r="AF70" i="1" s="1"/>
  <c r="AF91" i="1" s="1"/>
  <c r="N67" i="1"/>
  <c r="AF93" i="1" l="1"/>
  <c r="P143" i="1"/>
  <c r="AH142" i="1"/>
  <c r="AH143" i="1" s="1"/>
  <c r="O67" i="1"/>
  <c r="N68" i="1"/>
  <c r="N70" i="1" s="1"/>
  <c r="N91" i="1" s="1"/>
  <c r="N93" i="1" l="1"/>
  <c r="R142" i="1"/>
  <c r="AH59" i="1"/>
  <c r="AH60" i="1" s="1"/>
  <c r="AH62" i="1" s="1"/>
  <c r="Q142" i="1"/>
  <c r="Q143" i="1" s="1"/>
  <c r="Q59" i="1" s="1"/>
  <c r="Q60" i="1" s="1"/>
  <c r="Q62" i="1" s="1"/>
  <c r="P59" i="1"/>
  <c r="P60" i="1" s="1"/>
  <c r="P62" i="1" s="1"/>
  <c r="AG67" i="1"/>
  <c r="O68" i="1"/>
  <c r="O70" i="1" s="1"/>
  <c r="O91" i="1" s="1"/>
  <c r="O93" i="1" l="1"/>
  <c r="R143" i="1"/>
  <c r="AI142" i="1"/>
  <c r="AI143" i="1" s="1"/>
  <c r="AG68" i="1"/>
  <c r="AG70" i="1" s="1"/>
  <c r="AG91" i="1" s="1"/>
  <c r="P67" i="1"/>
  <c r="AG93" i="1" l="1"/>
  <c r="T142" i="1"/>
  <c r="AI59" i="1"/>
  <c r="AI60" i="1" s="1"/>
  <c r="AI62" i="1" s="1"/>
  <c r="S142" i="1"/>
  <c r="S143" i="1" s="1"/>
  <c r="S59" i="1" s="1"/>
  <c r="S60" i="1" s="1"/>
  <c r="S62" i="1" s="1"/>
  <c r="R59" i="1"/>
  <c r="R60" i="1" s="1"/>
  <c r="R62" i="1" s="1"/>
  <c r="Q67" i="1"/>
  <c r="P68" i="1"/>
  <c r="P70" i="1" s="1"/>
  <c r="P91" i="1" s="1"/>
  <c r="P93" i="1" l="1"/>
  <c r="T143" i="1"/>
  <c r="AJ142" i="1"/>
  <c r="AJ143" i="1" s="1"/>
  <c r="AH67" i="1"/>
  <c r="Q68" i="1"/>
  <c r="Q70" i="1" s="1"/>
  <c r="Q91" i="1" s="1"/>
  <c r="Q93" i="1" l="1"/>
  <c r="V142" i="1"/>
  <c r="AJ59" i="1"/>
  <c r="AJ60" i="1" s="1"/>
  <c r="AJ62" i="1" s="1"/>
  <c r="U142" i="1"/>
  <c r="U143" i="1" s="1"/>
  <c r="U59" i="1" s="1"/>
  <c r="U60" i="1" s="1"/>
  <c r="U62" i="1" s="1"/>
  <c r="T59" i="1"/>
  <c r="T60" i="1" s="1"/>
  <c r="T62" i="1" s="1"/>
  <c r="AH68" i="1"/>
  <c r="AH70" i="1" s="1"/>
  <c r="AH91" i="1" s="1"/>
  <c r="R67" i="1"/>
  <c r="AH93" i="1" l="1"/>
  <c r="V143" i="1"/>
  <c r="AK142" i="1"/>
  <c r="AK143" i="1" s="1"/>
  <c r="AK59" i="1" s="1"/>
  <c r="AK60" i="1" s="1"/>
  <c r="AK62" i="1" s="1"/>
  <c r="R68" i="1"/>
  <c r="R70" i="1" s="1"/>
  <c r="R91" i="1" s="1"/>
  <c r="S67" i="1"/>
  <c r="R93" i="1" l="1"/>
  <c r="W142" i="1"/>
  <c r="W143" i="1" s="1"/>
  <c r="W59" i="1" s="1"/>
  <c r="W60" i="1" s="1"/>
  <c r="W62" i="1" s="1"/>
  <c r="V59" i="1"/>
  <c r="V60" i="1" s="1"/>
  <c r="V62" i="1" s="1"/>
  <c r="AI67" i="1"/>
  <c r="S68" i="1"/>
  <c r="S70" i="1" s="1"/>
  <c r="S91" i="1" s="1"/>
  <c r="S93" i="1" l="1"/>
  <c r="AI68" i="1"/>
  <c r="AI70" i="1" s="1"/>
  <c r="AI91" i="1" s="1"/>
  <c r="T67" i="1"/>
  <c r="AI93" i="1" l="1"/>
  <c r="U67" i="1"/>
  <c r="T68" i="1"/>
  <c r="T70" i="1" s="1"/>
  <c r="T91" i="1" s="1"/>
  <c r="T93" i="1" l="1"/>
  <c r="U68" i="1"/>
  <c r="U70" i="1" s="1"/>
  <c r="U91" i="1" s="1"/>
  <c r="AJ67" i="1"/>
  <c r="U93" i="1" l="1"/>
  <c r="AJ68" i="1"/>
  <c r="AJ70" i="1" s="1"/>
  <c r="AJ91" i="1" s="1"/>
  <c r="V67" i="1"/>
  <c r="AJ93" i="1" l="1"/>
  <c r="V68" i="1"/>
  <c r="V70" i="1" s="1"/>
  <c r="V91" i="1" s="1"/>
  <c r="W67" i="1"/>
  <c r="V93" i="1" l="1"/>
  <c r="AK67" i="1"/>
  <c r="AK68" i="1" s="1"/>
  <c r="AK70" i="1" s="1"/>
  <c r="AK91" i="1" s="1"/>
  <c r="W68" i="1"/>
  <c r="W70" i="1" s="1"/>
  <c r="W91" i="1" s="1"/>
  <c r="AK93" i="1" l="1"/>
  <c r="W9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Praveen Kumar</author>
  </authors>
  <commentList>
    <comment ref="AG16" authorId="0" shapeId="0" xr:uid="{479BD251-1B1E-41B0-96EE-AE1FFB0DCAED}">
      <text>
        <r>
          <rPr>
            <sz val="9"/>
            <color indexed="81"/>
            <rFont val="Tahoma"/>
            <family val="2"/>
          </rPr>
          <t xml:space="preserve">Conditional on the challenges posed by the global tariff environment, FY26 is expected to be a transition year with 
improving trends in Organic Net Sales. Amid extraordinary trade tensions, we are focused on defending Organic 
Operating Margin to the fullest extent possible. Cash conversion to improve. 
From FY27 to FY29, projecting stronger Organic Net Sales growth, aiming for a range, on average of +3% to +6%, 
accompanied with Organic Operating Margin expansion. </t>
        </r>
      </text>
    </comment>
    <comment ref="AF36" authorId="0" shapeId="0" xr:uid="{4A45377C-0541-458D-BB64-79A705FDE6F6}">
      <text>
        <r>
          <rPr>
            <sz val="9"/>
            <color indexed="81"/>
            <rFont val="Tahoma"/>
            <family val="2"/>
          </rPr>
          <t>Anticipating low single digit decline in Organic Net Sales for FY25</t>
        </r>
      </text>
    </comment>
    <comment ref="AF41" authorId="0" shapeId="0" xr:uid="{8257077A-4B20-431C-984E-0A2191976D6E}">
      <text>
        <r>
          <rPr>
            <sz val="9"/>
            <color indexed="81"/>
            <rFont val="Tahoma"/>
            <family val="2"/>
          </rPr>
          <t xml:space="preserve">Ongoing challenging macroeconomic environment and intense geopolitical uncertainties continue to impact the Spirits 
market, particularly the worsening context in China and Travel Retail Asia, notably impacting Martell.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Praveen Kumar</author>
  </authors>
  <commentList>
    <comment ref="AG16" authorId="0" shapeId="0" xr:uid="{72C4B2D2-8394-41AB-8980-F2417B37CBC7}">
      <text>
        <r>
          <rPr>
            <sz val="9"/>
            <color indexed="81"/>
            <rFont val="Tahoma"/>
            <family val="2"/>
          </rPr>
          <t xml:space="preserve">Conditional on the challenges posed by the global tariff environment, FY26 is expected to be a transition year with 
improving trends in Organic Net Sales. Amid extraordinary trade tensions, we are focused on defending Organic 
Operating Margin to the fullest extent possible. Cash conversion to improve. 
From FY27 to FY29, projecting stronger Organic Net Sales growth, aiming for a range, on average of +3% to +6%, 
accompanied with Organic Operating Margin expansion. </t>
        </r>
      </text>
    </comment>
    <comment ref="AF36" authorId="0" shapeId="0" xr:uid="{D62CD3F1-8767-4095-800D-D6B9A63FC443}">
      <text>
        <r>
          <rPr>
            <sz val="9"/>
            <color indexed="81"/>
            <rFont val="Tahoma"/>
            <family val="2"/>
          </rPr>
          <t>Anticipating low single digit decline in Organic Net Sales for FY25</t>
        </r>
      </text>
    </comment>
    <comment ref="AF41" authorId="0" shapeId="0" xr:uid="{00687A78-591E-4A71-B1B1-B56DFC957DE8}">
      <text>
        <r>
          <rPr>
            <sz val="9"/>
            <color indexed="81"/>
            <rFont val="Tahoma"/>
            <family val="2"/>
          </rPr>
          <t xml:space="preserve">Ongoing challenging macroeconomic environment and intense geopolitical uncertainties continue to impact the Spirits 
market, particularly the worsening context in China and Travel Retail Asia, notably impacting Martell.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Praveen Kumar</author>
  </authors>
  <commentList>
    <comment ref="N11" authorId="0" shapeId="0" xr:uid="{99EDF231-45C9-406D-BA55-BAAF8126AF34}">
      <text>
        <r>
          <rPr>
            <sz val="9"/>
            <color indexed="81"/>
            <rFont val="Tahoma"/>
            <family val="2"/>
          </rPr>
          <t xml:space="preserve"> €1bn over FY26–FY29 managemnet guidance modeled in structure costs</t>
        </r>
      </text>
    </comment>
    <comment ref="P11" authorId="0" shapeId="0" xr:uid="{CF3E7E8D-2E36-47D7-86A3-58DCA7F6BB01}">
      <text>
        <r>
          <rPr>
            <sz val="9"/>
            <color indexed="81"/>
            <rFont val="Tahoma"/>
            <family val="2"/>
          </rPr>
          <t xml:space="preserve"> €1bn over FY26–FY29 managemnet guidance modeled in structure costs</t>
        </r>
      </text>
    </comment>
    <comment ref="R11" authorId="0" shapeId="0" xr:uid="{958CB46C-DFAE-4EE8-825A-8BEBFD1D8CDE}">
      <text>
        <r>
          <rPr>
            <sz val="9"/>
            <color indexed="81"/>
            <rFont val="Tahoma"/>
            <family val="2"/>
          </rPr>
          <t xml:space="preserve"> €1bn over FY26–FY29 managemnet guidance modeled in structure costs</t>
        </r>
      </text>
    </comment>
    <comment ref="T11" authorId="0" shapeId="0" xr:uid="{86CB4829-F2B1-47FA-8D35-26302E41DA24}">
      <text>
        <r>
          <rPr>
            <sz val="9"/>
            <color indexed="81"/>
            <rFont val="Tahoma"/>
            <family val="2"/>
          </rPr>
          <t xml:space="preserve"> €1bn over FY26–FY29 managemnet guidance modeled in structure costs</t>
        </r>
      </text>
    </comment>
    <comment ref="AF16" authorId="0" shapeId="0" xr:uid="{8DA28D50-4132-4B1C-B9FC-7C21D407206F}">
      <text>
        <r>
          <rPr>
            <sz val="9"/>
            <color indexed="81"/>
            <rFont val="Tahoma"/>
            <family val="2"/>
          </rPr>
          <t xml:space="preserve">Management guidance sustained but I am lowballing it given the historical pattern of lower margins in H2. (Need to check the pattern)
</t>
        </r>
      </text>
    </comment>
    <comment ref="B154" authorId="0" shapeId="0" xr:uid="{B039A5FF-375A-4699-A4D3-55F9F553B4B0}">
      <text>
        <r>
          <rPr>
            <sz val="9"/>
            <color indexed="81"/>
            <rFont val="Tahoma"/>
            <family val="2"/>
          </rPr>
          <t>Standard Definition (as used in corporate finance)
Cash Conversion Ratio = Operating Cash Flow / EBITDA
This is the most common usage, especially for evaluating how efficiently EBITDA is converted into actual cash.
A ratio of ~80–100% is considered strong in capital-light businesses like spirits.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Praveen Kumar</author>
  </authors>
  <commentList>
    <comment ref="AG5" authorId="0" shapeId="0" xr:uid="{448918A2-056A-45A2-8188-EE22DDEEB9B4}">
      <text>
        <r>
          <rPr>
            <sz val="9"/>
            <color indexed="81"/>
            <rFont val="Tahoma"/>
            <family val="2"/>
          </rPr>
          <t>Capex to normalize at €1bn/year from FY26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28" authorId="0" shapeId="0" xr:uid="{5CBBCC85-16DD-4206-92F9-E0592DCB7927}">
      <text>
        <r>
          <rPr>
            <sz val="11"/>
            <color rgb="FF000000"/>
            <rFont val="Calibri"/>
            <family val="2"/>
          </rPr>
          <t>Treasury yield sourced from Bloomberg</t>
        </r>
      </text>
    </comment>
    <comment ref="C29" authorId="0" shapeId="0" xr:uid="{A87905F2-91DB-414B-BBAA-DAEECE79B79A}">
      <text>
        <r>
          <rPr>
            <sz val="11"/>
            <color rgb="FF000000"/>
            <rFont val="Calibri"/>
            <family val="2"/>
          </rPr>
          <t xml:space="preserve">Yahoo Finance
</t>
        </r>
      </text>
    </comment>
    <comment ref="C33" authorId="0" shapeId="0" xr:uid="{5FA80EDD-3D94-4E79-B9E5-C70DD733F219}">
      <text>
        <r>
          <rPr>
            <sz val="11"/>
            <color rgb="FF000000"/>
            <rFont val="Calibri"/>
            <family val="2"/>
          </rPr>
          <t>Assumed in line with revenue growth</t>
        </r>
      </text>
    </comment>
  </commentList>
</comments>
</file>

<file path=xl/sharedStrings.xml><?xml version="1.0" encoding="utf-8"?>
<sst xmlns="http://schemas.openxmlformats.org/spreadsheetml/2006/main" count="523" uniqueCount="243">
  <si>
    <t>FY21</t>
  </si>
  <si>
    <t>FY22</t>
  </si>
  <si>
    <t>FY23</t>
  </si>
  <si>
    <t>Sales</t>
  </si>
  <si>
    <t>Cost of Sales</t>
  </si>
  <si>
    <t>Gross Profit</t>
  </si>
  <si>
    <t>Gross Margin (%)</t>
  </si>
  <si>
    <t>D&amp;A</t>
  </si>
  <si>
    <t>EBIT</t>
  </si>
  <si>
    <t>EBIT Margin (%)</t>
  </si>
  <si>
    <t xml:space="preserve">PBT </t>
  </si>
  <si>
    <t>PBT Margin (%)</t>
  </si>
  <si>
    <t>Income Tax</t>
  </si>
  <si>
    <t>Profit of associates</t>
  </si>
  <si>
    <t>Net profit/loss</t>
  </si>
  <si>
    <t>Tax Rate (%)</t>
  </si>
  <si>
    <t>Non-controling interests</t>
  </si>
  <si>
    <t>EPS</t>
  </si>
  <si>
    <t>Basic</t>
  </si>
  <si>
    <t>Diluted</t>
  </si>
  <si>
    <t>No. of shares</t>
  </si>
  <si>
    <t>Net Profit Margin (%)</t>
  </si>
  <si>
    <t>In Euro millions</t>
  </si>
  <si>
    <t xml:space="preserve">Net profit/loss from discontinued </t>
  </si>
  <si>
    <t>Net Profit before discounted</t>
  </si>
  <si>
    <t>H1'21</t>
  </si>
  <si>
    <t>H2'21</t>
  </si>
  <si>
    <t>H1'22</t>
  </si>
  <si>
    <t>H2'22</t>
  </si>
  <si>
    <t>H1'23</t>
  </si>
  <si>
    <t>H2'23</t>
  </si>
  <si>
    <t>H1'24</t>
  </si>
  <si>
    <t>H2'24</t>
  </si>
  <si>
    <t>FY24</t>
  </si>
  <si>
    <t>Net Profit attributable to parents</t>
  </si>
  <si>
    <t>Organic</t>
  </si>
  <si>
    <t>Fx</t>
  </si>
  <si>
    <t>Scope</t>
  </si>
  <si>
    <t>Organic growth (%)</t>
  </si>
  <si>
    <t>Fx growth (%)</t>
  </si>
  <si>
    <t>Scope growth (%)</t>
  </si>
  <si>
    <t>Total Sales</t>
  </si>
  <si>
    <t>Growth (%)</t>
  </si>
  <si>
    <t>Total</t>
  </si>
  <si>
    <t>H1'25</t>
  </si>
  <si>
    <t>H2'25</t>
  </si>
  <si>
    <t>FY25</t>
  </si>
  <si>
    <t>H1'26</t>
  </si>
  <si>
    <t>H2'26</t>
  </si>
  <si>
    <t>FY26</t>
  </si>
  <si>
    <t>H1'27</t>
  </si>
  <si>
    <t>H2'27</t>
  </si>
  <si>
    <t>FY27</t>
  </si>
  <si>
    <t>H1'28</t>
  </si>
  <si>
    <t>H2'28</t>
  </si>
  <si>
    <t>FY28</t>
  </si>
  <si>
    <t>H1'29</t>
  </si>
  <si>
    <t>H2'29</t>
  </si>
  <si>
    <t>FY29</t>
  </si>
  <si>
    <t>H1'30</t>
  </si>
  <si>
    <t>H2'30</t>
  </si>
  <si>
    <t>FY30</t>
  </si>
  <si>
    <t>SG&amp;A Margin (%)</t>
  </si>
  <si>
    <t>Income Statement</t>
  </si>
  <si>
    <t xml:space="preserve">Balance Sheet </t>
  </si>
  <si>
    <t>Goodwill</t>
  </si>
  <si>
    <t>Intangibles</t>
  </si>
  <si>
    <t>PP&amp;E</t>
  </si>
  <si>
    <t>Investment in associates</t>
  </si>
  <si>
    <t>Non-current Assets</t>
  </si>
  <si>
    <t>Inventories</t>
  </si>
  <si>
    <t>Trade and other receivables</t>
  </si>
  <si>
    <t>Income tax receivables</t>
  </si>
  <si>
    <t>Derivatives</t>
  </si>
  <si>
    <t>Cash and cash equivalents</t>
  </si>
  <si>
    <t>Current Assets</t>
  </si>
  <si>
    <t>Total Assets</t>
  </si>
  <si>
    <t>Share Capital</t>
  </si>
  <si>
    <t>Share Premium</t>
  </si>
  <si>
    <t>Treasury Shares</t>
  </si>
  <si>
    <t>Retained Earnings</t>
  </si>
  <si>
    <t>Equity - parents</t>
  </si>
  <si>
    <t>Non-controliing interests</t>
  </si>
  <si>
    <t xml:space="preserve">Equity </t>
  </si>
  <si>
    <t>Provision for employee benefits</t>
  </si>
  <si>
    <t>Long-term provisions</t>
  </si>
  <si>
    <t>Non-Current Liabilities</t>
  </si>
  <si>
    <t>Income Tax payables</t>
  </si>
  <si>
    <t>Short-term provisions</t>
  </si>
  <si>
    <t>Current Liabilities</t>
  </si>
  <si>
    <t>Total Equity &amp; Liabilities</t>
  </si>
  <si>
    <t>Check</t>
  </si>
  <si>
    <t>In Euro Millions</t>
  </si>
  <si>
    <t xml:space="preserve">Cash Flow </t>
  </si>
  <si>
    <t>Share based payments</t>
  </si>
  <si>
    <t>Dividends received</t>
  </si>
  <si>
    <t>Changes in inventories</t>
  </si>
  <si>
    <t>Changes in Trade Payables</t>
  </si>
  <si>
    <t>Changes in other receivables ad payables</t>
  </si>
  <si>
    <t>Net cash fo from operations</t>
  </si>
  <si>
    <t>Other operating cash flows</t>
  </si>
  <si>
    <t>Net cash flow from operatng activities</t>
  </si>
  <si>
    <t>Cash Flow from other financial assets</t>
  </si>
  <si>
    <t>Net Cash flow from investment activities</t>
  </si>
  <si>
    <t xml:space="preserve">Increase in debt </t>
  </si>
  <si>
    <t xml:space="preserve">Repayment of debt </t>
  </si>
  <si>
    <t>Dividends paid</t>
  </si>
  <si>
    <t>Net Cash Flow from financing activities</t>
  </si>
  <si>
    <t>FX</t>
  </si>
  <si>
    <t>Changes in cash and cash equivalents</t>
  </si>
  <si>
    <t>Cash and cash equivalents at the beginning of period</t>
  </si>
  <si>
    <t>Cash and cash equivalents at the end of period</t>
  </si>
  <si>
    <t>Change in W.C.R</t>
  </si>
  <si>
    <t>Disposals of non-current assets</t>
  </si>
  <si>
    <t>Impact of discontinued</t>
  </si>
  <si>
    <t>Capex</t>
  </si>
  <si>
    <t>Capex/sales Ratio</t>
  </si>
  <si>
    <t>Disposals</t>
  </si>
  <si>
    <t>Depreciation rate (%)</t>
  </si>
  <si>
    <t>Net Value</t>
  </si>
  <si>
    <t>Accumulated deprecation</t>
  </si>
  <si>
    <t>Depeciation charge for the year</t>
  </si>
  <si>
    <t>Opening Balance</t>
  </si>
  <si>
    <t>Closing Balance</t>
  </si>
  <si>
    <t>Trade Receivables</t>
  </si>
  <si>
    <t>Trade Payables</t>
  </si>
  <si>
    <t>Working Capital</t>
  </si>
  <si>
    <t>Inventory Days</t>
  </si>
  <si>
    <t>Days Receivables</t>
  </si>
  <si>
    <t>Days Payables</t>
  </si>
  <si>
    <t>No. of days</t>
  </si>
  <si>
    <t>Debt Schedule</t>
  </si>
  <si>
    <t>Interest Expense</t>
  </si>
  <si>
    <t xml:space="preserve">% of debt </t>
  </si>
  <si>
    <t>Other financial income/expenses</t>
  </si>
  <si>
    <t>Opening Value</t>
  </si>
  <si>
    <t>DCF</t>
  </si>
  <si>
    <t>Revenues</t>
  </si>
  <si>
    <t>Tax</t>
  </si>
  <si>
    <t>EBIT (1-t)</t>
  </si>
  <si>
    <t>NWC</t>
  </si>
  <si>
    <t>Capital expenditures</t>
  </si>
  <si>
    <t>Unlevered free cash flows (UFCF)</t>
  </si>
  <si>
    <t>Discounting factor</t>
  </si>
  <si>
    <t>FCFF</t>
  </si>
  <si>
    <t>TV</t>
  </si>
  <si>
    <t>Enterprise Value</t>
  </si>
  <si>
    <t>Net Debt</t>
  </si>
  <si>
    <t>Minority Interest</t>
  </si>
  <si>
    <t>Equity Value</t>
  </si>
  <si>
    <t>Target Price</t>
  </si>
  <si>
    <t>CMP</t>
  </si>
  <si>
    <t>Change(%)</t>
  </si>
  <si>
    <t>Assumptions</t>
  </si>
  <si>
    <t>Sensitivity Analysis</t>
  </si>
  <si>
    <t>Equity Risk Premium</t>
  </si>
  <si>
    <t>Risk Free rate</t>
  </si>
  <si>
    <t>Beta</t>
  </si>
  <si>
    <t>WACC</t>
  </si>
  <si>
    <t>Cost of Equity</t>
  </si>
  <si>
    <t>Cost of Debt</t>
  </si>
  <si>
    <t>Growth rate (%)</t>
  </si>
  <si>
    <t>Figures in Euro millions, except share data</t>
  </si>
  <si>
    <t>2025E</t>
  </si>
  <si>
    <t>2026E</t>
  </si>
  <si>
    <t>2027E</t>
  </si>
  <si>
    <t>2028E</t>
  </si>
  <si>
    <t>Schedules</t>
  </si>
  <si>
    <t>Other operating income/expense</t>
  </si>
  <si>
    <t>Structure Costs</t>
  </si>
  <si>
    <t>Financial Expenses</t>
  </si>
  <si>
    <t>Financial Income</t>
  </si>
  <si>
    <t>Non-current financial Assets</t>
  </si>
  <si>
    <t>Deferred Tax Assets</t>
  </si>
  <si>
    <t>Non-current	 derivative	 instruments</t>
  </si>
  <si>
    <t xml:space="preserve">Other current assets </t>
  </si>
  <si>
    <t>Assets held for sale</t>
  </si>
  <si>
    <t xml:space="preserve">Group share of net profit </t>
  </si>
  <si>
    <t>Deferred Tax liabilities</t>
  </si>
  <si>
    <t>Bonds - non-current</t>
  </si>
  <si>
    <t>Non-current lease liabilities</t>
  </si>
  <si>
    <t>Other non-current financial liabilities</t>
  </si>
  <si>
    <t>Non-current derivative instruments</t>
  </si>
  <si>
    <t>Trade and Other payables</t>
  </si>
  <si>
    <t>Other current liabilities</t>
  </si>
  <si>
    <t>Bonds - current</t>
  </si>
  <si>
    <t>Current lease liabilities</t>
  </si>
  <si>
    <t>Other current financial liabilities</t>
  </si>
  <si>
    <t>Liabilities held for sale</t>
  </si>
  <si>
    <t>PAT</t>
  </si>
  <si>
    <t>MI</t>
  </si>
  <si>
    <t>Share of net profit/(loss) of associates, net of dividends received</t>
  </si>
  <si>
    <t>Financial (income)/expenses</t>
  </si>
  <si>
    <t>Tax (income)/expenses</t>
  </si>
  <si>
    <t>Net profit from discontinued operations</t>
  </si>
  <si>
    <t>Depreciation of fixed assets</t>
  </si>
  <si>
    <t>Net change in provisions</t>
  </si>
  <si>
    <t>Net change in impairment of goodwill, property, plant and equipment and intangible assets</t>
  </si>
  <si>
    <t>Changes in fair value of commercial derivatives</t>
  </si>
  <si>
    <t>Changes in fair value of biological assets and investments</t>
  </si>
  <si>
    <t>Self-financing capacity before financing interest and taxes</t>
  </si>
  <si>
    <t>Changes in Trade Receivables</t>
  </si>
  <si>
    <t>Interest Paid</t>
  </si>
  <si>
    <t>Interest Received</t>
  </si>
  <si>
    <t>Tax paid/received</t>
  </si>
  <si>
    <t xml:space="preserve">Purchase of financial assets </t>
  </si>
  <si>
    <t xml:space="preserve">Disposals of financial assets </t>
  </si>
  <si>
    <t>Repayment of lease liabilities</t>
  </si>
  <si>
    <t>Cash flows from non-current assets held for sale</t>
  </si>
  <si>
    <t>Increase/(Decrease) in cash and cash equivalents before foreign exchange impact</t>
  </si>
  <si>
    <t xml:space="preserve">Changes in shareholders' equity </t>
  </si>
  <si>
    <t>Americas</t>
  </si>
  <si>
    <t>Europe</t>
  </si>
  <si>
    <t>Asia/Row</t>
  </si>
  <si>
    <t>Total Sales - Asia/Row</t>
  </si>
  <si>
    <t>Total Sales - Europe</t>
  </si>
  <si>
    <t>Total Sales - Americas</t>
  </si>
  <si>
    <t>Advertising &amp; Promotions</t>
  </si>
  <si>
    <t xml:space="preserve">Repayment </t>
  </si>
  <si>
    <t>Addition</t>
  </si>
  <si>
    <t>Dividend per share</t>
  </si>
  <si>
    <t>Contribution after advertising and promotion expenses</t>
  </si>
  <si>
    <t>2029E</t>
  </si>
  <si>
    <t>High dividend yield but not favourable because it is due to fall in stock price</t>
  </si>
  <si>
    <t xml:space="preserve">Valuation </t>
  </si>
  <si>
    <t>EV/FCF</t>
  </si>
  <si>
    <t>Ratio</t>
  </si>
  <si>
    <t>Dividend Yield</t>
  </si>
  <si>
    <t>Dividend payout</t>
  </si>
  <si>
    <t>EV/EBITDA</t>
  </si>
  <si>
    <t xml:space="preserve">Net Debt </t>
  </si>
  <si>
    <t>Net Debt / EBITDA</t>
  </si>
  <si>
    <t>RoE</t>
  </si>
  <si>
    <t>RoI</t>
  </si>
  <si>
    <t>RoCE</t>
  </si>
  <si>
    <t>Pernod Ricard</t>
  </si>
  <si>
    <t>A&amp;P / Sales</t>
  </si>
  <si>
    <t>Cash Conversion Ratio</t>
  </si>
  <si>
    <t>CFO/EBITDA</t>
  </si>
  <si>
    <t>CFO</t>
  </si>
  <si>
    <t>EBITDA</t>
  </si>
  <si>
    <t>FCF</t>
  </si>
  <si>
    <t>OCF/EBITDA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</si>
</sst>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
    <numFmt numFmtId="167" formatCode="#,##0.000"/>
    <numFmt numFmtId="168" formatCode="_ * #,##0_ ;_ * \-#,##0_ ;_ * &quot;-&quot;??_ ;_ @_ "/>
  </numFmts>
  <fonts count="23" x14ac:knownFonts="1">
    <font>
      <sz val="11"/>
      <color theme="1"/>
      <name val="Calibri"/>
      <family val="2"/>
      <scheme val="minor"/>
    </font>
    <font>
      <b/>
      <sz val="11"/>
      <color theme="1"/>
      <name val="Calibri"/>
      <family val="2"/>
      <scheme val="minor"/>
    </font>
    <font>
      <i/>
      <sz val="11"/>
      <color theme="1"/>
      <name val="Calibri"/>
      <family val="2"/>
      <scheme val="minor"/>
    </font>
    <font>
      <i/>
      <sz val="10"/>
      <color theme="1"/>
      <name val="Calibri"/>
      <family val="2"/>
      <scheme val="minor"/>
    </font>
    <font>
      <sz val="10"/>
      <color theme="1"/>
      <name val="Calibri"/>
      <family val="2"/>
      <scheme val="minor"/>
    </font>
    <font>
      <i/>
      <sz val="10"/>
      <color theme="1" tint="4.9989318521683403E-2"/>
      <name val="Calibri"/>
      <family val="2"/>
      <scheme val="minor"/>
    </font>
    <font>
      <i/>
      <sz val="11"/>
      <color theme="1" tint="4.9989318521683403E-2"/>
      <name val="Calibri"/>
      <family val="2"/>
      <scheme val="minor"/>
    </font>
    <font>
      <sz val="11"/>
      <color rgb="FF0070C0"/>
      <name val="Calibri"/>
      <family val="2"/>
      <scheme val="minor"/>
    </font>
    <font>
      <i/>
      <sz val="11"/>
      <color theme="5" tint="-0.249977111117893"/>
      <name val="Calibri"/>
      <family val="2"/>
      <scheme val="minor"/>
    </font>
    <font>
      <sz val="11"/>
      <color rgb="FFC65911"/>
      <name val="Calibri"/>
      <family val="2"/>
      <scheme val="minor"/>
    </font>
    <font>
      <sz val="11"/>
      <name val="Calibri"/>
      <family val="2"/>
      <scheme val="minor"/>
    </font>
    <font>
      <i/>
      <sz val="11"/>
      <color rgb="FFC65911"/>
      <name val="Calibri"/>
      <family val="2"/>
      <scheme val="minor"/>
    </font>
    <font>
      <sz val="11"/>
      <color rgb="FF000000"/>
      <name val="Calibri"/>
      <family val="2"/>
    </font>
    <font>
      <b/>
      <sz val="11"/>
      <color rgb="FF000000"/>
      <name val="Calibri"/>
      <family val="2"/>
    </font>
    <font>
      <b/>
      <i/>
      <sz val="11"/>
      <color rgb="FF000000"/>
      <name val="Calibri"/>
      <family val="2"/>
    </font>
    <font>
      <sz val="9"/>
      <color rgb="FFFF0000"/>
      <name val="Calibri"/>
      <family val="2"/>
    </font>
    <font>
      <i/>
      <sz val="11"/>
      <color rgb="FF000000"/>
      <name val="Calibri"/>
      <family val="2"/>
    </font>
    <font>
      <sz val="11"/>
      <name val="Calibri"/>
      <family val="2"/>
    </font>
    <font>
      <i/>
      <sz val="10"/>
      <color rgb="FFC00000"/>
      <name val="Calibri"/>
      <family val="2"/>
      <scheme val="minor"/>
    </font>
    <font>
      <i/>
      <sz val="11"/>
      <color rgb="FFFF0000"/>
      <name val="Calibri"/>
      <family val="2"/>
      <scheme val="minor"/>
    </font>
    <font>
      <i/>
      <sz val="10"/>
      <color rgb="FFFF0000"/>
      <name val="Calibri"/>
      <family val="2"/>
      <scheme val="minor"/>
    </font>
    <font>
      <i/>
      <sz val="10"/>
      <color theme="5" tint="-0.249977111117893"/>
      <name val="Calibri"/>
      <family val="2"/>
      <scheme val="minor"/>
    </font>
    <font>
      <sz val="9"/>
      <color indexed="81"/>
      <name val="Tahoma"/>
      <family val="2"/>
    </font>
  </fonts>
  <fills count="7">
    <fill>
      <patternFill patternType="none"/>
    </fill>
    <fill>
      <patternFill patternType="gray125"/>
    </fill>
    <fill>
      <patternFill patternType="solid">
        <fgColor theme="5" tint="0.39997558519241921"/>
        <bgColor indexed="64"/>
      </patternFill>
    </fill>
    <fill>
      <patternFill patternType="solid">
        <fgColor theme="6" tint="0.59999389629810485"/>
        <bgColor indexed="64"/>
      </patternFill>
    </fill>
    <fill>
      <patternFill patternType="solid">
        <fgColor rgb="FFF4B084"/>
        <bgColor indexed="64"/>
      </patternFill>
    </fill>
    <fill>
      <patternFill patternType="solid">
        <fgColor rgb="FFEAF1DD"/>
        <bgColor rgb="FFEAF1DD"/>
      </patternFill>
    </fill>
    <fill>
      <patternFill patternType="solid">
        <fgColor rgb="FFEAF1E7"/>
        <bgColor indexed="64"/>
      </patternFill>
    </fill>
  </fills>
  <borders count="62">
    <border>
      <left/>
      <right/>
      <top/>
      <bottom/>
      <diagonal/>
    </border>
    <border>
      <left/>
      <right style="dashed">
        <color auto="1"/>
      </right>
      <top/>
      <bottom/>
      <diagonal/>
    </border>
    <border>
      <left/>
      <right style="thin">
        <color indexed="64"/>
      </right>
      <top/>
      <bottom/>
      <diagonal/>
    </border>
    <border>
      <left style="dashed">
        <color auto="1"/>
      </left>
      <right style="thin">
        <color auto="1"/>
      </right>
      <top style="medium">
        <color auto="1"/>
      </top>
      <bottom/>
      <diagonal/>
    </border>
    <border>
      <left style="dashed">
        <color auto="1"/>
      </left>
      <right style="thin">
        <color auto="1"/>
      </right>
      <top/>
      <bottom/>
      <diagonal/>
    </border>
    <border>
      <left style="dashed">
        <color auto="1"/>
      </left>
      <right style="thin">
        <color auto="1"/>
      </right>
      <top/>
      <bottom style="medium">
        <color auto="1"/>
      </bottom>
      <diagonal/>
    </border>
    <border>
      <left/>
      <right style="thin">
        <color auto="1"/>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dashed">
        <color auto="1"/>
      </right>
      <top style="medium">
        <color auto="1"/>
      </top>
      <bottom/>
      <diagonal/>
    </border>
    <border>
      <left style="dashed">
        <color auto="1"/>
      </left>
      <right style="medium">
        <color auto="1"/>
      </right>
      <top style="medium">
        <color auto="1"/>
      </top>
      <bottom/>
      <diagonal/>
    </border>
    <border>
      <left style="medium">
        <color auto="1"/>
      </left>
      <right/>
      <top/>
      <bottom/>
      <diagonal/>
    </border>
    <border>
      <left style="dashed">
        <color auto="1"/>
      </left>
      <right style="medium">
        <color auto="1"/>
      </right>
      <top/>
      <bottom/>
      <diagonal/>
    </border>
    <border>
      <left style="medium">
        <color auto="1"/>
      </left>
      <right/>
      <top/>
      <bottom style="medium">
        <color auto="1"/>
      </bottom>
      <diagonal/>
    </border>
    <border>
      <left style="dashed">
        <color auto="1"/>
      </left>
      <right style="medium">
        <color auto="1"/>
      </right>
      <top/>
      <bottom style="medium">
        <color auto="1"/>
      </bottom>
      <diagonal/>
    </border>
    <border>
      <left/>
      <right style="medium">
        <color indexed="64"/>
      </right>
      <top/>
      <bottom/>
      <diagonal/>
    </border>
    <border>
      <left/>
      <right style="dashed">
        <color auto="1"/>
      </right>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right style="dashed">
        <color auto="1"/>
      </right>
      <top style="medium">
        <color auto="1"/>
      </top>
      <bottom style="thin">
        <color auto="1"/>
      </bottom>
      <diagonal/>
    </border>
    <border>
      <left/>
      <right style="thin">
        <color indexed="64"/>
      </right>
      <top style="medium">
        <color auto="1"/>
      </top>
      <bottom style="thin">
        <color auto="1"/>
      </bottom>
      <diagonal/>
    </border>
    <border>
      <left/>
      <right/>
      <top style="medium">
        <color auto="1"/>
      </top>
      <bottom style="thin">
        <color auto="1"/>
      </bottom>
      <diagonal/>
    </border>
    <border>
      <left style="dashed">
        <color auto="1"/>
      </left>
      <right style="medium">
        <color auto="1"/>
      </right>
      <top style="medium">
        <color auto="1"/>
      </top>
      <bottom style="thin">
        <color auto="1"/>
      </bottom>
      <diagonal/>
    </border>
    <border>
      <left style="medium">
        <color auto="1"/>
      </left>
      <right style="thin">
        <color auto="1"/>
      </right>
      <top style="medium">
        <color auto="1"/>
      </top>
      <bottom style="thin">
        <color indexed="64"/>
      </bottom>
      <diagonal/>
    </border>
    <border>
      <left style="medium">
        <color auto="1"/>
      </left>
      <right style="thin">
        <color indexed="64"/>
      </right>
      <top style="thin">
        <color indexed="64"/>
      </top>
      <bottom/>
      <diagonal/>
    </border>
    <border>
      <left style="thin">
        <color indexed="64"/>
      </left>
      <right/>
      <top/>
      <bottom style="medium">
        <color auto="1"/>
      </bottom>
      <diagonal/>
    </border>
    <border>
      <left style="dashed">
        <color auto="1"/>
      </left>
      <right style="thin">
        <color auto="1"/>
      </right>
      <top style="thin">
        <color auto="1"/>
      </top>
      <bottom/>
      <diagonal/>
    </border>
    <border>
      <left style="dashed">
        <color auto="1"/>
      </left>
      <right style="medium">
        <color auto="1"/>
      </right>
      <top style="thin">
        <color auto="1"/>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dashed">
        <color auto="1"/>
      </left>
      <right style="thin">
        <color auto="1"/>
      </right>
      <top style="medium">
        <color auto="1"/>
      </top>
      <bottom style="thin">
        <color auto="1"/>
      </bottom>
      <diagonal/>
    </border>
    <border>
      <left style="thin">
        <color rgb="FF000000"/>
      </left>
      <right/>
      <top style="thin">
        <color rgb="FF000000"/>
      </top>
      <bottom/>
      <diagonal/>
    </border>
    <border>
      <left/>
      <right/>
      <top style="thin">
        <color rgb="FF000000"/>
      </top>
      <bottom/>
      <diagonal/>
    </border>
    <border>
      <left/>
      <right style="hair">
        <color rgb="FF000000"/>
      </right>
      <top style="thin">
        <color rgb="FF000000"/>
      </top>
      <bottom/>
      <diagonal/>
    </border>
    <border>
      <left style="thin">
        <color rgb="FF000000"/>
      </left>
      <right/>
      <top/>
      <bottom/>
      <diagonal/>
    </border>
    <border>
      <left/>
      <right style="hair">
        <color rgb="FF000000"/>
      </right>
      <top/>
      <bottom/>
      <diagonal/>
    </border>
    <border>
      <left/>
      <right/>
      <top/>
      <bottom style="thin">
        <color rgb="FF000000"/>
      </bottom>
      <diagonal/>
    </border>
    <border>
      <left/>
      <right style="hair">
        <color rgb="FF000000"/>
      </right>
      <top/>
      <bottom style="thin">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diagonal/>
    </border>
    <border>
      <left/>
      <right style="hair">
        <color rgb="FF000000"/>
      </right>
      <top style="hair">
        <color rgb="FF000000"/>
      </top>
      <bottom/>
      <diagonal/>
    </border>
    <border>
      <left style="hair">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hair">
        <color rgb="FF000000"/>
      </left>
      <right/>
      <top/>
      <bottom style="hair">
        <color rgb="FF000000"/>
      </bottom>
      <diagonal/>
    </border>
    <border>
      <left style="medium">
        <color indexed="64"/>
      </left>
      <right style="thin">
        <color indexed="64"/>
      </right>
      <top style="thin">
        <color indexed="64"/>
      </top>
      <bottom style="thin">
        <color indexed="64"/>
      </bottom>
      <diagonal/>
    </border>
    <border>
      <left style="dashed">
        <color auto="1"/>
      </left>
      <right style="dashed">
        <color auto="1"/>
      </right>
      <top/>
      <bottom style="medium">
        <color auto="1"/>
      </bottom>
      <diagonal/>
    </border>
    <border>
      <left style="dashed">
        <color auto="1"/>
      </left>
      <right style="dashed">
        <color auto="1"/>
      </right>
      <top/>
      <bottom/>
      <diagonal/>
    </border>
    <border>
      <left style="dashed">
        <color auto="1"/>
      </left>
      <right/>
      <top/>
      <bottom/>
      <diagonal/>
    </border>
    <border>
      <left style="thin">
        <color indexed="64"/>
      </left>
      <right style="medium">
        <color indexed="64"/>
      </right>
      <top/>
      <bottom/>
      <diagonal/>
    </border>
    <border>
      <left style="thin">
        <color indexed="64"/>
      </left>
      <right/>
      <top style="medium">
        <color auto="1"/>
      </top>
      <bottom/>
      <diagonal/>
    </border>
    <border>
      <left/>
      <right style="thin">
        <color indexed="64"/>
      </right>
      <top style="medium">
        <color auto="1"/>
      </top>
      <bottom/>
      <diagonal/>
    </border>
  </borders>
  <cellStyleXfs count="2">
    <xf numFmtId="0" fontId="0" fillId="0" borderId="0"/>
    <xf numFmtId="0" fontId="12" fillId="0" borderId="0"/>
  </cellStyleXfs>
  <cellXfs count="268">
    <xf numFmtId="0" fontId="0" fillId="0" borderId="0" xfId="0"/>
    <xf numFmtId="0" fontId="0" fillId="0" borderId="1" xfId="0" applyBorder="1"/>
    <xf numFmtId="0" fontId="0" fillId="0" borderId="2" xfId="0" applyBorder="1"/>
    <xf numFmtId="0" fontId="1" fillId="0" borderId="0" xfId="0" applyFont="1"/>
    <xf numFmtId="0" fontId="1" fillId="0" borderId="1" xfId="0" applyFont="1" applyBorder="1"/>
    <xf numFmtId="0" fontId="1" fillId="0" borderId="2" xfId="0" applyFont="1" applyBorder="1"/>
    <xf numFmtId="0" fontId="3" fillId="0" borderId="0" xfId="0" applyFont="1"/>
    <xf numFmtId="9" fontId="3" fillId="0" borderId="0" xfId="0" applyNumberFormat="1" applyFont="1"/>
    <xf numFmtId="9" fontId="3" fillId="0" borderId="1" xfId="0" applyNumberFormat="1" applyFont="1" applyBorder="1"/>
    <xf numFmtId="9" fontId="3" fillId="0" borderId="2" xfId="0" applyNumberFormat="1" applyFont="1" applyBorder="1"/>
    <xf numFmtId="9" fontId="0" fillId="0" borderId="0" xfId="0" applyNumberFormat="1"/>
    <xf numFmtId="4" fontId="0" fillId="0" borderId="1" xfId="0" applyNumberFormat="1" applyBorder="1"/>
    <xf numFmtId="4" fontId="0" fillId="0" borderId="2" xfId="0" applyNumberFormat="1" applyBorder="1"/>
    <xf numFmtId="165" fontId="0" fillId="0" borderId="1" xfId="0" applyNumberFormat="1" applyBorder="1"/>
    <xf numFmtId="165" fontId="0" fillId="0" borderId="2" xfId="0" applyNumberFormat="1" applyBorder="1"/>
    <xf numFmtId="4" fontId="4" fillId="0" borderId="0" xfId="0" applyNumberFormat="1" applyFont="1"/>
    <xf numFmtId="164" fontId="0" fillId="0" borderId="0" xfId="0" applyNumberFormat="1"/>
    <xf numFmtId="0" fontId="0" fillId="0" borderId="4" xfId="0" applyBorder="1"/>
    <xf numFmtId="166" fontId="2" fillId="0" borderId="5" xfId="0" applyNumberFormat="1" applyFont="1" applyBorder="1"/>
    <xf numFmtId="166" fontId="6" fillId="0" borderId="0" xfId="0" applyNumberFormat="1" applyFont="1"/>
    <xf numFmtId="0" fontId="1" fillId="0" borderId="8" xfId="0" applyFont="1" applyBorder="1"/>
    <xf numFmtId="0" fontId="0" fillId="0" borderId="12" xfId="0" applyBorder="1"/>
    <xf numFmtId="0" fontId="0" fillId="0" borderId="13" xfId="0" applyBorder="1"/>
    <xf numFmtId="0" fontId="1" fillId="0" borderId="12" xfId="0" applyFont="1" applyBorder="1"/>
    <xf numFmtId="166" fontId="5" fillId="0" borderId="12" xfId="0" applyNumberFormat="1" applyFont="1" applyBorder="1"/>
    <xf numFmtId="0" fontId="1" fillId="0" borderId="13" xfId="0" applyFont="1" applyBorder="1"/>
    <xf numFmtId="0" fontId="3" fillId="0" borderId="12" xfId="0" applyFont="1" applyBorder="1"/>
    <xf numFmtId="166" fontId="5" fillId="0" borderId="14" xfId="0" applyNumberFormat="1" applyFont="1" applyBorder="1"/>
    <xf numFmtId="165" fontId="1" fillId="0" borderId="0" xfId="0" applyNumberFormat="1" applyFont="1"/>
    <xf numFmtId="165" fontId="1" fillId="0" borderId="13" xfId="0" applyNumberFormat="1" applyFont="1" applyBorder="1"/>
    <xf numFmtId="164" fontId="0" fillId="0" borderId="13" xfId="0" applyNumberFormat="1" applyBorder="1"/>
    <xf numFmtId="0" fontId="1" fillId="0" borderId="9" xfId="0" applyFont="1" applyBorder="1" applyAlignment="1">
      <alignment horizontal="right"/>
    </xf>
    <xf numFmtId="0" fontId="1" fillId="0" borderId="3" xfId="0" applyFont="1" applyBorder="1" applyAlignment="1">
      <alignment horizontal="right"/>
    </xf>
    <xf numFmtId="0" fontId="1" fillId="0" borderId="10" xfId="0" applyFont="1" applyBorder="1" applyAlignment="1">
      <alignment horizontal="right"/>
    </xf>
    <xf numFmtId="0" fontId="7" fillId="0" borderId="0" xfId="0" applyFont="1" applyAlignment="1">
      <alignment horizontal="right"/>
    </xf>
    <xf numFmtId="0" fontId="7" fillId="0" borderId="4" xfId="0" applyFont="1" applyBorder="1" applyAlignment="1">
      <alignment horizontal="right"/>
    </xf>
    <xf numFmtId="164" fontId="0" fillId="0" borderId="0" xfId="0" applyNumberFormat="1" applyAlignment="1">
      <alignment horizontal="right"/>
    </xf>
    <xf numFmtId="164" fontId="1" fillId="0" borderId="4" xfId="0" applyNumberFormat="1" applyFont="1" applyBorder="1" applyAlignment="1">
      <alignment horizontal="right"/>
    </xf>
    <xf numFmtId="166" fontId="6" fillId="0" borderId="0" xfId="0" applyNumberFormat="1" applyFont="1" applyAlignment="1">
      <alignment horizontal="right"/>
    </xf>
    <xf numFmtId="166" fontId="6" fillId="0" borderId="4" xfId="0" applyNumberFormat="1" applyFont="1" applyBorder="1" applyAlignment="1">
      <alignment horizontal="right"/>
    </xf>
    <xf numFmtId="166" fontId="8" fillId="0" borderId="0" xfId="0" applyNumberFormat="1" applyFont="1" applyAlignment="1">
      <alignment horizontal="right"/>
    </xf>
    <xf numFmtId="0" fontId="1" fillId="0" borderId="0" xfId="0" applyFont="1" applyAlignment="1">
      <alignment horizontal="right"/>
    </xf>
    <xf numFmtId="0" fontId="1" fillId="0" borderId="4" xfId="0" applyFont="1" applyBorder="1" applyAlignment="1">
      <alignment horizontal="right"/>
    </xf>
    <xf numFmtId="0" fontId="0" fillId="0" borderId="0" xfId="0" applyAlignment="1">
      <alignment horizontal="right"/>
    </xf>
    <xf numFmtId="0" fontId="0" fillId="0" borderId="4" xfId="0" applyBorder="1" applyAlignment="1">
      <alignment horizontal="right"/>
    </xf>
    <xf numFmtId="0" fontId="0" fillId="0" borderId="13" xfId="0" applyBorder="1" applyAlignment="1">
      <alignment horizontal="right"/>
    </xf>
    <xf numFmtId="166" fontId="6" fillId="0" borderId="7" xfId="0" applyNumberFormat="1" applyFont="1" applyBorder="1" applyAlignment="1">
      <alignment horizontal="right"/>
    </xf>
    <xf numFmtId="166" fontId="6" fillId="0" borderId="5" xfId="0" applyNumberFormat="1" applyFont="1" applyBorder="1" applyAlignment="1">
      <alignment horizontal="right"/>
    </xf>
    <xf numFmtId="164" fontId="1" fillId="0" borderId="0" xfId="0" applyNumberFormat="1" applyFont="1"/>
    <xf numFmtId="4" fontId="0" fillId="0" borderId="0" xfId="0" applyNumberFormat="1"/>
    <xf numFmtId="4" fontId="0" fillId="0" borderId="7" xfId="0" applyNumberFormat="1" applyBorder="1"/>
    <xf numFmtId="4" fontId="0" fillId="0" borderId="17" xfId="0" applyNumberFormat="1" applyBorder="1"/>
    <xf numFmtId="4" fontId="0" fillId="0" borderId="6" xfId="0" applyNumberFormat="1" applyBorder="1"/>
    <xf numFmtId="9" fontId="3" fillId="0" borderId="13" xfId="0" applyNumberFormat="1" applyFont="1" applyBorder="1"/>
    <xf numFmtId="9" fontId="0" fillId="0" borderId="13" xfId="0" applyNumberFormat="1" applyBorder="1"/>
    <xf numFmtId="4" fontId="0" fillId="0" borderId="13" xfId="0" applyNumberFormat="1" applyBorder="1"/>
    <xf numFmtId="4" fontId="0" fillId="0" borderId="15" xfId="0" applyNumberFormat="1" applyBorder="1"/>
    <xf numFmtId="165" fontId="1" fillId="0" borderId="1" xfId="0" applyNumberFormat="1" applyFont="1" applyBorder="1"/>
    <xf numFmtId="165" fontId="1" fillId="0" borderId="2" xfId="0" applyNumberFormat="1" applyFont="1" applyBorder="1"/>
    <xf numFmtId="165" fontId="0" fillId="0" borderId="0" xfId="0" applyNumberFormat="1"/>
    <xf numFmtId="165" fontId="0" fillId="0" borderId="13" xfId="0" applyNumberFormat="1" applyBorder="1"/>
    <xf numFmtId="165" fontId="4" fillId="0" borderId="0" xfId="0" applyNumberFormat="1" applyFont="1"/>
    <xf numFmtId="165" fontId="4" fillId="0" borderId="2" xfId="0" applyNumberFormat="1" applyFont="1" applyBorder="1"/>
    <xf numFmtId="0" fontId="0" fillId="2" borderId="12" xfId="0" applyFill="1" applyBorder="1"/>
    <xf numFmtId="0" fontId="1" fillId="2" borderId="12" xfId="0" applyFont="1" applyFill="1" applyBorder="1"/>
    <xf numFmtId="0" fontId="1" fillId="2" borderId="20" xfId="0" applyFont="1" applyFill="1" applyBorder="1"/>
    <xf numFmtId="0" fontId="0" fillId="2" borderId="21" xfId="0" applyFill="1" applyBorder="1"/>
    <xf numFmtId="0" fontId="1" fillId="2" borderId="21" xfId="0" applyFont="1" applyFill="1" applyBorder="1"/>
    <xf numFmtId="9" fontId="3" fillId="2" borderId="21" xfId="0" applyNumberFormat="1" applyFont="1" applyFill="1" applyBorder="1"/>
    <xf numFmtId="4" fontId="0" fillId="2" borderId="21" xfId="0" applyNumberFormat="1" applyFill="1" applyBorder="1"/>
    <xf numFmtId="0" fontId="0" fillId="2" borderId="22" xfId="0" applyFill="1" applyBorder="1"/>
    <xf numFmtId="0" fontId="1" fillId="2" borderId="23" xfId="0" applyFont="1" applyFill="1" applyBorder="1" applyAlignment="1">
      <alignment horizontal="right"/>
    </xf>
    <xf numFmtId="0" fontId="1" fillId="2" borderId="24" xfId="0" applyFont="1" applyFill="1" applyBorder="1" applyAlignment="1">
      <alignment horizontal="right"/>
    </xf>
    <xf numFmtId="0" fontId="1" fillId="2" borderId="25" xfId="0" applyFont="1" applyFill="1" applyBorder="1" applyAlignment="1">
      <alignment horizontal="right"/>
    </xf>
    <xf numFmtId="0" fontId="1" fillId="2" borderId="27" xfId="0" applyFont="1" applyFill="1" applyBorder="1"/>
    <xf numFmtId="0" fontId="1" fillId="2" borderId="14" xfId="0" applyFont="1" applyFill="1" applyBorder="1"/>
    <xf numFmtId="0" fontId="1" fillId="2" borderId="22" xfId="0" applyFont="1" applyFill="1" applyBorder="1"/>
    <xf numFmtId="0" fontId="1" fillId="0" borderId="7" xfId="0" applyFont="1" applyBorder="1"/>
    <xf numFmtId="0" fontId="0" fillId="0" borderId="9" xfId="0" applyBorder="1"/>
    <xf numFmtId="0" fontId="2" fillId="3" borderId="0" xfId="0" applyFont="1" applyFill="1"/>
    <xf numFmtId="0" fontId="0" fillId="3" borderId="0" xfId="0" applyFill="1" applyAlignment="1">
      <alignment horizontal="right"/>
    </xf>
    <xf numFmtId="0" fontId="0" fillId="0" borderId="30" xfId="0" applyBorder="1"/>
    <xf numFmtId="0" fontId="0" fillId="0" borderId="31" xfId="0" applyBorder="1"/>
    <xf numFmtId="164" fontId="1" fillId="0" borderId="7" xfId="0" applyNumberFormat="1" applyFont="1" applyBorder="1"/>
    <xf numFmtId="164" fontId="1" fillId="0" borderId="5" xfId="0" applyNumberFormat="1" applyFont="1" applyBorder="1"/>
    <xf numFmtId="0" fontId="0" fillId="4" borderId="21" xfId="0" applyFill="1" applyBorder="1"/>
    <xf numFmtId="0" fontId="1" fillId="4" borderId="32" xfId="0" applyFont="1" applyFill="1" applyBorder="1"/>
    <xf numFmtId="0" fontId="1" fillId="2" borderId="25" xfId="0" applyFont="1" applyFill="1" applyBorder="1"/>
    <xf numFmtId="0" fontId="1" fillId="4" borderId="22" xfId="0" applyFont="1" applyFill="1" applyBorder="1"/>
    <xf numFmtId="0" fontId="1" fillId="0" borderId="15" xfId="0" applyFont="1" applyBorder="1"/>
    <xf numFmtId="0" fontId="1" fillId="4" borderId="28" xfId="0" applyFont="1" applyFill="1" applyBorder="1"/>
    <xf numFmtId="9" fontId="2" fillId="4" borderId="21" xfId="0" applyNumberFormat="1" applyFont="1" applyFill="1" applyBorder="1"/>
    <xf numFmtId="9" fontId="0" fillId="4" borderId="21" xfId="0" applyNumberFormat="1" applyFill="1" applyBorder="1"/>
    <xf numFmtId="0" fontId="1" fillId="0" borderId="31" xfId="0" applyFont="1" applyBorder="1"/>
    <xf numFmtId="164" fontId="1" fillId="0" borderId="15" xfId="0" applyNumberFormat="1" applyFont="1" applyBorder="1"/>
    <xf numFmtId="164" fontId="1" fillId="0" borderId="31" xfId="0" applyNumberFormat="1" applyFont="1" applyBorder="1"/>
    <xf numFmtId="0" fontId="1" fillId="2" borderId="0" xfId="0" applyFont="1" applyFill="1"/>
    <xf numFmtId="0" fontId="1" fillId="2" borderId="34" xfId="0" applyFont="1" applyFill="1" applyBorder="1"/>
    <xf numFmtId="0" fontId="1" fillId="2" borderId="4" xfId="0" applyFont="1" applyFill="1" applyBorder="1"/>
    <xf numFmtId="165" fontId="0" fillId="0" borderId="4" xfId="0" applyNumberFormat="1" applyBorder="1"/>
    <xf numFmtId="165" fontId="0" fillId="0" borderId="5" xfId="0" applyNumberFormat="1" applyBorder="1"/>
    <xf numFmtId="164" fontId="10" fillId="0" borderId="0" xfId="0" applyNumberFormat="1" applyFont="1"/>
    <xf numFmtId="0" fontId="9" fillId="0" borderId="0" xfId="0" applyFont="1"/>
    <xf numFmtId="165" fontId="0" fillId="0" borderId="7" xfId="0" applyNumberFormat="1" applyBorder="1"/>
    <xf numFmtId="0" fontId="9" fillId="0" borderId="7" xfId="0" applyFont="1" applyBorder="1"/>
    <xf numFmtId="165" fontId="10" fillId="0" borderId="13" xfId="0" applyNumberFormat="1" applyFont="1" applyBorder="1"/>
    <xf numFmtId="0" fontId="9" fillId="0" borderId="13" xfId="0" applyFont="1" applyBorder="1"/>
    <xf numFmtId="0" fontId="9" fillId="0" borderId="15" xfId="0" applyFont="1" applyBorder="1"/>
    <xf numFmtId="166" fontId="2" fillId="0" borderId="7" xfId="0" applyNumberFormat="1" applyFont="1" applyBorder="1"/>
    <xf numFmtId="166" fontId="11" fillId="0" borderId="7" xfId="0" applyNumberFormat="1" applyFont="1" applyBorder="1"/>
    <xf numFmtId="166" fontId="2" fillId="0" borderId="15" xfId="0" applyNumberFormat="1" applyFont="1" applyBorder="1"/>
    <xf numFmtId="0" fontId="13" fillId="0" borderId="0" xfId="1" applyFont="1"/>
    <xf numFmtId="0" fontId="12" fillId="0" borderId="0" xfId="1"/>
    <xf numFmtId="0" fontId="14" fillId="5" borderId="35" xfId="1" applyFont="1" applyFill="1" applyBorder="1"/>
    <xf numFmtId="0" fontId="13" fillId="5" borderId="36" xfId="1" applyFont="1" applyFill="1" applyBorder="1"/>
    <xf numFmtId="0" fontId="13" fillId="5" borderId="36" xfId="1" applyFont="1" applyFill="1" applyBorder="1" applyAlignment="1">
      <alignment horizontal="right"/>
    </xf>
    <xf numFmtId="0" fontId="13" fillId="5" borderId="37" xfId="1" applyFont="1" applyFill="1" applyBorder="1" applyAlignment="1">
      <alignment horizontal="right"/>
    </xf>
    <xf numFmtId="0" fontId="13" fillId="0" borderId="38" xfId="1" applyFont="1" applyBorder="1"/>
    <xf numFmtId="0" fontId="15" fillId="0" borderId="0" xfId="1" applyFont="1"/>
    <xf numFmtId="0" fontId="15" fillId="0" borderId="39" xfId="1" applyFont="1" applyBorder="1"/>
    <xf numFmtId="3" fontId="12" fillId="0" borderId="0" xfId="1" applyNumberFormat="1"/>
    <xf numFmtId="3" fontId="12" fillId="0" borderId="39" xfId="1" applyNumberFormat="1" applyBorder="1"/>
    <xf numFmtId="0" fontId="12" fillId="0" borderId="0" xfId="1" applyAlignment="1">
      <alignment horizontal="left"/>
    </xf>
    <xf numFmtId="0" fontId="16" fillId="0" borderId="0" xfId="1" applyFont="1" applyAlignment="1">
      <alignment horizontal="left"/>
    </xf>
    <xf numFmtId="0" fontId="16" fillId="0" borderId="0" xfId="1" applyFont="1"/>
    <xf numFmtId="9" fontId="16" fillId="0" borderId="0" xfId="1" applyNumberFormat="1" applyFont="1"/>
    <xf numFmtId="9" fontId="16" fillId="0" borderId="39" xfId="1" applyNumberFormat="1" applyFont="1" applyBorder="1"/>
    <xf numFmtId="0" fontId="13" fillId="5" borderId="0" xfId="1" applyFont="1" applyFill="1" applyAlignment="1">
      <alignment horizontal="left"/>
    </xf>
    <xf numFmtId="0" fontId="13" fillId="5" borderId="0" xfId="1" applyFont="1" applyFill="1"/>
    <xf numFmtId="3" fontId="12" fillId="5" borderId="0" xfId="1" applyNumberFormat="1" applyFill="1"/>
    <xf numFmtId="3" fontId="12" fillId="5" borderId="39" xfId="1" applyNumberFormat="1" applyFill="1" applyBorder="1"/>
    <xf numFmtId="167" fontId="12" fillId="0" borderId="0" xfId="1" applyNumberFormat="1"/>
    <xf numFmtId="167" fontId="12" fillId="0" borderId="39" xfId="1" applyNumberFormat="1" applyBorder="1"/>
    <xf numFmtId="0" fontId="12" fillId="0" borderId="40" xfId="1" applyBorder="1"/>
    <xf numFmtId="168" fontId="12" fillId="0" borderId="41" xfId="1" applyNumberFormat="1" applyBorder="1"/>
    <xf numFmtId="0" fontId="13" fillId="0" borderId="36" xfId="1" applyFont="1" applyBorder="1" applyAlignment="1">
      <alignment horizontal="left"/>
    </xf>
    <xf numFmtId="0" fontId="13" fillId="0" borderId="36" xfId="1" applyFont="1" applyBorder="1"/>
    <xf numFmtId="3" fontId="13" fillId="0" borderId="37" xfId="1" applyNumberFormat="1" applyFont="1" applyBorder="1"/>
    <xf numFmtId="0" fontId="13" fillId="0" borderId="0" xfId="1" applyFont="1" applyAlignment="1">
      <alignment horizontal="left"/>
    </xf>
    <xf numFmtId="0" fontId="12" fillId="5" borderId="0" xfId="1" applyFill="1" applyAlignment="1">
      <alignment horizontal="left"/>
    </xf>
    <xf numFmtId="0" fontId="12" fillId="5" borderId="0" xfId="1" applyFill="1"/>
    <xf numFmtId="166" fontId="16" fillId="5" borderId="42" xfId="1" applyNumberFormat="1" applyFont="1" applyFill="1" applyBorder="1" applyAlignment="1">
      <alignment horizontal="left"/>
    </xf>
    <xf numFmtId="166" fontId="16" fillId="5" borderId="42" xfId="1" applyNumberFormat="1" applyFont="1" applyFill="1" applyBorder="1"/>
    <xf numFmtId="166" fontId="16" fillId="5" borderId="43" xfId="1" applyNumberFormat="1" applyFont="1" applyFill="1" applyBorder="1"/>
    <xf numFmtId="0" fontId="14" fillId="5" borderId="44" xfId="1" applyFont="1" applyFill="1" applyBorder="1"/>
    <xf numFmtId="0" fontId="12" fillId="5" borderId="45" xfId="1" applyFill="1" applyBorder="1"/>
    <xf numFmtId="0" fontId="12" fillId="5" borderId="46" xfId="1" applyFill="1" applyBorder="1"/>
    <xf numFmtId="0" fontId="12" fillId="0" borderId="49" xfId="1" applyBorder="1"/>
    <xf numFmtId="10" fontId="12" fillId="0" borderId="39" xfId="1" applyNumberFormat="1" applyBorder="1"/>
    <xf numFmtId="165" fontId="12" fillId="0" borderId="35" xfId="1" applyNumberFormat="1" applyBorder="1"/>
    <xf numFmtId="166" fontId="12" fillId="0" borderId="36" xfId="1" applyNumberFormat="1" applyBorder="1"/>
    <xf numFmtId="166" fontId="12" fillId="5" borderId="36" xfId="1" applyNumberFormat="1" applyFill="1" applyBorder="1"/>
    <xf numFmtId="166" fontId="12" fillId="0" borderId="50" xfId="1" applyNumberFormat="1" applyBorder="1"/>
    <xf numFmtId="166" fontId="12" fillId="0" borderId="38" xfId="1" applyNumberFormat="1" applyBorder="1"/>
    <xf numFmtId="4" fontId="12" fillId="0" borderId="0" xfId="1" applyNumberFormat="1"/>
    <xf numFmtId="4" fontId="12" fillId="5" borderId="0" xfId="1" applyNumberFormat="1" applyFill="1"/>
    <xf numFmtId="4" fontId="12" fillId="0" borderId="51" xfId="1" applyNumberFormat="1" applyBorder="1"/>
    <xf numFmtId="0" fontId="12" fillId="0" borderId="39" xfId="1" applyBorder="1"/>
    <xf numFmtId="166" fontId="12" fillId="0" borderId="39" xfId="1" applyNumberFormat="1" applyBorder="1"/>
    <xf numFmtId="166" fontId="12" fillId="5" borderId="38" xfId="1" applyNumberFormat="1" applyFill="1" applyBorder="1"/>
    <xf numFmtId="4" fontId="12" fillId="5" borderId="51" xfId="1" applyNumberFormat="1" applyFill="1" applyBorder="1"/>
    <xf numFmtId="166" fontId="12" fillId="0" borderId="52" xfId="1" applyNumberFormat="1" applyBorder="1"/>
    <xf numFmtId="4" fontId="12" fillId="0" borderId="40" xfId="1" applyNumberFormat="1" applyBorder="1"/>
    <xf numFmtId="4" fontId="12" fillId="5" borderId="40" xfId="1" applyNumberFormat="1" applyFill="1" applyBorder="1"/>
    <xf numFmtId="4" fontId="12" fillId="0" borderId="53" xfId="1" applyNumberFormat="1" applyBorder="1"/>
    <xf numFmtId="0" fontId="12" fillId="0" borderId="54" xfId="1" applyBorder="1"/>
    <xf numFmtId="0" fontId="12" fillId="0" borderId="42" xfId="1" applyBorder="1"/>
    <xf numFmtId="9" fontId="12" fillId="0" borderId="43" xfId="1" applyNumberFormat="1" applyBorder="1"/>
    <xf numFmtId="0" fontId="1" fillId="4" borderId="55" xfId="0" applyFont="1" applyFill="1" applyBorder="1"/>
    <xf numFmtId="0" fontId="1" fillId="4" borderId="27" xfId="0" applyFont="1" applyFill="1" applyBorder="1"/>
    <xf numFmtId="0" fontId="1" fillId="4" borderId="21" xfId="0" applyFont="1" applyFill="1" applyBorder="1"/>
    <xf numFmtId="0" fontId="2" fillId="0" borderId="21" xfId="0" applyFont="1" applyBorder="1"/>
    <xf numFmtId="0" fontId="0" fillId="0" borderId="21" xfId="0" applyBorder="1"/>
    <xf numFmtId="0" fontId="0" fillId="0" borderId="22" xfId="0" applyBorder="1"/>
    <xf numFmtId="0" fontId="1" fillId="0" borderId="21" xfId="0" applyFont="1" applyBorder="1"/>
    <xf numFmtId="0" fontId="1" fillId="6" borderId="9" xfId="0" applyFont="1" applyFill="1" applyBorder="1" applyAlignment="1">
      <alignment horizontal="right"/>
    </xf>
    <xf numFmtId="0" fontId="1" fillId="6" borderId="10" xfId="0" applyFont="1" applyFill="1" applyBorder="1" applyAlignment="1">
      <alignment horizontal="right"/>
    </xf>
    <xf numFmtId="0" fontId="1" fillId="6" borderId="3" xfId="0" applyFont="1" applyFill="1" applyBorder="1" applyAlignment="1">
      <alignment horizontal="right"/>
    </xf>
    <xf numFmtId="0" fontId="1" fillId="6" borderId="11" xfId="0" applyFont="1" applyFill="1" applyBorder="1" applyAlignment="1">
      <alignment horizontal="right"/>
    </xf>
    <xf numFmtId="0" fontId="1" fillId="6" borderId="25" xfId="0" applyFont="1" applyFill="1" applyBorder="1"/>
    <xf numFmtId="0" fontId="1" fillId="6" borderId="33" xfId="0" applyFont="1" applyFill="1" applyBorder="1"/>
    <xf numFmtId="0" fontId="1" fillId="6" borderId="0" xfId="0" applyFont="1" applyFill="1"/>
    <xf numFmtId="0" fontId="1" fillId="6" borderId="16" xfId="0" applyFont="1" applyFill="1" applyBorder="1"/>
    <xf numFmtId="0" fontId="1" fillId="6" borderId="34" xfId="0" applyFont="1" applyFill="1" applyBorder="1"/>
    <xf numFmtId="0" fontId="1" fillId="6" borderId="26" xfId="0" applyFont="1" applyFill="1" applyBorder="1"/>
    <xf numFmtId="0" fontId="1" fillId="6" borderId="4" xfId="0" applyFont="1" applyFill="1" applyBorder="1"/>
    <xf numFmtId="0" fontId="1" fillId="6" borderId="13" xfId="0" applyFont="1" applyFill="1" applyBorder="1"/>
    <xf numFmtId="0" fontId="1" fillId="6" borderId="25" xfId="0" applyFont="1" applyFill="1" applyBorder="1" applyAlignment="1">
      <alignment horizontal="right"/>
    </xf>
    <xf numFmtId="0" fontId="1" fillId="6" borderId="23" xfId="0" applyFont="1" applyFill="1" applyBorder="1" applyAlignment="1">
      <alignment horizontal="right"/>
    </xf>
    <xf numFmtId="0" fontId="1" fillId="6" borderId="24" xfId="0" applyFont="1" applyFill="1" applyBorder="1" applyAlignment="1">
      <alignment horizontal="right"/>
    </xf>
    <xf numFmtId="0" fontId="1" fillId="6" borderId="26" xfId="0" applyFont="1" applyFill="1" applyBorder="1" applyAlignment="1">
      <alignment horizontal="right"/>
    </xf>
    <xf numFmtId="0" fontId="9" fillId="0" borderId="57" xfId="0" applyFont="1" applyBorder="1"/>
    <xf numFmtId="0" fontId="9" fillId="0" borderId="56" xfId="0" applyFont="1" applyBorder="1"/>
    <xf numFmtId="4" fontId="1" fillId="0" borderId="0" xfId="0" applyNumberFormat="1" applyFont="1"/>
    <xf numFmtId="2" fontId="0" fillId="0" borderId="0" xfId="0" applyNumberFormat="1"/>
    <xf numFmtId="167" fontId="0" fillId="0" borderId="0" xfId="0" applyNumberFormat="1"/>
    <xf numFmtId="4" fontId="0" fillId="0" borderId="19" xfId="0" applyNumberFormat="1" applyBorder="1"/>
    <xf numFmtId="3" fontId="0" fillId="0" borderId="2" xfId="0" applyNumberFormat="1" applyBorder="1"/>
    <xf numFmtId="3" fontId="0" fillId="0" borderId="30" xfId="0" applyNumberFormat="1" applyBorder="1"/>
    <xf numFmtId="3" fontId="1" fillId="0" borderId="4" xfId="0" applyNumberFormat="1" applyFont="1" applyBorder="1"/>
    <xf numFmtId="3" fontId="0" fillId="0" borderId="4" xfId="0" applyNumberFormat="1" applyBorder="1"/>
    <xf numFmtId="3" fontId="0" fillId="0" borderId="19" xfId="0" applyNumberFormat="1" applyBorder="1"/>
    <xf numFmtId="3" fontId="1" fillId="0" borderId="19" xfId="0" applyNumberFormat="1" applyFont="1" applyBorder="1"/>
    <xf numFmtId="3" fontId="0" fillId="0" borderId="0" xfId="0" applyNumberFormat="1"/>
    <xf numFmtId="3" fontId="1" fillId="0" borderId="0" xfId="0" applyNumberFormat="1" applyFont="1"/>
    <xf numFmtId="9" fontId="9" fillId="0" borderId="0" xfId="0" applyNumberFormat="1" applyFont="1"/>
    <xf numFmtId="164" fontId="9" fillId="0" borderId="0" xfId="0" applyNumberFormat="1" applyFont="1"/>
    <xf numFmtId="9" fontId="2" fillId="0" borderId="0" xfId="0" applyNumberFormat="1" applyFont="1" applyAlignment="1">
      <alignment horizontal="right"/>
    </xf>
    <xf numFmtId="9" fontId="2" fillId="0" borderId="4" xfId="0" applyNumberFormat="1" applyFont="1" applyBorder="1" applyAlignment="1">
      <alignment horizontal="right"/>
    </xf>
    <xf numFmtId="9" fontId="18" fillId="0" borderId="2" xfId="0" applyNumberFormat="1" applyFont="1" applyBorder="1"/>
    <xf numFmtId="9" fontId="18" fillId="0" borderId="0" xfId="0" applyNumberFormat="1" applyFont="1"/>
    <xf numFmtId="0" fontId="0" fillId="2" borderId="0" xfId="0" applyFill="1"/>
    <xf numFmtId="166" fontId="19" fillId="0" borderId="5" xfId="0" applyNumberFormat="1" applyFont="1" applyBorder="1"/>
    <xf numFmtId="1" fontId="0" fillId="0" borderId="4" xfId="0" applyNumberFormat="1" applyBorder="1"/>
    <xf numFmtId="1" fontId="0" fillId="0" borderId="0" xfId="0" applyNumberFormat="1"/>
    <xf numFmtId="3" fontId="0" fillId="0" borderId="1" xfId="0" applyNumberFormat="1" applyBorder="1"/>
    <xf numFmtId="165" fontId="0" fillId="0" borderId="58" xfId="0" applyNumberFormat="1" applyBorder="1"/>
    <xf numFmtId="3" fontId="1" fillId="0" borderId="1" xfId="0" applyNumberFormat="1" applyFont="1" applyBorder="1"/>
    <xf numFmtId="3" fontId="1" fillId="0" borderId="2" xfId="0" applyNumberFormat="1" applyFont="1" applyBorder="1"/>
    <xf numFmtId="3" fontId="1" fillId="0" borderId="17" xfId="0" applyNumberFormat="1" applyFont="1" applyBorder="1"/>
    <xf numFmtId="9" fontId="21" fillId="0" borderId="0" xfId="0" applyNumberFormat="1" applyFont="1"/>
    <xf numFmtId="9" fontId="20" fillId="0" borderId="2" xfId="0" applyNumberFormat="1" applyFont="1" applyBorder="1"/>
    <xf numFmtId="9" fontId="20" fillId="0" borderId="13" xfId="0" applyNumberFormat="1" applyFont="1" applyBorder="1"/>
    <xf numFmtId="3" fontId="0" fillId="0" borderId="16" xfId="0" applyNumberFormat="1" applyBorder="1"/>
    <xf numFmtId="3" fontId="1" fillId="0" borderId="16" xfId="0" applyNumberFormat="1" applyFont="1" applyBorder="1"/>
    <xf numFmtId="3" fontId="1" fillId="6" borderId="24" xfId="0" applyNumberFormat="1" applyFont="1" applyFill="1" applyBorder="1" applyAlignment="1">
      <alignment horizontal="right"/>
    </xf>
    <xf numFmtId="3" fontId="1" fillId="6" borderId="25" xfId="0" applyNumberFormat="1" applyFont="1" applyFill="1" applyBorder="1" applyAlignment="1">
      <alignment horizontal="right"/>
    </xf>
    <xf numFmtId="3" fontId="1" fillId="6" borderId="23" xfId="0" applyNumberFormat="1" applyFont="1" applyFill="1" applyBorder="1" applyAlignment="1">
      <alignment horizontal="right"/>
    </xf>
    <xf numFmtId="3" fontId="1" fillId="6" borderId="26" xfId="0" applyNumberFormat="1" applyFont="1" applyFill="1" applyBorder="1" applyAlignment="1">
      <alignment horizontal="right"/>
    </xf>
    <xf numFmtId="3" fontId="1" fillId="0" borderId="59" xfId="0" applyNumberFormat="1" applyFont="1" applyBorder="1"/>
    <xf numFmtId="3" fontId="1" fillId="0" borderId="6" xfId="0" applyNumberFormat="1" applyFont="1" applyBorder="1"/>
    <xf numFmtId="3" fontId="1" fillId="0" borderId="7" xfId="0" applyNumberFormat="1" applyFont="1" applyBorder="1"/>
    <xf numFmtId="3" fontId="1" fillId="0" borderId="18" xfId="0" applyNumberFormat="1" applyFont="1" applyBorder="1"/>
    <xf numFmtId="3" fontId="1" fillId="0" borderId="29" xfId="0" applyNumberFormat="1" applyFont="1" applyBorder="1"/>
    <xf numFmtId="165" fontId="0" fillId="0" borderId="30" xfId="0" applyNumberFormat="1" applyBorder="1"/>
    <xf numFmtId="3" fontId="0" fillId="0" borderId="31" xfId="0" applyNumberFormat="1" applyBorder="1"/>
    <xf numFmtId="3" fontId="0" fillId="0" borderId="13" xfId="0" applyNumberFormat="1" applyBorder="1"/>
    <xf numFmtId="165" fontId="1" fillId="0" borderId="4" xfId="0" applyNumberFormat="1" applyFont="1" applyBorder="1"/>
    <xf numFmtId="3" fontId="1" fillId="0" borderId="13" xfId="0" applyNumberFormat="1" applyFont="1" applyBorder="1"/>
    <xf numFmtId="3" fontId="1" fillId="0" borderId="5" xfId="0" applyNumberFormat="1" applyFont="1" applyBorder="1"/>
    <xf numFmtId="3" fontId="1" fillId="0" borderId="15" xfId="0" applyNumberFormat="1" applyFont="1" applyBorder="1"/>
    <xf numFmtId="166" fontId="2" fillId="0" borderId="0" xfId="0" applyNumberFormat="1" applyFont="1"/>
    <xf numFmtId="166" fontId="2" fillId="0" borderId="1" xfId="0" applyNumberFormat="1" applyFont="1" applyBorder="1"/>
    <xf numFmtId="166" fontId="2" fillId="0" borderId="2" xfId="0" applyNumberFormat="1" applyFont="1" applyBorder="1"/>
    <xf numFmtId="166" fontId="2" fillId="0" borderId="13" xfId="0" applyNumberFormat="1" applyFont="1" applyBorder="1"/>
    <xf numFmtId="0" fontId="14" fillId="5" borderId="47" xfId="1" applyFont="1" applyFill="1" applyBorder="1" applyAlignment="1">
      <alignment horizontal="center"/>
    </xf>
    <xf numFmtId="0" fontId="17" fillId="0" borderId="48" xfId="1" applyFont="1" applyBorder="1"/>
    <xf numFmtId="0" fontId="1" fillId="0" borderId="60" xfId="0" applyFont="1" applyBorder="1" applyAlignment="1">
      <alignment horizontal="right"/>
    </xf>
    <xf numFmtId="0" fontId="0" fillId="0" borderId="19" xfId="0" applyBorder="1"/>
    <xf numFmtId="0" fontId="7" fillId="0" borderId="19" xfId="0" applyFont="1" applyBorder="1" applyAlignment="1">
      <alignment horizontal="right"/>
    </xf>
    <xf numFmtId="166" fontId="6" fillId="0" borderId="19" xfId="0" applyNumberFormat="1" applyFont="1" applyBorder="1" applyAlignment="1">
      <alignment horizontal="right"/>
    </xf>
    <xf numFmtId="0" fontId="1" fillId="0" borderId="19" xfId="0" applyFont="1" applyBorder="1" applyAlignment="1">
      <alignment horizontal="right"/>
    </xf>
    <xf numFmtId="0" fontId="0" fillId="0" borderId="19" xfId="0" applyBorder="1" applyAlignment="1">
      <alignment horizontal="right"/>
    </xf>
    <xf numFmtId="9" fontId="2" fillId="0" borderId="19" xfId="0" applyNumberFormat="1" applyFont="1" applyBorder="1" applyAlignment="1">
      <alignment horizontal="right"/>
    </xf>
    <xf numFmtId="166" fontId="6" fillId="0" borderId="29" xfId="0" applyNumberFormat="1" applyFont="1" applyBorder="1" applyAlignment="1">
      <alignment horizontal="right"/>
    </xf>
    <xf numFmtId="0" fontId="1" fillId="6" borderId="60" xfId="0" applyFont="1" applyFill="1" applyBorder="1" applyAlignment="1">
      <alignment horizontal="right"/>
    </xf>
    <xf numFmtId="164" fontId="0" fillId="0" borderId="19" xfId="0" applyNumberFormat="1" applyBorder="1" applyAlignment="1">
      <alignment horizontal="right"/>
    </xf>
    <xf numFmtId="166" fontId="8" fillId="0" borderId="19" xfId="0" applyNumberFormat="1" applyFont="1" applyBorder="1" applyAlignment="1">
      <alignment horizontal="right"/>
    </xf>
    <xf numFmtId="0" fontId="1" fillId="6" borderId="61" xfId="0" applyFont="1" applyFill="1" applyBorder="1" applyAlignment="1">
      <alignment horizontal="right"/>
    </xf>
    <xf numFmtId="164" fontId="0" fillId="0" borderId="2" xfId="0" applyNumberFormat="1" applyBorder="1" applyAlignment="1">
      <alignment horizontal="right"/>
    </xf>
    <xf numFmtId="166" fontId="8" fillId="0" borderId="2" xfId="0" applyNumberFormat="1" applyFont="1" applyBorder="1" applyAlignment="1">
      <alignment horizontal="right"/>
    </xf>
    <xf numFmtId="0" fontId="1" fillId="0" borderId="2" xfId="0" applyFont="1" applyBorder="1" applyAlignment="1">
      <alignment horizontal="right"/>
    </xf>
    <xf numFmtId="166" fontId="6" fillId="0" borderId="2" xfId="0" applyNumberFormat="1" applyFont="1" applyBorder="1" applyAlignment="1">
      <alignment horizontal="right"/>
    </xf>
    <xf numFmtId="0" fontId="0" fillId="0" borderId="2" xfId="0" applyBorder="1" applyAlignment="1">
      <alignment horizontal="right"/>
    </xf>
    <xf numFmtId="0" fontId="7" fillId="0" borderId="2" xfId="0" applyFont="1" applyBorder="1" applyAlignment="1">
      <alignment horizontal="right"/>
    </xf>
    <xf numFmtId="9" fontId="2" fillId="0" borderId="2" xfId="0" applyNumberFormat="1" applyFont="1" applyBorder="1" applyAlignment="1">
      <alignment horizontal="right"/>
    </xf>
    <xf numFmtId="166" fontId="6" fillId="0" borderId="6" xfId="0" applyNumberFormat="1" applyFont="1" applyBorder="1" applyAlignment="1">
      <alignment horizontal="right"/>
    </xf>
    <xf numFmtId="0" fontId="1" fillId="0" borderId="61" xfId="0" applyFont="1" applyBorder="1" applyAlignment="1">
      <alignment horizontal="right"/>
    </xf>
  </cellXfs>
  <cellStyles count="2">
    <cellStyle name="Normal" xfId="0" builtinId="0"/>
    <cellStyle name="Normal 2" xfId="1" xr:uid="{18166892-0DA2-45F3-A226-D09A6FAC6D8F}"/>
  </cellStyles>
  <dxfs count="0"/>
  <tableStyles count="0" defaultTableStyle="TableStyleMedium2" defaultPivotStyle="PivotStyleLight16"/>
  <colors>
    <mruColors>
      <color rgb="FFF4B084"/>
      <color rgb="FFC65911"/>
      <color rgb="FFEAF1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DDBF8-1F1D-4306-9B93-565CE6B6BE5D}">
  <dimension ref="B1:AK42"/>
  <sheetViews>
    <sheetView showGridLines="0" workbookViewId="0">
      <pane xSplit="2" ySplit="2" topLeftCell="N41" activePane="bottomRight" state="frozen"/>
      <selection pane="topRight" activeCell="C1" sqref="C1"/>
      <selection pane="bottomLeft" activeCell="A3" sqref="A3"/>
      <selection pane="bottomRight" activeCell="S50" sqref="S50"/>
    </sheetView>
  </sheetViews>
  <sheetFormatPr defaultRowHeight="14.4" x14ac:dyDescent="0.3"/>
  <cols>
    <col min="1" max="1" width="2.33203125" customWidth="1"/>
    <col min="2" max="2" width="25.5546875" customWidth="1"/>
    <col min="10" max="10" width="8.33203125" customWidth="1"/>
    <col min="12" max="12" width="8.33203125" customWidth="1"/>
  </cols>
  <sheetData>
    <row r="1" spans="2:37" ht="15" thickBot="1" x14ac:dyDescent="0.35"/>
    <row r="2" spans="2:37" x14ac:dyDescent="0.3">
      <c r="B2" s="20" t="s">
        <v>22</v>
      </c>
      <c r="C2" s="31" t="s">
        <v>25</v>
      </c>
      <c r="D2" s="33" t="s">
        <v>26</v>
      </c>
      <c r="E2" s="32" t="s">
        <v>0</v>
      </c>
      <c r="F2" s="31" t="s">
        <v>27</v>
      </c>
      <c r="G2" s="31" t="s">
        <v>28</v>
      </c>
      <c r="H2" s="247" t="s">
        <v>29</v>
      </c>
      <c r="I2" s="31" t="s">
        <v>30</v>
      </c>
      <c r="J2" s="247" t="s">
        <v>31</v>
      </c>
      <c r="K2" s="31" t="s">
        <v>32</v>
      </c>
      <c r="L2" s="247" t="s">
        <v>44</v>
      </c>
      <c r="M2" s="175" t="s">
        <v>45</v>
      </c>
      <c r="N2" s="255" t="s">
        <v>47</v>
      </c>
      <c r="O2" s="175" t="s">
        <v>48</v>
      </c>
      <c r="P2" s="255" t="s">
        <v>50</v>
      </c>
      <c r="Q2" s="175" t="s">
        <v>51</v>
      </c>
      <c r="R2" s="255" t="s">
        <v>53</v>
      </c>
      <c r="S2" s="175" t="s">
        <v>54</v>
      </c>
      <c r="T2" s="255" t="s">
        <v>56</v>
      </c>
      <c r="U2" s="175" t="s">
        <v>57</v>
      </c>
      <c r="V2" s="255" t="s">
        <v>59</v>
      </c>
      <c r="W2" s="258" t="s">
        <v>60</v>
      </c>
      <c r="AC2" s="32" t="s">
        <v>1</v>
      </c>
      <c r="AD2" s="32" t="s">
        <v>2</v>
      </c>
      <c r="AE2" s="32" t="s">
        <v>33</v>
      </c>
      <c r="AF2" s="177" t="s">
        <v>46</v>
      </c>
      <c r="AG2" s="177" t="s">
        <v>49</v>
      </c>
      <c r="AH2" s="177" t="s">
        <v>52</v>
      </c>
      <c r="AI2" s="177" t="s">
        <v>55</v>
      </c>
      <c r="AJ2" s="177" t="s">
        <v>58</v>
      </c>
      <c r="AK2" s="178" t="s">
        <v>61</v>
      </c>
    </row>
    <row r="3" spans="2:37" x14ac:dyDescent="0.3">
      <c r="B3" s="21"/>
      <c r="E3" s="17"/>
      <c r="H3" s="248"/>
      <c r="J3" s="248"/>
      <c r="L3" s="248"/>
      <c r="N3" s="248"/>
      <c r="P3" s="248"/>
      <c r="R3" s="248"/>
      <c r="T3" s="248"/>
      <c r="V3" s="248"/>
      <c r="W3" s="2"/>
      <c r="AC3" s="17"/>
      <c r="AD3" s="17"/>
      <c r="AE3" s="17"/>
      <c r="AF3" s="17"/>
      <c r="AG3" s="17"/>
      <c r="AH3" s="17"/>
      <c r="AI3" s="17"/>
      <c r="AJ3" s="17"/>
      <c r="AK3" s="22"/>
    </row>
    <row r="4" spans="2:37" x14ac:dyDescent="0.3">
      <c r="B4" s="23" t="s">
        <v>211</v>
      </c>
      <c r="E4" s="17"/>
      <c r="H4" s="248"/>
      <c r="J4" s="248"/>
      <c r="L4" s="248"/>
      <c r="N4" s="248"/>
      <c r="P4" s="248"/>
      <c r="R4" s="248"/>
      <c r="T4" s="248"/>
      <c r="V4" s="248"/>
      <c r="W4" s="2"/>
      <c r="AC4" s="17"/>
      <c r="AD4" s="17"/>
      <c r="AE4" s="17"/>
      <c r="AF4" s="17"/>
      <c r="AG4" s="17"/>
      <c r="AH4" s="17"/>
      <c r="AI4" s="17"/>
      <c r="AJ4" s="17"/>
      <c r="AK4" s="22"/>
    </row>
    <row r="5" spans="2:37" x14ac:dyDescent="0.3">
      <c r="B5" s="21" t="s">
        <v>35</v>
      </c>
      <c r="C5" s="34"/>
      <c r="D5" s="34"/>
      <c r="E5" s="35"/>
      <c r="F5" s="34">
        <v>196</v>
      </c>
      <c r="G5" s="34">
        <f>AC5-F5</f>
        <v>123</v>
      </c>
      <c r="H5" s="249">
        <v>118</v>
      </c>
      <c r="I5" s="34">
        <f>AD5-H5</f>
        <v>-56</v>
      </c>
      <c r="J5" s="249">
        <v>-145</v>
      </c>
      <c r="K5" s="34">
        <f>AE5-J5</f>
        <v>-14</v>
      </c>
      <c r="L5" s="249">
        <v>-81</v>
      </c>
      <c r="M5" s="36">
        <f>K5*(1+M6)</f>
        <v>-13.86</v>
      </c>
      <c r="N5" s="256">
        <f>L5*(1+N6)</f>
        <v>-83.43</v>
      </c>
      <c r="O5" s="36">
        <f>M5*(1+O6)</f>
        <v>-14.2758</v>
      </c>
      <c r="P5" s="256">
        <f>N5*(1+P6)</f>
        <v>-85.932900000000004</v>
      </c>
      <c r="Q5" s="36">
        <f>O5*(1+Q6)</f>
        <v>-14.704074</v>
      </c>
      <c r="R5" s="256">
        <f>P5*(1+R6)</f>
        <v>-88.510887000000011</v>
      </c>
      <c r="S5" s="36">
        <f>Q5*(1+S6)</f>
        <v>-15.145196220000001</v>
      </c>
      <c r="T5" s="256">
        <f>R5*(1+T6)</f>
        <v>-91.166213610000014</v>
      </c>
      <c r="U5" s="36">
        <f>S5*(1+U6)</f>
        <v>-15.599552106600001</v>
      </c>
      <c r="V5" s="256">
        <f>T5*(1+V6)</f>
        <v>-93.901200018300017</v>
      </c>
      <c r="W5" s="259">
        <f>U5*(1+W6)</f>
        <v>-16.067538669798001</v>
      </c>
      <c r="AC5" s="35">
        <v>319</v>
      </c>
      <c r="AD5" s="35">
        <v>62</v>
      </c>
      <c r="AE5" s="35">
        <v>-159</v>
      </c>
      <c r="AF5" s="37">
        <f>L5+M5</f>
        <v>-94.86</v>
      </c>
      <c r="AG5" s="37">
        <f>N5+O5</f>
        <v>-97.705800000000011</v>
      </c>
      <c r="AH5" s="37">
        <f>P5+Q5</f>
        <v>-100.63697400000001</v>
      </c>
      <c r="AI5" s="37">
        <f>R5+S5</f>
        <v>-103.65608322000001</v>
      </c>
      <c r="AJ5" s="37">
        <f>T5+U5</f>
        <v>-106.76576571660001</v>
      </c>
      <c r="AK5" s="37">
        <f>V5+W5</f>
        <v>-109.96873868809801</v>
      </c>
    </row>
    <row r="6" spans="2:37" s="19" customFormat="1" x14ac:dyDescent="0.3">
      <c r="B6" s="24" t="s">
        <v>38</v>
      </c>
      <c r="C6" s="38" t="str">
        <f>IFERROR(C5/#REF!-1, "-")</f>
        <v>-</v>
      </c>
      <c r="D6" s="38" t="str">
        <f>IFERROR(D5/#REF!-1, "-")</f>
        <v>-</v>
      </c>
      <c r="E6" s="39" t="str">
        <f>IFERROR(E5/#REF!-1, "-")</f>
        <v>-</v>
      </c>
      <c r="F6" s="38">
        <f t="shared" ref="F6" si="0">F5/C11</f>
        <v>0.13980028530670471</v>
      </c>
      <c r="G6" s="38">
        <f t="shared" ref="G6" si="1">G5/D11</f>
        <v>0.10040816326530612</v>
      </c>
      <c r="H6" s="250">
        <f>H5/F11</f>
        <v>7.2039072039072033E-2</v>
      </c>
      <c r="I6" s="38">
        <f>I5/G11</f>
        <v>-3.7458193979933108E-2</v>
      </c>
      <c r="J6" s="250">
        <f>J5/H11</f>
        <v>-7.2319201995012475E-2</v>
      </c>
      <c r="K6" s="38">
        <f>K5/I11</f>
        <v>-9.4915254237288131E-3</v>
      </c>
      <c r="L6" s="250">
        <f>L5/J11</f>
        <v>-4.3548387096774194E-2</v>
      </c>
      <c r="M6" s="40">
        <v>-0.01</v>
      </c>
      <c r="N6" s="257">
        <v>0.03</v>
      </c>
      <c r="O6" s="40">
        <v>0.03</v>
      </c>
      <c r="P6" s="257">
        <v>0.03</v>
      </c>
      <c r="Q6" s="40">
        <v>0.03</v>
      </c>
      <c r="R6" s="257">
        <v>0.03</v>
      </c>
      <c r="S6" s="40">
        <v>0.03</v>
      </c>
      <c r="T6" s="257">
        <v>0.03</v>
      </c>
      <c r="U6" s="40">
        <v>0.03</v>
      </c>
      <c r="V6" s="257">
        <v>0.03</v>
      </c>
      <c r="W6" s="260">
        <v>0.03</v>
      </c>
      <c r="Y6"/>
      <c r="AC6" s="39">
        <f>AC5/E11</f>
        <v>0.12143129044537496</v>
      </c>
      <c r="AD6" s="39">
        <f>AD5/AC11</f>
        <v>1.9789339291413979E-2</v>
      </c>
      <c r="AE6" s="39">
        <f>AE5/AD11</f>
        <v>-4.567652973283539E-2</v>
      </c>
      <c r="AF6" s="39">
        <f>AF5/AE5-1</f>
        <v>-0.40339622641509432</v>
      </c>
      <c r="AG6" s="39">
        <f>AG5/AF5-1</f>
        <v>3.0000000000000027E-2</v>
      </c>
      <c r="AH6" s="39">
        <f>AH5/AG5-1</f>
        <v>3.0000000000000027E-2</v>
      </c>
      <c r="AI6" s="39">
        <f>AI5/AH5-1</f>
        <v>3.0000000000000027E-2</v>
      </c>
      <c r="AJ6" s="39">
        <f>AJ5/AI5-1</f>
        <v>3.0000000000000027E-2</v>
      </c>
      <c r="AK6" s="39">
        <f>AK5/AJ5-1</f>
        <v>3.0000000000000027E-2</v>
      </c>
    </row>
    <row r="7" spans="2:37" x14ac:dyDescent="0.3">
      <c r="B7" s="21" t="s">
        <v>36</v>
      </c>
      <c r="C7" s="34"/>
      <c r="D7" s="34"/>
      <c r="E7" s="35"/>
      <c r="F7" s="34">
        <v>22</v>
      </c>
      <c r="G7" s="34">
        <f>AC7-F7</f>
        <v>134</v>
      </c>
      <c r="H7" s="249">
        <v>220</v>
      </c>
      <c r="I7" s="34">
        <f>AD7-H7</f>
        <v>-42</v>
      </c>
      <c r="J7" s="249">
        <v>-173</v>
      </c>
      <c r="K7" s="34">
        <f>AE7-J7</f>
        <v>-92</v>
      </c>
      <c r="L7" s="249">
        <v>-98</v>
      </c>
      <c r="M7" s="36">
        <f>K7*(1+M8)</f>
        <v>-91.08</v>
      </c>
      <c r="N7" s="256">
        <f>L7*(1+N8)</f>
        <v>-100.94</v>
      </c>
      <c r="O7" s="36">
        <f>M7*(1+O8)</f>
        <v>-93.812399999999997</v>
      </c>
      <c r="P7" s="256">
        <f>N7*(1+P8)</f>
        <v>-103.9682</v>
      </c>
      <c r="Q7" s="36">
        <f>O7*(1+Q8)</f>
        <v>-96.626772000000003</v>
      </c>
      <c r="R7" s="256">
        <f>P7*(1+R8)</f>
        <v>-107.08724599999999</v>
      </c>
      <c r="S7" s="36">
        <f>Q7*(1+S8)</f>
        <v>-99.525575160000002</v>
      </c>
      <c r="T7" s="256">
        <f>R7*(1+T8)</f>
        <v>-110.29986337999999</v>
      </c>
      <c r="U7" s="36">
        <f>S7*(1+U8)</f>
        <v>-102.51134241480001</v>
      </c>
      <c r="V7" s="256">
        <f>T7*(1+V8)</f>
        <v>-113.60885928139999</v>
      </c>
      <c r="W7" s="259">
        <f>U7*(1+W8)</f>
        <v>-105.58668268724402</v>
      </c>
      <c r="AC7" s="35">
        <v>156</v>
      </c>
      <c r="AD7" s="35">
        <v>178</v>
      </c>
      <c r="AE7" s="35">
        <v>-265</v>
      </c>
      <c r="AF7" s="37">
        <f>L7+M7</f>
        <v>-189.07999999999998</v>
      </c>
      <c r="AG7" s="37">
        <f>N7+O7</f>
        <v>-194.75239999999999</v>
      </c>
      <c r="AH7" s="37">
        <f>P7+Q7</f>
        <v>-200.59497199999998</v>
      </c>
      <c r="AI7" s="37">
        <f>R7+S7</f>
        <v>-206.61282116000001</v>
      </c>
      <c r="AJ7" s="37">
        <f>T7+U7</f>
        <v>-212.8112057948</v>
      </c>
      <c r="AK7" s="37">
        <f>V7+W7</f>
        <v>-219.19554196864402</v>
      </c>
    </row>
    <row r="8" spans="2:37" s="19" customFormat="1" x14ac:dyDescent="0.3">
      <c r="B8" s="24" t="s">
        <v>39</v>
      </c>
      <c r="C8" s="38" t="str">
        <f>IFERROR(C7/#REF!-1, "-")</f>
        <v>-</v>
      </c>
      <c r="D8" s="38" t="str">
        <f>IFERROR(D7/#REF!-1, "-")</f>
        <v>-</v>
      </c>
      <c r="E8" s="39" t="str">
        <f>IFERROR(E7/#REF!-1, "-")</f>
        <v>-</v>
      </c>
      <c r="F8" s="38">
        <f t="shared" ref="F8" si="2">F7/C11</f>
        <v>1.5691868758915834E-2</v>
      </c>
      <c r="G8" s="38">
        <f t="shared" ref="G8" si="3">G7/D11</f>
        <v>0.10938775510204081</v>
      </c>
      <c r="H8" s="250">
        <f>H7/F11</f>
        <v>0.1343101343101343</v>
      </c>
      <c r="I8" s="38">
        <f>I7/G11</f>
        <v>-2.8093645484949834E-2</v>
      </c>
      <c r="J8" s="250">
        <f>J7/H11</f>
        <v>-8.6284289276807979E-2</v>
      </c>
      <c r="K8" s="38">
        <f>K7/I11</f>
        <v>-6.2372881355932205E-2</v>
      </c>
      <c r="L8" s="250">
        <f>L7/J11</f>
        <v>-5.2688172043010753E-2</v>
      </c>
      <c r="M8" s="40">
        <v>-0.01</v>
      </c>
      <c r="N8" s="257">
        <v>0.03</v>
      </c>
      <c r="O8" s="40">
        <v>0.03</v>
      </c>
      <c r="P8" s="257">
        <v>0.03</v>
      </c>
      <c r="Q8" s="40">
        <v>0.03</v>
      </c>
      <c r="R8" s="257">
        <v>0.03</v>
      </c>
      <c r="S8" s="40">
        <v>0.03</v>
      </c>
      <c r="T8" s="257">
        <v>0.03</v>
      </c>
      <c r="U8" s="40">
        <v>0.03</v>
      </c>
      <c r="V8" s="257">
        <v>0.03</v>
      </c>
      <c r="W8" s="260">
        <v>0.03</v>
      </c>
      <c r="Y8"/>
      <c r="AC8" s="39">
        <f>AC7/E11</f>
        <v>5.9383326988960788E-2</v>
      </c>
      <c r="AD8" s="39">
        <f>AD7/AC11</f>
        <v>5.6814554739865943E-2</v>
      </c>
      <c r="AE8" s="39">
        <f>AE7/AD11</f>
        <v>-7.6127549554725657E-2</v>
      </c>
      <c r="AF8" s="39">
        <f>AF7/AE7-1</f>
        <v>-0.28649056603773593</v>
      </c>
      <c r="AG8" s="39">
        <f>AG7/AF7-1</f>
        <v>3.0000000000000027E-2</v>
      </c>
      <c r="AH8" s="39">
        <f>AH7/AG7-1</f>
        <v>3.0000000000000027E-2</v>
      </c>
      <c r="AI8" s="39">
        <f>AI7/AH7-1</f>
        <v>3.0000000000000027E-2</v>
      </c>
      <c r="AJ8" s="39">
        <f>AJ7/AI7-1</f>
        <v>3.0000000000000027E-2</v>
      </c>
      <c r="AK8" s="39">
        <f>AK7/AJ7-1</f>
        <v>3.0000000000000027E-2</v>
      </c>
    </row>
    <row r="9" spans="2:37" x14ac:dyDescent="0.3">
      <c r="B9" s="21" t="s">
        <v>37</v>
      </c>
      <c r="C9" s="34"/>
      <c r="D9" s="34"/>
      <c r="E9" s="35"/>
      <c r="F9" s="34">
        <v>17</v>
      </c>
      <c r="G9" s="34">
        <f>AC9-F9</f>
        <v>13</v>
      </c>
      <c r="H9" s="249">
        <v>30</v>
      </c>
      <c r="I9" s="34">
        <f>AD9-H9</f>
        <v>78</v>
      </c>
      <c r="J9" s="249">
        <v>173</v>
      </c>
      <c r="K9" s="34">
        <f>AE9-J9</f>
        <v>110</v>
      </c>
      <c r="L9" s="249">
        <v>57</v>
      </c>
      <c r="M9" s="36">
        <f>K9*(1+M10)</f>
        <v>108.9</v>
      </c>
      <c r="N9" s="256">
        <f>L9*(1+N10)</f>
        <v>58.71</v>
      </c>
      <c r="O9" s="36">
        <f>M9*(1+O10)</f>
        <v>112.16700000000002</v>
      </c>
      <c r="P9" s="256">
        <f>N9*(1+P10)</f>
        <v>60.471299999999999</v>
      </c>
      <c r="Q9" s="36">
        <f>O9*(1+Q10)</f>
        <v>115.53201000000001</v>
      </c>
      <c r="R9" s="256">
        <f>P9*(1+R10)</f>
        <v>62.285439000000004</v>
      </c>
      <c r="S9" s="36">
        <f>Q9*(1+S10)</f>
        <v>118.99797030000002</v>
      </c>
      <c r="T9" s="256">
        <f>R9*(1+T10)</f>
        <v>64.154002170000012</v>
      </c>
      <c r="U9" s="36">
        <f>S9*(1+U10)</f>
        <v>122.56790940900002</v>
      </c>
      <c r="V9" s="256">
        <f>T9*(1+V10)</f>
        <v>66.078622235100013</v>
      </c>
      <c r="W9" s="259">
        <f>U9*(1+W10)</f>
        <v>126.24494669127003</v>
      </c>
      <c r="AC9" s="35">
        <v>30</v>
      </c>
      <c r="AD9" s="35">
        <v>108</v>
      </c>
      <c r="AE9" s="35">
        <v>283</v>
      </c>
      <c r="AF9" s="37">
        <f>L9+M9</f>
        <v>165.9</v>
      </c>
      <c r="AG9" s="37">
        <f>N9+O9</f>
        <v>170.87700000000001</v>
      </c>
      <c r="AH9" s="37">
        <f>P9+Q9</f>
        <v>176.00331</v>
      </c>
      <c r="AI9" s="37">
        <f>R9+S9</f>
        <v>181.28340930000002</v>
      </c>
      <c r="AJ9" s="37">
        <f>T9+U9</f>
        <v>186.72191157900005</v>
      </c>
      <c r="AK9" s="37">
        <f>V9+W9</f>
        <v>192.32356892637006</v>
      </c>
    </row>
    <row r="10" spans="2:37" s="19" customFormat="1" x14ac:dyDescent="0.3">
      <c r="B10" s="24" t="s">
        <v>40</v>
      </c>
      <c r="C10" s="38" t="str">
        <f>IFERROR(C9/#REF!-1, "-")</f>
        <v>-</v>
      </c>
      <c r="D10" s="38" t="str">
        <f>IFERROR(D9/#REF!-1, "-")</f>
        <v>-</v>
      </c>
      <c r="E10" s="39" t="str">
        <f>IFERROR(E9/#REF!-1, "-")</f>
        <v>-</v>
      </c>
      <c r="F10" s="38">
        <f t="shared" ref="F10" si="4">F9/C11</f>
        <v>1.2125534950071327E-2</v>
      </c>
      <c r="G10" s="38">
        <f t="shared" ref="G10" si="5">G9/D11</f>
        <v>1.0612244897959184E-2</v>
      </c>
      <c r="H10" s="250">
        <f>H9/F11</f>
        <v>1.8315018315018316E-2</v>
      </c>
      <c r="I10" s="38">
        <f>I9/G11</f>
        <v>5.2173913043478258E-2</v>
      </c>
      <c r="J10" s="250">
        <f>J9/H11</f>
        <v>8.6284289276807979E-2</v>
      </c>
      <c r="K10" s="38">
        <f>K9/I11</f>
        <v>7.4576271186440682E-2</v>
      </c>
      <c r="L10" s="250">
        <f>L9/J11</f>
        <v>3.0645161290322579E-2</v>
      </c>
      <c r="M10" s="40">
        <v>-0.01</v>
      </c>
      <c r="N10" s="257">
        <v>0.03</v>
      </c>
      <c r="O10" s="40">
        <v>0.03</v>
      </c>
      <c r="P10" s="257">
        <v>0.03</v>
      </c>
      <c r="Q10" s="40">
        <v>0.03</v>
      </c>
      <c r="R10" s="257">
        <v>0.03</v>
      </c>
      <c r="S10" s="40">
        <v>0.03</v>
      </c>
      <c r="T10" s="257">
        <v>0.03</v>
      </c>
      <c r="U10" s="40">
        <v>0.03</v>
      </c>
      <c r="V10" s="257">
        <v>0.03</v>
      </c>
      <c r="W10" s="260">
        <v>0.03</v>
      </c>
      <c r="Y10"/>
      <c r="AC10" s="39">
        <f>AC9/E11</f>
        <v>1.1419870574800152E-2</v>
      </c>
      <c r="AD10" s="39">
        <f>AD9/AC11</f>
        <v>3.4471752314075968E-2</v>
      </c>
      <c r="AE10" s="39">
        <f>AE9/AD11</f>
        <v>8.1298477449008907E-2</v>
      </c>
      <c r="AF10" s="39">
        <f>IFERROR(AF9/AE9-1, "-")</f>
        <v>-0.41378091872791523</v>
      </c>
      <c r="AG10" s="39">
        <f>IFERROR(AG9/AF9-1, "-")</f>
        <v>3.0000000000000027E-2</v>
      </c>
      <c r="AH10" s="39">
        <f>IFERROR(AH9/AG9-1, "-")</f>
        <v>3.0000000000000027E-2</v>
      </c>
      <c r="AI10" s="39">
        <f>IFERROR(AI9/AH9-1, "-")</f>
        <v>3.0000000000000027E-2</v>
      </c>
      <c r="AJ10" s="39">
        <f>IFERROR(AJ9/AI9-1, "-")</f>
        <v>3.0000000000000249E-2</v>
      </c>
      <c r="AK10" s="39">
        <f>IFERROR(AK9/AJ9-1, "-")</f>
        <v>3.0000000000000027E-2</v>
      </c>
    </row>
    <row r="11" spans="2:37" x14ac:dyDescent="0.3">
      <c r="B11" s="23" t="s">
        <v>216</v>
      </c>
      <c r="C11" s="41">
        <v>1402</v>
      </c>
      <c r="D11" s="41">
        <f>E11-C11</f>
        <v>1225</v>
      </c>
      <c r="E11" s="42">
        <v>2627</v>
      </c>
      <c r="F11" s="41">
        <f>C11+F5+F7+F9+1</f>
        <v>1638</v>
      </c>
      <c r="G11" s="41">
        <f>D11+G5+G7+G9</f>
        <v>1495</v>
      </c>
      <c r="H11" s="251">
        <f>F11+H5+H7+H9-1</f>
        <v>2005</v>
      </c>
      <c r="I11" s="41">
        <f>G11+I5+I7+I9</f>
        <v>1475</v>
      </c>
      <c r="J11" s="251">
        <f>H11+J5+J7+J9</f>
        <v>1860</v>
      </c>
      <c r="K11" s="41">
        <f>I11+K5+K7+K9</f>
        <v>1479</v>
      </c>
      <c r="L11" s="251">
        <f>J11+L5+L7+L9</f>
        <v>1738</v>
      </c>
      <c r="M11" s="41">
        <f>K11+M5+M7+M9</f>
        <v>1482.9600000000003</v>
      </c>
      <c r="N11" s="251">
        <f>L11+N5+N7+N9</f>
        <v>1612.34</v>
      </c>
      <c r="O11" s="41">
        <f>M11+O5+O7+O9</f>
        <v>1487.0388000000003</v>
      </c>
      <c r="P11" s="251">
        <f>N11+P5+P7+P9</f>
        <v>1482.9101999999998</v>
      </c>
      <c r="Q11" s="41">
        <f>O11+Q5+Q7+Q9</f>
        <v>1491.2399640000003</v>
      </c>
      <c r="R11" s="251">
        <f>P11+R5+R7+R9</f>
        <v>1349.5975059999998</v>
      </c>
      <c r="S11" s="41">
        <f>Q11+S5+S7+S9</f>
        <v>1495.5671629200006</v>
      </c>
      <c r="T11" s="251">
        <f>R11+T5+T7+T9</f>
        <v>1212.2854311799997</v>
      </c>
      <c r="U11" s="41">
        <f>S11+U5+U7+U9</f>
        <v>1500.0241778076006</v>
      </c>
      <c r="V11" s="251">
        <f>T11+V5+V7+V9</f>
        <v>1070.8539941153997</v>
      </c>
      <c r="W11" s="261">
        <f>U11+W5+W7+W9</f>
        <v>1504.6149031418286</v>
      </c>
      <c r="AC11" s="42">
        <f>E11+AC5+AC7+AC9+1</f>
        <v>3133</v>
      </c>
      <c r="AD11" s="42">
        <f>AC11+AD5+AD7+AD9</f>
        <v>3481</v>
      </c>
      <c r="AE11" s="42">
        <f>AD11+AE5+AE7+AE9</f>
        <v>3340</v>
      </c>
      <c r="AF11" s="42">
        <f>AE11+AF5+AF7+AF9</f>
        <v>3221.96</v>
      </c>
      <c r="AG11" s="42">
        <f>AF11+AG5+AG7+AG9</f>
        <v>3100.3788</v>
      </c>
      <c r="AH11" s="42">
        <f>AG11+AH5+AH7+AH9</f>
        <v>2975.1501640000001</v>
      </c>
      <c r="AI11" s="42">
        <f>AH11+AI5+AI7+AI9</f>
        <v>2846.1646689200006</v>
      </c>
      <c r="AJ11" s="42">
        <f>AI11+AJ5+AJ7+AJ9</f>
        <v>2713.3096089876003</v>
      </c>
      <c r="AK11" s="42">
        <f>AJ11+AK5+AK7+AK9</f>
        <v>2576.4688972572285</v>
      </c>
    </row>
    <row r="12" spans="2:37" s="19" customFormat="1" x14ac:dyDescent="0.3">
      <c r="B12" s="24" t="s">
        <v>42</v>
      </c>
      <c r="C12" s="38" t="str">
        <f>IFERROR(C11/#REF!-1, "-")</f>
        <v>-</v>
      </c>
      <c r="D12" s="38" t="str">
        <f>IFERROR(D11/#REF!-1, "-")</f>
        <v>-</v>
      </c>
      <c r="E12" s="39" t="str">
        <f>IFERROR(E11/#REF!-1, "-")</f>
        <v>-</v>
      </c>
      <c r="F12" s="38">
        <f t="shared" ref="F12" si="6">IFERROR(F11/C11-1, "-")</f>
        <v>0.16833095577746082</v>
      </c>
      <c r="G12" s="38">
        <f t="shared" ref="G12" si="7">IFERROR(G11/D11-1, "-")</f>
        <v>0.2204081632653061</v>
      </c>
      <c r="H12" s="250">
        <f>IFERROR(H11/F11-1, "-")</f>
        <v>0.22405372405372415</v>
      </c>
      <c r="I12" s="38">
        <f>IFERROR(I11/G11-1, "-")</f>
        <v>-1.3377926421404673E-2</v>
      </c>
      <c r="J12" s="250">
        <f>IFERROR(J11/H11-1, "-")</f>
        <v>-7.2319201995012516E-2</v>
      </c>
      <c r="K12" s="38">
        <f>IFERROR(K11/I11-1, "-")</f>
        <v>2.7118644067796183E-3</v>
      </c>
      <c r="L12" s="250">
        <f>IFERROR(L11/J11-1, "-")</f>
        <v>-6.559139784946233E-2</v>
      </c>
      <c r="M12" s="38">
        <f>IFERROR(M11/K11-1, "-")</f>
        <v>2.6774847870183471E-3</v>
      </c>
      <c r="N12" s="250">
        <f>IFERROR(N11/L11-1, "-")</f>
        <v>-7.2301495972382113E-2</v>
      </c>
      <c r="O12" s="38">
        <f>IFERROR(O11/M11-1, "-")</f>
        <v>2.7504450558342164E-3</v>
      </c>
      <c r="P12" s="250">
        <f>IFERROR(P11/N11-1, "-")</f>
        <v>-8.0274507858144162E-2</v>
      </c>
      <c r="Q12" s="38">
        <f>IFERROR(Q11/O11-1, "-")</f>
        <v>2.8251878834635313E-3</v>
      </c>
      <c r="R12" s="250">
        <f>IFERROR(R11/P11-1, "-")</f>
        <v>-8.9899370845247351E-2</v>
      </c>
      <c r="S12" s="38">
        <f>IFERROR(S11/Q11-1, "-")</f>
        <v>2.9017455436166628E-3</v>
      </c>
      <c r="T12" s="250">
        <f>IFERROR(T11/R11-1, "-")</f>
        <v>-0.10174298204430743</v>
      </c>
      <c r="U12" s="38">
        <f>IFERROR(U11/S11-1, "-")</f>
        <v>2.9801502721535922E-3</v>
      </c>
      <c r="V12" s="250">
        <f>IFERROR(V11/T11-1, "-")</f>
        <v>-0.11666512970211573</v>
      </c>
      <c r="W12" s="262">
        <f>IFERROR(W11/U11-1, "-")</f>
        <v>3.0604342264253237E-3</v>
      </c>
      <c r="Y12"/>
      <c r="AC12" s="39">
        <f>IFERROR(AC11/E11-1, "-")</f>
        <v>0.19261515036162913</v>
      </c>
      <c r="AD12" s="39">
        <f>IFERROR(AD11/AC11-1, "-")</f>
        <v>0.11107564634535594</v>
      </c>
      <c r="AE12" s="39">
        <f>IFERROR(AE11/AD11-1, "-")</f>
        <v>-4.0505601838552119E-2</v>
      </c>
      <c r="AF12" s="39">
        <f>IFERROR(AF11/AE11-1, "-")</f>
        <v>-3.5341317365269465E-2</v>
      </c>
      <c r="AG12" s="39">
        <f>IFERROR(AG11/AF11-1, "-")</f>
        <v>-3.7735167413624038E-2</v>
      </c>
      <c r="AH12" s="39">
        <f>IFERROR(AH11/AG11-1, "-")</f>
        <v>-4.0391398625226005E-2</v>
      </c>
      <c r="AI12" s="39">
        <f>IFERROR(AI11/AH11-1, "-")</f>
        <v>-4.3354280614388396E-2</v>
      </c>
      <c r="AJ12" s="39">
        <f>IFERROR(AJ11/AI11-1, "-")</f>
        <v>-4.6678627341268042E-2</v>
      </c>
      <c r="AK12" s="39">
        <f>IFERROR(AK11/AJ11-1, "-")</f>
        <v>-5.0433135708913945E-2</v>
      </c>
    </row>
    <row r="13" spans="2:37" x14ac:dyDescent="0.3">
      <c r="B13" s="21"/>
      <c r="C13" s="43"/>
      <c r="D13" s="43"/>
      <c r="E13" s="44"/>
      <c r="F13" s="43"/>
      <c r="G13" s="43"/>
      <c r="H13" s="252"/>
      <c r="I13" s="43"/>
      <c r="J13" s="252"/>
      <c r="K13" s="43"/>
      <c r="L13" s="252"/>
      <c r="M13" s="43"/>
      <c r="N13" s="252"/>
      <c r="O13" s="43"/>
      <c r="P13" s="252"/>
      <c r="Q13" s="43"/>
      <c r="R13" s="252"/>
      <c r="S13" s="43"/>
      <c r="T13" s="252"/>
      <c r="U13" s="43"/>
      <c r="V13" s="252"/>
      <c r="W13" s="263"/>
      <c r="AC13" s="44"/>
      <c r="AD13" s="44"/>
      <c r="AE13" s="44"/>
      <c r="AF13" s="44"/>
      <c r="AG13" s="44"/>
      <c r="AH13" s="44"/>
      <c r="AI13" s="44"/>
      <c r="AJ13" s="44"/>
      <c r="AK13" s="45"/>
    </row>
    <row r="14" spans="2:37" x14ac:dyDescent="0.3">
      <c r="B14" s="23" t="s">
        <v>213</v>
      </c>
      <c r="C14" s="43"/>
      <c r="D14" s="43"/>
      <c r="E14" s="44"/>
      <c r="F14" s="43"/>
      <c r="G14" s="43"/>
      <c r="H14" s="252"/>
      <c r="I14" s="43"/>
      <c r="J14" s="252"/>
      <c r="K14" s="43"/>
      <c r="L14" s="252"/>
      <c r="M14" s="43"/>
      <c r="N14" s="252"/>
      <c r="O14" s="43"/>
      <c r="P14" s="252"/>
      <c r="Q14" s="43"/>
      <c r="R14" s="252"/>
      <c r="S14" s="43"/>
      <c r="T14" s="252"/>
      <c r="U14" s="43"/>
      <c r="V14" s="252"/>
      <c r="W14" s="263"/>
      <c r="AC14" s="44"/>
      <c r="AD14" s="44"/>
      <c r="AE14" s="44"/>
      <c r="AF14" s="44"/>
      <c r="AG14" s="44"/>
      <c r="AH14" s="44"/>
      <c r="AI14" s="44"/>
      <c r="AJ14" s="44"/>
      <c r="AK14" s="45"/>
    </row>
    <row r="15" spans="2:37" x14ac:dyDescent="0.3">
      <c r="B15" s="21" t="s">
        <v>35</v>
      </c>
      <c r="C15" s="34"/>
      <c r="D15" s="34"/>
      <c r="E15" s="35"/>
      <c r="F15" s="34">
        <v>338</v>
      </c>
      <c r="G15" s="34">
        <f>AC15-F15</f>
        <v>336</v>
      </c>
      <c r="H15" s="249">
        <v>460</v>
      </c>
      <c r="I15" s="34">
        <f>AD15-H15</f>
        <v>295</v>
      </c>
      <c r="J15" s="249">
        <v>16</v>
      </c>
      <c r="K15" s="34">
        <f>AE15-J15</f>
        <v>151</v>
      </c>
      <c r="L15" s="249">
        <v>-156</v>
      </c>
      <c r="M15" s="36">
        <f>K15*(1+M16)</f>
        <v>149.49</v>
      </c>
      <c r="N15" s="256">
        <f>L15*(1+N16)</f>
        <v>-160.68</v>
      </c>
      <c r="O15" s="36">
        <f>M15*(1+O16)</f>
        <v>153.97470000000001</v>
      </c>
      <c r="P15" s="256">
        <f>N15*(1+P16)</f>
        <v>-165.50040000000001</v>
      </c>
      <c r="Q15" s="36">
        <f>O15*(1+Q16)</f>
        <v>158.59394100000003</v>
      </c>
      <c r="R15" s="256">
        <f>P15*(1+R16)</f>
        <v>-170.46541200000001</v>
      </c>
      <c r="S15" s="36">
        <f>Q15*(1+S16)</f>
        <v>163.35175923000003</v>
      </c>
      <c r="T15" s="256">
        <f>R15*(1+T16)</f>
        <v>-175.57937436000003</v>
      </c>
      <c r="U15" s="36">
        <f>S15*(1+U16)</f>
        <v>168.25231200690004</v>
      </c>
      <c r="V15" s="256">
        <f>T15*(1+V16)</f>
        <v>-180.84675559080003</v>
      </c>
      <c r="W15" s="259">
        <f>U15*(1+W16)</f>
        <v>173.29988136710705</v>
      </c>
      <c r="AC15" s="35">
        <v>674</v>
      </c>
      <c r="AD15" s="35">
        <v>755</v>
      </c>
      <c r="AE15" s="35">
        <v>167</v>
      </c>
      <c r="AF15" s="37">
        <f>L15+M15</f>
        <v>-6.5099999999999909</v>
      </c>
      <c r="AG15" s="37">
        <f>N15+O15</f>
        <v>-6.705299999999994</v>
      </c>
      <c r="AH15" s="37">
        <f>P15+Q15</f>
        <v>-6.9064589999999839</v>
      </c>
      <c r="AI15" s="37">
        <f>R15+S15</f>
        <v>-7.1136527699999874</v>
      </c>
      <c r="AJ15" s="37">
        <f>T15+U15</f>
        <v>-7.3270623530999899</v>
      </c>
      <c r="AK15" s="37">
        <f>V15+W15</f>
        <v>-7.5468742236929813</v>
      </c>
    </row>
    <row r="16" spans="2:37" s="19" customFormat="1" x14ac:dyDescent="0.3">
      <c r="B16" s="24" t="s">
        <v>38</v>
      </c>
      <c r="C16" s="38" t="str">
        <f>IFERROR(C15/#REF!-1, "-")</f>
        <v>-</v>
      </c>
      <c r="D16" s="38" t="str">
        <f>IFERROR(D15/#REF!-1, "-")</f>
        <v>-</v>
      </c>
      <c r="E16" s="39" t="str">
        <f>IFERROR(E15/#REF!-1, "-")</f>
        <v>-</v>
      </c>
      <c r="F16" s="38">
        <f t="shared" ref="F16" si="8">F15/C21</f>
        <v>0.15890926187118007</v>
      </c>
      <c r="G16" s="38">
        <f t="shared" ref="G16" si="9">G15/D21</f>
        <v>0.22207534699272968</v>
      </c>
      <c r="H16" s="250">
        <f>H15/F21</f>
        <v>0.18225039619651348</v>
      </c>
      <c r="I16" s="38">
        <f>I15/G21</f>
        <v>0.15412748171368862</v>
      </c>
      <c r="J16" s="250">
        <f>J15/H21</f>
        <v>5.1249199231262008E-3</v>
      </c>
      <c r="K16" s="38">
        <f>K15/I21</f>
        <v>7.298211696471725E-2</v>
      </c>
      <c r="L16" s="250">
        <f>L15/J21</f>
        <v>-5.473684210526316E-2</v>
      </c>
      <c r="M16" s="40">
        <v>-0.01</v>
      </c>
      <c r="N16" s="257">
        <v>0.03</v>
      </c>
      <c r="O16" s="40">
        <v>0.03</v>
      </c>
      <c r="P16" s="257">
        <v>0.03</v>
      </c>
      <c r="Q16" s="40">
        <v>0.03</v>
      </c>
      <c r="R16" s="257">
        <v>0.03</v>
      </c>
      <c r="S16" s="40">
        <v>0.03</v>
      </c>
      <c r="T16" s="257">
        <v>0.03</v>
      </c>
      <c r="U16" s="40">
        <v>0.03</v>
      </c>
      <c r="V16" s="257">
        <v>0.03</v>
      </c>
      <c r="W16" s="260">
        <v>0.03</v>
      </c>
      <c r="Y16"/>
      <c r="AC16" s="39">
        <f>AC15/E21</f>
        <v>0.18516483516483517</v>
      </c>
      <c r="AD16" s="39">
        <f>AD15/AC21</f>
        <v>0.17012167643082471</v>
      </c>
      <c r="AE16" s="39">
        <f>AE15/AD21</f>
        <v>3.2171065305336158E-2</v>
      </c>
      <c r="AF16" s="39">
        <f>AF15/AE15-1</f>
        <v>-1.0389820359281436</v>
      </c>
      <c r="AG16" s="39">
        <f>AG15/AF15-1</f>
        <v>3.0000000000000471E-2</v>
      </c>
      <c r="AH16" s="39">
        <f>AH15/AG15-1</f>
        <v>2.9999999999998472E-2</v>
      </c>
      <c r="AI16" s="39">
        <f>AI15/AH15-1</f>
        <v>3.0000000000000471E-2</v>
      </c>
      <c r="AJ16" s="39">
        <f>AJ15/AI15-1</f>
        <v>3.0000000000000471E-2</v>
      </c>
      <c r="AK16" s="39">
        <f>AK15/AJ15-1</f>
        <v>2.9999999999998916E-2</v>
      </c>
    </row>
    <row r="17" spans="2:37" x14ac:dyDescent="0.3">
      <c r="B17" s="21" t="s">
        <v>36</v>
      </c>
      <c r="C17" s="34"/>
      <c r="D17" s="34"/>
      <c r="E17" s="35"/>
      <c r="F17" s="34">
        <v>60</v>
      </c>
      <c r="G17" s="34">
        <f>AC17-F17</f>
        <v>65</v>
      </c>
      <c r="H17" s="249">
        <v>90</v>
      </c>
      <c r="I17" s="34">
        <f>AD17-H17</f>
        <v>-176</v>
      </c>
      <c r="J17" s="249">
        <v>-366</v>
      </c>
      <c r="K17" s="34">
        <f>AE17-J17</f>
        <v>-130</v>
      </c>
      <c r="L17" s="249">
        <v>-80</v>
      </c>
      <c r="M17" s="36">
        <f>K17*(1+M18)</f>
        <v>-128.69999999999999</v>
      </c>
      <c r="N17" s="256">
        <f>L17*(1+N18)</f>
        <v>-82.4</v>
      </c>
      <c r="O17" s="36">
        <f>M17*(1+O18)</f>
        <v>-132.56099999999998</v>
      </c>
      <c r="P17" s="256">
        <f>N17*(1+P18)</f>
        <v>-84.872000000000014</v>
      </c>
      <c r="Q17" s="36">
        <f>O17*(1+Q18)</f>
        <v>-136.53782999999999</v>
      </c>
      <c r="R17" s="256">
        <f>P17*(1+R18)</f>
        <v>-87.418160000000015</v>
      </c>
      <c r="S17" s="36">
        <f>Q17*(1+S18)</f>
        <v>-140.6339649</v>
      </c>
      <c r="T17" s="256">
        <f>R17*(1+T18)</f>
        <v>-90.040704800000015</v>
      </c>
      <c r="U17" s="36">
        <f>S17*(1+U18)</f>
        <v>-144.85298384699999</v>
      </c>
      <c r="V17" s="256">
        <f>T17*(1+V18)</f>
        <v>-92.741925944000016</v>
      </c>
      <c r="W17" s="259">
        <f>U17*(1+W18)</f>
        <v>-149.19857336241</v>
      </c>
      <c r="AC17" s="35">
        <v>125</v>
      </c>
      <c r="AD17" s="35">
        <v>-86</v>
      </c>
      <c r="AE17" s="35">
        <v>-496</v>
      </c>
      <c r="AF17" s="37">
        <f>L17+M17</f>
        <v>-208.7</v>
      </c>
      <c r="AG17" s="37">
        <f>N17+O17</f>
        <v>-214.96099999999998</v>
      </c>
      <c r="AH17" s="37">
        <f>P17+Q17</f>
        <v>-221.40983</v>
      </c>
      <c r="AI17" s="37">
        <f>R17+S17</f>
        <v>-228.05212490000002</v>
      </c>
      <c r="AJ17" s="37">
        <f>T17+U17</f>
        <v>-234.893688647</v>
      </c>
      <c r="AK17" s="37">
        <f>V17+W17</f>
        <v>-241.94049930641</v>
      </c>
    </row>
    <row r="18" spans="2:37" s="19" customFormat="1" x14ac:dyDescent="0.3">
      <c r="B18" s="24" t="s">
        <v>39</v>
      </c>
      <c r="C18" s="38" t="str">
        <f>IFERROR(C17/#REF!-1, "-")</f>
        <v>-</v>
      </c>
      <c r="D18" s="38" t="str">
        <f>IFERROR(D17/#REF!-1, "-")</f>
        <v>-</v>
      </c>
      <c r="E18" s="39" t="str">
        <f>IFERROR(E17/#REF!-1, "-")</f>
        <v>-</v>
      </c>
      <c r="F18" s="38">
        <f t="shared" ref="F18" si="10">F17/C21</f>
        <v>2.8208744710860368E-2</v>
      </c>
      <c r="G18" s="38">
        <f t="shared" ref="G18" si="11">G17/D21</f>
        <v>4.2961004626569731E-2</v>
      </c>
      <c r="H18" s="250">
        <f>H17/F21</f>
        <v>3.5657686212361331E-2</v>
      </c>
      <c r="I18" s="38">
        <f>I17/G21</f>
        <v>-9.1954022988505746E-2</v>
      </c>
      <c r="J18" s="250">
        <f>J17/H21</f>
        <v>-0.11723254324151185</v>
      </c>
      <c r="K18" s="38">
        <f>K17/I21</f>
        <v>-6.2832286128564521E-2</v>
      </c>
      <c r="L18" s="250">
        <f>L17/J21</f>
        <v>-2.8070175438596492E-2</v>
      </c>
      <c r="M18" s="40">
        <v>-0.01</v>
      </c>
      <c r="N18" s="257">
        <v>0.03</v>
      </c>
      <c r="O18" s="40">
        <v>0.03</v>
      </c>
      <c r="P18" s="257">
        <v>0.03</v>
      </c>
      <c r="Q18" s="40">
        <v>0.03</v>
      </c>
      <c r="R18" s="257">
        <v>0.03</v>
      </c>
      <c r="S18" s="40">
        <v>0.03</v>
      </c>
      <c r="T18" s="257">
        <v>0.03</v>
      </c>
      <c r="U18" s="40">
        <v>0.03</v>
      </c>
      <c r="V18" s="257">
        <v>0.03</v>
      </c>
      <c r="W18" s="260">
        <v>0.03</v>
      </c>
      <c r="Y18"/>
      <c r="AC18" s="39">
        <f>AC17/E21</f>
        <v>3.4340659340659344E-2</v>
      </c>
      <c r="AD18" s="39">
        <f>AD17/AC21</f>
        <v>-1.9378098242451555E-2</v>
      </c>
      <c r="AE18" s="39">
        <f>AE17/AD21</f>
        <v>-9.5549990367944523E-2</v>
      </c>
      <c r="AF18" s="39">
        <f>AF17/AE17-1</f>
        <v>-0.57923387096774204</v>
      </c>
      <c r="AG18" s="39">
        <f>AG17/AF17-1</f>
        <v>3.0000000000000027E-2</v>
      </c>
      <c r="AH18" s="39">
        <f>AH17/AG17-1</f>
        <v>3.0000000000000027E-2</v>
      </c>
      <c r="AI18" s="39">
        <f>AI17/AH17-1</f>
        <v>3.0000000000000027E-2</v>
      </c>
      <c r="AJ18" s="39">
        <f>AJ17/AI17-1</f>
        <v>2.9999999999999805E-2</v>
      </c>
      <c r="AK18" s="39">
        <f>AK17/AJ17-1</f>
        <v>3.0000000000000027E-2</v>
      </c>
    </row>
    <row r="19" spans="2:37" x14ac:dyDescent="0.3">
      <c r="B19" s="21" t="s">
        <v>37</v>
      </c>
      <c r="C19" s="34"/>
      <c r="D19" s="34"/>
      <c r="E19" s="35"/>
      <c r="F19" s="34">
        <v>0</v>
      </c>
      <c r="G19" s="34">
        <f>AC19-F19</f>
        <v>0</v>
      </c>
      <c r="H19" s="249">
        <v>48</v>
      </c>
      <c r="I19" s="34">
        <f>AD19-H19</f>
        <v>36</v>
      </c>
      <c r="J19" s="249">
        <v>79</v>
      </c>
      <c r="K19" s="34">
        <f>AE19-J19</f>
        <v>32</v>
      </c>
      <c r="L19" s="249">
        <v>5</v>
      </c>
      <c r="M19" s="36">
        <f>K19*(1+M20)</f>
        <v>31.68</v>
      </c>
      <c r="N19" s="256">
        <f>L19*(1+N20)</f>
        <v>5.15</v>
      </c>
      <c r="O19" s="36">
        <f>M19*(1+O20)</f>
        <v>32.630400000000002</v>
      </c>
      <c r="P19" s="256">
        <f>N19*(1+P20)</f>
        <v>5.3045000000000009</v>
      </c>
      <c r="Q19" s="36">
        <f>O19*(1+Q20)</f>
        <v>33.609312000000003</v>
      </c>
      <c r="R19" s="256">
        <f>P19*(1+R20)</f>
        <v>5.4636350000000009</v>
      </c>
      <c r="S19" s="36">
        <f>Q19*(1+S20)</f>
        <v>34.617591360000006</v>
      </c>
      <c r="T19" s="256">
        <f>R19*(1+T20)</f>
        <v>5.6275440500000009</v>
      </c>
      <c r="U19" s="36">
        <f>S19*(1+U20)</f>
        <v>35.656119100800005</v>
      </c>
      <c r="V19" s="256">
        <f>T19*(1+V20)</f>
        <v>5.796370371500001</v>
      </c>
      <c r="W19" s="259">
        <f>U19*(1+W20)</f>
        <v>36.725802673824006</v>
      </c>
      <c r="AC19" s="35">
        <v>0</v>
      </c>
      <c r="AD19" s="35">
        <v>84</v>
      </c>
      <c r="AE19" s="35">
        <v>111</v>
      </c>
      <c r="AF19" s="37">
        <f>L19+M19</f>
        <v>36.68</v>
      </c>
      <c r="AG19" s="37">
        <f>N19+O19</f>
        <v>37.7804</v>
      </c>
      <c r="AH19" s="37">
        <f>P19+Q19</f>
        <v>38.913812000000007</v>
      </c>
      <c r="AI19" s="37">
        <f>R19+S19</f>
        <v>40.081226360000009</v>
      </c>
      <c r="AJ19" s="37">
        <f>T19+U19</f>
        <v>41.28366315080001</v>
      </c>
      <c r="AK19" s="37">
        <f>V19+W19</f>
        <v>42.52217304532401</v>
      </c>
    </row>
    <row r="20" spans="2:37" s="19" customFormat="1" x14ac:dyDescent="0.3">
      <c r="B20" s="24" t="s">
        <v>40</v>
      </c>
      <c r="C20" s="38" t="str">
        <f>IFERROR(C19/#REF!-1, "-")</f>
        <v>-</v>
      </c>
      <c r="D20" s="38" t="str">
        <f>IFERROR(D19/#REF!-1, "-")</f>
        <v>-</v>
      </c>
      <c r="E20" s="39" t="str">
        <f>IFERROR(E19/#REF!-1, "-")</f>
        <v>-</v>
      </c>
      <c r="F20" s="38">
        <f t="shared" ref="F20" si="12">F19/C21</f>
        <v>0</v>
      </c>
      <c r="G20" s="38">
        <f t="shared" ref="G20" si="13">G19/D21</f>
        <v>0</v>
      </c>
      <c r="H20" s="250">
        <f>H19/F21</f>
        <v>1.9017432646592711E-2</v>
      </c>
      <c r="I20" s="38">
        <f>I19/G21</f>
        <v>1.8808777429467086E-2</v>
      </c>
      <c r="J20" s="250">
        <f>J19/H21</f>
        <v>2.5304292120435619E-2</v>
      </c>
      <c r="K20" s="38">
        <f>K19/I21</f>
        <v>1.5466408893185114E-2</v>
      </c>
      <c r="L20" s="250">
        <f>L19/J21</f>
        <v>1.7543859649122807E-3</v>
      </c>
      <c r="M20" s="40">
        <v>-0.01</v>
      </c>
      <c r="N20" s="257">
        <v>0.03</v>
      </c>
      <c r="O20" s="40">
        <v>0.03</v>
      </c>
      <c r="P20" s="257">
        <v>0.03</v>
      </c>
      <c r="Q20" s="40">
        <v>0.03</v>
      </c>
      <c r="R20" s="257">
        <v>0.03</v>
      </c>
      <c r="S20" s="40">
        <v>0.03</v>
      </c>
      <c r="T20" s="257">
        <v>0.03</v>
      </c>
      <c r="U20" s="40">
        <v>0.03</v>
      </c>
      <c r="V20" s="257">
        <v>0.03</v>
      </c>
      <c r="W20" s="260">
        <v>0.03</v>
      </c>
      <c r="Y20"/>
      <c r="AC20" s="39">
        <f>AC19/E21</f>
        <v>0</v>
      </c>
      <c r="AD20" s="39">
        <f>AD19/AC21</f>
        <v>1.8927444794952682E-2</v>
      </c>
      <c r="AE20" s="39">
        <f>AE19/AD21</f>
        <v>2.1383163167019843E-2</v>
      </c>
      <c r="AF20" s="39">
        <f>IFERROR(AF19/AE19-1, "-")</f>
        <v>-0.66954954954954959</v>
      </c>
      <c r="AG20" s="39">
        <f>IFERROR(AG19/AF19-1, "-")</f>
        <v>3.0000000000000027E-2</v>
      </c>
      <c r="AH20" s="39">
        <f>IFERROR(AH19/AG19-1, "-")</f>
        <v>3.0000000000000249E-2</v>
      </c>
      <c r="AI20" s="39">
        <f>IFERROR(AI19/AH19-1, "-")</f>
        <v>3.0000000000000027E-2</v>
      </c>
      <c r="AJ20" s="39">
        <f>IFERROR(AJ19/AI19-1, "-")</f>
        <v>3.0000000000000027E-2</v>
      </c>
      <c r="AK20" s="39">
        <f>IFERROR(AK19/AJ19-1, "-")</f>
        <v>3.0000000000000027E-2</v>
      </c>
    </row>
    <row r="21" spans="2:37" x14ac:dyDescent="0.3">
      <c r="B21" s="23" t="s">
        <v>214</v>
      </c>
      <c r="C21" s="41">
        <v>2127</v>
      </c>
      <c r="D21" s="41">
        <f>E21-C21</f>
        <v>1513</v>
      </c>
      <c r="E21" s="42">
        <v>3640</v>
      </c>
      <c r="F21" s="41">
        <f>C21+F15+F17+F19-1</f>
        <v>2524</v>
      </c>
      <c r="G21" s="41">
        <f>D21+G15+G17+G19</f>
        <v>1914</v>
      </c>
      <c r="H21" s="251">
        <f>F21+H15+H17+H19</f>
        <v>3122</v>
      </c>
      <c r="I21" s="41">
        <f>G21+I15+I17+I19</f>
        <v>2069</v>
      </c>
      <c r="J21" s="251">
        <f>H21+J15+J17+J19-1</f>
        <v>2850</v>
      </c>
      <c r="K21" s="41">
        <f>I21+K15+K17+K19</f>
        <v>2122</v>
      </c>
      <c r="L21" s="251">
        <f>J21+L15+L17+L19</f>
        <v>2619</v>
      </c>
      <c r="M21" s="41">
        <f>K21+M15+M17+M19</f>
        <v>2174.4699999999998</v>
      </c>
      <c r="N21" s="251">
        <f>L21+N15+N17+N19</f>
        <v>2381.0700000000002</v>
      </c>
      <c r="O21" s="41">
        <f>M21+O15+O17+O19</f>
        <v>2228.5140999999999</v>
      </c>
      <c r="P21" s="251">
        <f>N21+P15+P17+P19</f>
        <v>2136.0021000000006</v>
      </c>
      <c r="Q21" s="41">
        <f>O21+Q15+Q17+Q19</f>
        <v>2284.1795230000002</v>
      </c>
      <c r="R21" s="251">
        <f>P21+R15+R17+R19</f>
        <v>1883.5821630000007</v>
      </c>
      <c r="S21" s="41">
        <f>Q21+S15+S17+S19</f>
        <v>2341.5149086900001</v>
      </c>
      <c r="T21" s="251">
        <f>R21+T15+T17+T19</f>
        <v>1623.5896278900009</v>
      </c>
      <c r="U21" s="41">
        <f>S21+U15+U17+U19</f>
        <v>2400.5703559507001</v>
      </c>
      <c r="V21" s="251">
        <f>T21+V15+V17+V19</f>
        <v>1355.7973167267007</v>
      </c>
      <c r="W21" s="261">
        <f>U21+W15+W17+W19</f>
        <v>2461.3974666292211</v>
      </c>
      <c r="AC21" s="42">
        <f>E21+AC15+AC17+AC19-1</f>
        <v>4438</v>
      </c>
      <c r="AD21" s="42">
        <f>AC21+AD15+AD17+AD19</f>
        <v>5191</v>
      </c>
      <c r="AE21" s="42">
        <f>AD21+AE15+AE17+AE19</f>
        <v>4973</v>
      </c>
      <c r="AF21" s="42">
        <f>AE21+AF15+AF17+AF19</f>
        <v>4794.47</v>
      </c>
      <c r="AG21" s="42">
        <f>AF21+AG15+AG17+AG19</f>
        <v>4610.5841</v>
      </c>
      <c r="AH21" s="42">
        <f>AG21+AH15+AH17+AH19</f>
        <v>4421.1816230000004</v>
      </c>
      <c r="AI21" s="42">
        <f>AH21+AI15+AI17+AI19</f>
        <v>4226.0970716900001</v>
      </c>
      <c r="AJ21" s="42">
        <f>AI21+AJ15+AJ17+AJ19</f>
        <v>4025.1599838407001</v>
      </c>
      <c r="AK21" s="42">
        <f>AJ21+AK15+AK17+AK19</f>
        <v>3818.1947833559211</v>
      </c>
    </row>
    <row r="22" spans="2:37" s="19" customFormat="1" x14ac:dyDescent="0.3">
      <c r="B22" s="24" t="s">
        <v>42</v>
      </c>
      <c r="C22" s="38" t="str">
        <f>IFERROR(C21/#REF!-1, "-")</f>
        <v>-</v>
      </c>
      <c r="D22" s="38" t="str">
        <f>IFERROR(D21/#REF!-1, "-")</f>
        <v>-</v>
      </c>
      <c r="E22" s="39" t="str">
        <f>IFERROR(E21/#REF!-1, "-")</f>
        <v>-</v>
      </c>
      <c r="F22" s="38">
        <f t="shared" ref="F22" si="14">IFERROR(F21/C21-1, "-")</f>
        <v>0.18664786083685936</v>
      </c>
      <c r="G22" s="38">
        <f t="shared" ref="G22" si="15">IFERROR(G21/D21-1, "-")</f>
        <v>0.2650363516192995</v>
      </c>
      <c r="H22" s="250">
        <f>IFERROR(H21/F21-1, "-")</f>
        <v>0.23692551505546744</v>
      </c>
      <c r="I22" s="38">
        <f>IFERROR(I21/G21-1, "-")</f>
        <v>8.0982236154649945E-2</v>
      </c>
      <c r="J22" s="250">
        <f>IFERROR(J21/H21-1, "-")</f>
        <v>-8.7123638693145433E-2</v>
      </c>
      <c r="K22" s="38">
        <f>IFERROR(K21/I21-1, "-")</f>
        <v>2.5616239729337797E-2</v>
      </c>
      <c r="L22" s="250">
        <f>IFERROR(L21/J21-1, "-")</f>
        <v>-8.1052631578947376E-2</v>
      </c>
      <c r="M22" s="38">
        <f>IFERROR(M21/K21-1, "-")</f>
        <v>2.4726672950047046E-2</v>
      </c>
      <c r="N22" s="250">
        <f>IFERROR(N21/L21-1, "-")</f>
        <v>-9.0847651775486815E-2</v>
      </c>
      <c r="O22" s="38">
        <f>IFERROR(O21/M21-1, "-")</f>
        <v>2.4853918426099186E-2</v>
      </c>
      <c r="P22" s="250">
        <f>IFERROR(P21/N21-1, "-")</f>
        <v>-0.10292343358238087</v>
      </c>
      <c r="Q22" s="38">
        <f>IFERROR(Q21/O21-1, "-")</f>
        <v>2.4978716984559446E-2</v>
      </c>
      <c r="R22" s="250">
        <f>IFERROR(R21/P21-1, "-")</f>
        <v>-0.11817401162667385</v>
      </c>
      <c r="S22" s="38">
        <f>IFERROR(S21/Q21-1, "-")</f>
        <v>2.5101085581354265E-2</v>
      </c>
      <c r="T22" s="250">
        <f>IFERROR(T21/R21-1, "-")</f>
        <v>-0.13803089677591074</v>
      </c>
      <c r="U22" s="38">
        <f>IFERROR(U21/S21-1, "-")</f>
        <v>2.5221042600040322E-2</v>
      </c>
      <c r="V22" s="250">
        <f>IFERROR(V21/T21-1, "-")</f>
        <v>-0.1649384219775536</v>
      </c>
      <c r="W22" s="262">
        <f>IFERROR(W21/U21-1, "-")</f>
        <v>2.5338607771998145E-2</v>
      </c>
      <c r="Y22"/>
      <c r="AC22" s="39">
        <f>IFERROR(AC21/E21-1, "-")</f>
        <v>0.21923076923076934</v>
      </c>
      <c r="AD22" s="39">
        <f>IFERROR(AD21/AC21-1, "-")</f>
        <v>0.16967102298332581</v>
      </c>
      <c r="AE22" s="39">
        <f>IFERROR(AE21/AD21-1, "-")</f>
        <v>-4.1995761895588513E-2</v>
      </c>
      <c r="AF22" s="39">
        <f>IFERROR(AF21/AE21-1, "-")</f>
        <v>-3.589985923989536E-2</v>
      </c>
      <c r="AG22" s="39">
        <f>IFERROR(AG21/AF21-1, "-")</f>
        <v>-3.8353749215241817E-2</v>
      </c>
      <c r="AH22" s="39">
        <f>IFERROR(AH21/AG21-1, "-")</f>
        <v>-4.1079931065567066E-2</v>
      </c>
      <c r="AI22" s="39">
        <f>IFERROR(AI21/AH21-1, "-")</f>
        <v>-4.4124980139953029E-2</v>
      </c>
      <c r="AJ22" s="39">
        <f>IFERROR(AJ21/AI21-1, "-")</f>
        <v>-4.7546727971618963E-2</v>
      </c>
      <c r="AK22" s="39">
        <f>IFERROR(AK21/AJ21-1, "-")</f>
        <v>-5.1417881852064529E-2</v>
      </c>
    </row>
    <row r="23" spans="2:37" s="19" customFormat="1" x14ac:dyDescent="0.3">
      <c r="B23" s="24"/>
      <c r="C23" s="38"/>
      <c r="D23" s="38"/>
      <c r="E23" s="39"/>
      <c r="F23" s="38"/>
      <c r="G23" s="38"/>
      <c r="H23" s="250"/>
      <c r="I23" s="38"/>
      <c r="J23" s="250"/>
      <c r="K23" s="38"/>
      <c r="L23" s="250"/>
      <c r="M23" s="38"/>
      <c r="N23" s="250"/>
      <c r="O23" s="38"/>
      <c r="P23" s="250"/>
      <c r="Q23" s="38"/>
      <c r="R23" s="250"/>
      <c r="S23" s="38"/>
      <c r="T23" s="250"/>
      <c r="U23" s="38"/>
      <c r="V23" s="250"/>
      <c r="W23" s="262"/>
      <c r="AC23" s="39"/>
      <c r="AD23" s="39"/>
      <c r="AE23" s="39"/>
      <c r="AF23" s="39"/>
      <c r="AG23" s="39"/>
      <c r="AH23" s="39"/>
      <c r="AI23" s="39"/>
      <c r="AJ23" s="39"/>
      <c r="AK23" s="39"/>
    </row>
    <row r="24" spans="2:37" x14ac:dyDescent="0.3">
      <c r="B24" s="23" t="s">
        <v>212</v>
      </c>
      <c r="C24" s="43"/>
      <c r="D24" s="43"/>
      <c r="E24" s="44"/>
      <c r="F24" s="43"/>
      <c r="G24" s="43"/>
      <c r="H24" s="252"/>
      <c r="I24" s="43"/>
      <c r="J24" s="252"/>
      <c r="K24" s="43"/>
      <c r="L24" s="252"/>
      <c r="M24" s="43"/>
      <c r="N24" s="252"/>
      <c r="O24" s="43"/>
      <c r="P24" s="252"/>
      <c r="Q24" s="43"/>
      <c r="R24" s="252"/>
      <c r="S24" s="43"/>
      <c r="T24" s="252"/>
      <c r="U24" s="43"/>
      <c r="V24" s="252"/>
      <c r="W24" s="263"/>
      <c r="AC24" s="44"/>
      <c r="AD24" s="44"/>
      <c r="AE24" s="44"/>
      <c r="AF24" s="44"/>
      <c r="AG24" s="44"/>
      <c r="AH24" s="44"/>
      <c r="AI24" s="44"/>
      <c r="AJ24" s="44"/>
      <c r="AK24" s="44"/>
    </row>
    <row r="25" spans="2:37" x14ac:dyDescent="0.3">
      <c r="B25" s="21" t="s">
        <v>35</v>
      </c>
      <c r="C25" s="34"/>
      <c r="D25" s="34"/>
      <c r="E25" s="35"/>
      <c r="F25" s="34">
        <v>300</v>
      </c>
      <c r="G25" s="34">
        <f>AC25-F25</f>
        <v>183</v>
      </c>
      <c r="H25" s="249">
        <v>108</v>
      </c>
      <c r="I25" s="34">
        <f>AD25-H25</f>
        <v>143</v>
      </c>
      <c r="J25" s="249">
        <v>-84</v>
      </c>
      <c r="K25" s="34">
        <f>AE25-J25</f>
        <v>-74</v>
      </c>
      <c r="L25" s="249">
        <v>-30</v>
      </c>
      <c r="M25" s="36">
        <f>K25*(1+M26)</f>
        <v>-73.260000000000005</v>
      </c>
      <c r="N25" s="256">
        <f>L25*(1+N26)</f>
        <v>-30.900000000000002</v>
      </c>
      <c r="O25" s="36">
        <f>M25*(1+O26)</f>
        <v>-75.457800000000006</v>
      </c>
      <c r="P25" s="256">
        <f>N25*(1+P26)</f>
        <v>-31.827000000000002</v>
      </c>
      <c r="Q25" s="36">
        <f>O25*(1+Q26)</f>
        <v>-77.721534000000005</v>
      </c>
      <c r="R25" s="256">
        <f>P25*(1+R26)</f>
        <v>-32.78181</v>
      </c>
      <c r="S25" s="36">
        <f>Q25*(1+S26)</f>
        <v>-80.053180020000013</v>
      </c>
      <c r="T25" s="256">
        <f>R25*(1+T26)</f>
        <v>-33.765264299999998</v>
      </c>
      <c r="U25" s="36">
        <f>S25*(1+U26)</f>
        <v>-82.454775420600015</v>
      </c>
      <c r="V25" s="256">
        <f>T25*(1+V26)</f>
        <v>-34.778222229000001</v>
      </c>
      <c r="W25" s="259">
        <f>U25*(1+W26)</f>
        <v>-84.928418683218013</v>
      </c>
      <c r="AC25" s="35">
        <v>483</v>
      </c>
      <c r="AD25" s="35">
        <v>251</v>
      </c>
      <c r="AE25" s="35">
        <v>-158</v>
      </c>
      <c r="AF25" s="37">
        <f>L25+M25</f>
        <v>-103.26</v>
      </c>
      <c r="AG25" s="37">
        <f>N25+O25</f>
        <v>-106.35780000000001</v>
      </c>
      <c r="AH25" s="37">
        <f>P25+Q25</f>
        <v>-109.548534</v>
      </c>
      <c r="AI25" s="37">
        <f>R25+S25</f>
        <v>-112.83499002000002</v>
      </c>
      <c r="AJ25" s="37">
        <f>T25+U25</f>
        <v>-116.22003972060001</v>
      </c>
      <c r="AK25" s="37">
        <f>V25+W25</f>
        <v>-119.70664091221801</v>
      </c>
    </row>
    <row r="26" spans="2:37" s="19" customFormat="1" x14ac:dyDescent="0.3">
      <c r="B26" s="24" t="s">
        <v>38</v>
      </c>
      <c r="C26" s="38" t="str">
        <f>IFERROR(C25/#REF!-1, "-")</f>
        <v>-</v>
      </c>
      <c r="D26" s="38" t="str">
        <f>IFERROR(D25/#REF!-1, "-")</f>
        <v>-</v>
      </c>
      <c r="E26" s="39" t="str">
        <f>IFERROR(E25/#REF!-1, "-")</f>
        <v>-</v>
      </c>
      <c r="F26" s="38">
        <f t="shared" ref="F26" si="16">F25/C31</f>
        <v>0.20604395604395603</v>
      </c>
      <c r="G26" s="38">
        <f t="shared" ref="G26" si="17">G25/D31</f>
        <v>0.16621253405994552</v>
      </c>
      <c r="H26" s="250">
        <f>H25/F31</f>
        <v>6.0100166944908183E-2</v>
      </c>
      <c r="I26" s="38">
        <f>I25/G31</f>
        <v>0.1072768192048012</v>
      </c>
      <c r="J26" s="250">
        <f>J25/H31</f>
        <v>-4.2232277526395176E-2</v>
      </c>
      <c r="K26" s="38">
        <f>K25/I31</f>
        <v>-5.0101557210561948E-2</v>
      </c>
      <c r="L26" s="250">
        <f>L25/J31</f>
        <v>-1.5965939329430547E-2</v>
      </c>
      <c r="M26" s="40">
        <v>-0.01</v>
      </c>
      <c r="N26" s="257">
        <v>0.03</v>
      </c>
      <c r="O26" s="40">
        <v>0.03</v>
      </c>
      <c r="P26" s="257">
        <v>0.03</v>
      </c>
      <c r="Q26" s="40">
        <v>0.03</v>
      </c>
      <c r="R26" s="257">
        <v>0.03</v>
      </c>
      <c r="S26" s="40">
        <v>0.03</v>
      </c>
      <c r="T26" s="257">
        <v>0.03</v>
      </c>
      <c r="U26" s="40">
        <v>0.03</v>
      </c>
      <c r="V26" s="257">
        <v>0.03</v>
      </c>
      <c r="W26" s="260">
        <v>0.03</v>
      </c>
      <c r="Y26"/>
      <c r="AC26" s="39">
        <f>AC25/E31</f>
        <v>0.18889323425889715</v>
      </c>
      <c r="AD26" s="39">
        <f>AD25/AC31</f>
        <v>8.019169329073482E-2</v>
      </c>
      <c r="AE26" s="39">
        <f>AE25/AD31</f>
        <v>-4.5598845598845597E-2</v>
      </c>
      <c r="AF26" s="39">
        <f>AF25/AE25-1</f>
        <v>-0.34645569620253158</v>
      </c>
      <c r="AG26" s="39">
        <f>AG25/AF25-1</f>
        <v>3.0000000000000027E-2</v>
      </c>
      <c r="AH26" s="39">
        <f>AH25/AG25-1</f>
        <v>3.0000000000000027E-2</v>
      </c>
      <c r="AI26" s="39">
        <f>AI25/AH25-1</f>
        <v>3.0000000000000249E-2</v>
      </c>
      <c r="AJ26" s="39">
        <f>AJ25/AI25-1</f>
        <v>3.0000000000000027E-2</v>
      </c>
      <c r="AK26" s="39">
        <f>AK25/AJ25-1</f>
        <v>3.0000000000000027E-2</v>
      </c>
    </row>
    <row r="27" spans="2:37" x14ac:dyDescent="0.3">
      <c r="B27" s="21" t="s">
        <v>36</v>
      </c>
      <c r="C27" s="34"/>
      <c r="D27" s="34"/>
      <c r="E27" s="35"/>
      <c r="F27" s="34">
        <v>22</v>
      </c>
      <c r="G27" s="34">
        <f>AC27-F27</f>
        <v>13</v>
      </c>
      <c r="H27" s="249">
        <v>45</v>
      </c>
      <c r="I27" s="34">
        <f>AD27-H27</f>
        <v>-18</v>
      </c>
      <c r="J27" s="249">
        <v>-37</v>
      </c>
      <c r="K27" s="34">
        <f>AE27-J27</f>
        <v>14</v>
      </c>
      <c r="L27" s="249">
        <v>1</v>
      </c>
      <c r="M27" s="36">
        <f>K27*(1+M28)</f>
        <v>13.86</v>
      </c>
      <c r="N27" s="256">
        <f>L27*(1+N28)</f>
        <v>1.03</v>
      </c>
      <c r="O27" s="36">
        <f>M27*(1+O28)</f>
        <v>14.2758</v>
      </c>
      <c r="P27" s="256">
        <f>N27*(1+P28)</f>
        <v>1.0609</v>
      </c>
      <c r="Q27" s="36">
        <f>O27*(1+Q28)</f>
        <v>14.704074</v>
      </c>
      <c r="R27" s="256">
        <f>P27*(1+R28)</f>
        <v>1.092727</v>
      </c>
      <c r="S27" s="36">
        <f>Q27*(1+S28)</f>
        <v>15.145196220000001</v>
      </c>
      <c r="T27" s="256">
        <f>R27*(1+T28)</f>
        <v>1.1255088100000001</v>
      </c>
      <c r="U27" s="36">
        <f>S27*(1+U28)</f>
        <v>15.599552106600001</v>
      </c>
      <c r="V27" s="256">
        <f>T27*(1+V28)</f>
        <v>1.1592740743000001</v>
      </c>
      <c r="W27" s="259">
        <f>U27*(1+W28)</f>
        <v>16.067538669798001</v>
      </c>
      <c r="AC27" s="35">
        <v>35</v>
      </c>
      <c r="AD27" s="35">
        <v>27</v>
      </c>
      <c r="AE27" s="35">
        <v>-23</v>
      </c>
      <c r="AF27" s="37">
        <f>L27+M27</f>
        <v>14.86</v>
      </c>
      <c r="AG27" s="37">
        <f>N27+O27</f>
        <v>15.3058</v>
      </c>
      <c r="AH27" s="37">
        <f>P27+Q27</f>
        <v>15.764974</v>
      </c>
      <c r="AI27" s="37">
        <f>R27+S27</f>
        <v>16.237923219999999</v>
      </c>
      <c r="AJ27" s="37">
        <f>T27+U27</f>
        <v>16.7250609166</v>
      </c>
      <c r="AK27" s="37">
        <f>V27+W27</f>
        <v>17.226812744098002</v>
      </c>
    </row>
    <row r="28" spans="2:37" s="19" customFormat="1" x14ac:dyDescent="0.3">
      <c r="B28" s="24" t="s">
        <v>39</v>
      </c>
      <c r="C28" s="38" t="str">
        <f>IFERROR(C27/#REF!-1, "-")</f>
        <v>-</v>
      </c>
      <c r="D28" s="38" t="str">
        <f>IFERROR(D27/#REF!-1, "-")</f>
        <v>-</v>
      </c>
      <c r="E28" s="39" t="str">
        <f>IFERROR(E27/#REF!-1, "-")</f>
        <v>-</v>
      </c>
      <c r="F28" s="38">
        <f t="shared" ref="F28" si="18">F27/C31</f>
        <v>1.510989010989011E-2</v>
      </c>
      <c r="G28" s="38">
        <f t="shared" ref="G28" si="19">G27/D31</f>
        <v>1.1807447774750226E-2</v>
      </c>
      <c r="H28" s="250">
        <f>H27/F31</f>
        <v>2.5041736227045076E-2</v>
      </c>
      <c r="I28" s="38">
        <f>I27/G31</f>
        <v>-1.3503375843960989E-2</v>
      </c>
      <c r="J28" s="250">
        <f>J27/H31</f>
        <v>-1.8602312719959779E-2</v>
      </c>
      <c r="K28" s="38">
        <f>K27/I31</f>
        <v>9.4786729857819912E-3</v>
      </c>
      <c r="L28" s="250">
        <f>L27/J31</f>
        <v>5.3219797764768491E-4</v>
      </c>
      <c r="M28" s="40">
        <v>-0.01</v>
      </c>
      <c r="N28" s="257">
        <v>0.03</v>
      </c>
      <c r="O28" s="40">
        <v>0.03</v>
      </c>
      <c r="P28" s="257">
        <v>0.03</v>
      </c>
      <c r="Q28" s="40">
        <v>0.03</v>
      </c>
      <c r="R28" s="257">
        <v>0.03</v>
      </c>
      <c r="S28" s="40">
        <v>0.03</v>
      </c>
      <c r="T28" s="257">
        <v>0.03</v>
      </c>
      <c r="U28" s="40">
        <v>0.03</v>
      </c>
      <c r="V28" s="257">
        <v>0.03</v>
      </c>
      <c r="W28" s="260">
        <v>0.03</v>
      </c>
      <c r="Y28"/>
      <c r="AC28" s="39">
        <f>AC27/E31</f>
        <v>1.368791552600704E-2</v>
      </c>
      <c r="AD28" s="39">
        <f>AD27/AC31</f>
        <v>8.626198083067093E-3</v>
      </c>
      <c r="AE28" s="39">
        <f>AE27/AD31</f>
        <v>-6.6378066378066378E-3</v>
      </c>
      <c r="AF28" s="39">
        <f>AF27/AE27-1</f>
        <v>-1.6460869565217391</v>
      </c>
      <c r="AG28" s="39">
        <f>AG27/AF27-1</f>
        <v>3.0000000000000027E-2</v>
      </c>
      <c r="AH28" s="39">
        <f>AH27/AG27-1</f>
        <v>3.0000000000000027E-2</v>
      </c>
      <c r="AI28" s="39">
        <f>AI27/AH27-1</f>
        <v>2.9999999999999805E-2</v>
      </c>
      <c r="AJ28" s="39">
        <f>AJ27/AI27-1</f>
        <v>3.0000000000000027E-2</v>
      </c>
      <c r="AK28" s="39">
        <f>AK27/AJ27-1</f>
        <v>3.0000000000000027E-2</v>
      </c>
    </row>
    <row r="29" spans="2:37" x14ac:dyDescent="0.3">
      <c r="B29" s="21" t="s">
        <v>37</v>
      </c>
      <c r="C29" s="34"/>
      <c r="D29" s="34"/>
      <c r="E29" s="35"/>
      <c r="F29" s="34">
        <v>19</v>
      </c>
      <c r="G29" s="34">
        <f>AC29-F29</f>
        <v>36</v>
      </c>
      <c r="H29" s="249">
        <v>38</v>
      </c>
      <c r="I29" s="34">
        <f>AD29-H29</f>
        <v>19</v>
      </c>
      <c r="J29" s="249">
        <v>12</v>
      </c>
      <c r="K29" s="34">
        <f>AE29-J29</f>
        <v>-11</v>
      </c>
      <c r="L29" s="249">
        <v>-33</v>
      </c>
      <c r="M29" s="36">
        <f>K29*(1+M30)</f>
        <v>-10.89</v>
      </c>
      <c r="N29" s="256">
        <f>L29*(1+N30)</f>
        <v>-33.99</v>
      </c>
      <c r="O29" s="36">
        <f>M29*(1+O30)</f>
        <v>-11.216700000000001</v>
      </c>
      <c r="P29" s="256">
        <f>N29*(1+P30)</f>
        <v>-35.009700000000002</v>
      </c>
      <c r="Q29" s="36">
        <f>O29*(1+Q30)</f>
        <v>-11.553201000000001</v>
      </c>
      <c r="R29" s="256">
        <f>P29*(1+R30)</f>
        <v>-36.059991000000004</v>
      </c>
      <c r="S29" s="36">
        <f>Q29*(1+S30)</f>
        <v>-11.899797030000002</v>
      </c>
      <c r="T29" s="256">
        <f>R29*(1+T30)</f>
        <v>-37.141790730000004</v>
      </c>
      <c r="U29" s="36">
        <f>S29*(1+U30)</f>
        <v>-12.256790940900002</v>
      </c>
      <c r="V29" s="256">
        <f>T29*(1+V30)</f>
        <v>-38.256044451900003</v>
      </c>
      <c r="W29" s="259">
        <f>U29*(1+W30)</f>
        <v>-12.624494669127003</v>
      </c>
      <c r="AC29" s="35">
        <v>55</v>
      </c>
      <c r="AD29" s="35">
        <v>57</v>
      </c>
      <c r="AE29" s="35">
        <v>1</v>
      </c>
      <c r="AF29" s="37">
        <f>L29+M29</f>
        <v>-43.89</v>
      </c>
      <c r="AG29" s="37">
        <f>N29+O29</f>
        <v>-45.206700000000005</v>
      </c>
      <c r="AH29" s="37">
        <f>P29+Q29</f>
        <v>-46.562901000000004</v>
      </c>
      <c r="AI29" s="37">
        <f>R29+S29</f>
        <v>-47.959788030000006</v>
      </c>
      <c r="AJ29" s="37">
        <f>T29+U29</f>
        <v>-49.398581670900008</v>
      </c>
      <c r="AK29" s="37">
        <f>V29+W29</f>
        <v>-50.880539121027006</v>
      </c>
    </row>
    <row r="30" spans="2:37" s="19" customFormat="1" x14ac:dyDescent="0.3">
      <c r="B30" s="24" t="s">
        <v>40</v>
      </c>
      <c r="C30" s="38" t="str">
        <f>IFERROR(C29/#REF!-1, "-")</f>
        <v>-</v>
      </c>
      <c r="D30" s="38" t="str">
        <f>IFERROR(D29/#REF!-1, "-")</f>
        <v>-</v>
      </c>
      <c r="E30" s="39" t="str">
        <f>IFERROR(E29/#REF!-1, "-")</f>
        <v>-</v>
      </c>
      <c r="F30" s="38">
        <f t="shared" ref="F30" si="20">F29/C31</f>
        <v>1.304945054945055E-2</v>
      </c>
      <c r="G30" s="38">
        <f t="shared" ref="G30" si="21">G29/D31</f>
        <v>3.2697547683923703E-2</v>
      </c>
      <c r="H30" s="250">
        <f>H29/F31</f>
        <v>2.1146355036171398E-2</v>
      </c>
      <c r="I30" s="38">
        <f>I29/G31</f>
        <v>1.4253563390847712E-2</v>
      </c>
      <c r="J30" s="250">
        <f>J29/H31</f>
        <v>6.0331825037707393E-3</v>
      </c>
      <c r="K30" s="38">
        <f>K29/I31</f>
        <v>-7.4475287745429924E-3</v>
      </c>
      <c r="L30" s="250">
        <f>L29/J31</f>
        <v>-1.7562533262373604E-2</v>
      </c>
      <c r="M30" s="40">
        <v>-0.01</v>
      </c>
      <c r="N30" s="257">
        <v>0.03</v>
      </c>
      <c r="O30" s="40">
        <v>0.03</v>
      </c>
      <c r="P30" s="257">
        <v>0.03</v>
      </c>
      <c r="Q30" s="40">
        <v>0.03</v>
      </c>
      <c r="R30" s="257">
        <v>0.03</v>
      </c>
      <c r="S30" s="40">
        <v>0.03</v>
      </c>
      <c r="T30" s="257">
        <v>0.03</v>
      </c>
      <c r="U30" s="40">
        <v>0.03</v>
      </c>
      <c r="V30" s="257">
        <v>0.03</v>
      </c>
      <c r="W30" s="260">
        <v>0.03</v>
      </c>
      <c r="Y30"/>
      <c r="AC30" s="39">
        <f>AC29/E31</f>
        <v>2.1509581540868204E-2</v>
      </c>
      <c r="AD30" s="39">
        <f>AD29/AC31</f>
        <v>1.8210862619808307E-2</v>
      </c>
      <c r="AE30" s="39">
        <f>AE29/AD31</f>
        <v>2.886002886002886E-4</v>
      </c>
      <c r="AF30" s="39">
        <f>AF29/AE29-1</f>
        <v>-44.89</v>
      </c>
      <c r="AG30" s="39">
        <f>AG29/AF29-1</f>
        <v>3.0000000000000027E-2</v>
      </c>
      <c r="AH30" s="39">
        <f>AH29/AG29-1</f>
        <v>3.0000000000000027E-2</v>
      </c>
      <c r="AI30" s="39">
        <f>AI29/AH29-1</f>
        <v>3.0000000000000027E-2</v>
      </c>
      <c r="AJ30" s="39">
        <f>AJ29/AI29-1</f>
        <v>3.0000000000000027E-2</v>
      </c>
      <c r="AK30" s="39">
        <f>AK29/AJ29-1</f>
        <v>3.0000000000000027E-2</v>
      </c>
    </row>
    <row r="31" spans="2:37" x14ac:dyDescent="0.3">
      <c r="B31" s="23" t="s">
        <v>215</v>
      </c>
      <c r="C31" s="41">
        <v>1456</v>
      </c>
      <c r="D31" s="41">
        <f>E31-C31</f>
        <v>1101</v>
      </c>
      <c r="E31" s="42">
        <v>2557</v>
      </c>
      <c r="F31" s="41">
        <f>C31+F25+F27+F29</f>
        <v>1797</v>
      </c>
      <c r="G31" s="41">
        <f>D31+G25+G27+G29</f>
        <v>1333</v>
      </c>
      <c r="H31" s="251">
        <f>F31+H25+H27+H29+1</f>
        <v>1989</v>
      </c>
      <c r="I31" s="41">
        <f>G31+I25+I27+I29</f>
        <v>1477</v>
      </c>
      <c r="J31" s="251">
        <f>H31+J25+J27+J29-1</f>
        <v>1879</v>
      </c>
      <c r="K31" s="41">
        <f>I31+K25+K27+K29</f>
        <v>1406</v>
      </c>
      <c r="L31" s="251">
        <f>J31+L25+L27+L29-1</f>
        <v>1816</v>
      </c>
      <c r="M31" s="41">
        <f>K31+M25+M27+M29</f>
        <v>1335.7099999999998</v>
      </c>
      <c r="N31" s="251">
        <f>L31+N25+N27+N29</f>
        <v>1752.1399999999999</v>
      </c>
      <c r="O31" s="41">
        <f>M31+O25+O27+O29</f>
        <v>1263.3112999999998</v>
      </c>
      <c r="P31" s="251">
        <f>N31+P25+P27+P29</f>
        <v>1686.3641999999998</v>
      </c>
      <c r="Q31" s="41">
        <f>O31+Q25+Q27+Q29</f>
        <v>1188.7406389999999</v>
      </c>
      <c r="R31" s="251">
        <f>P31+R25+R27+R29</f>
        <v>1618.6151259999997</v>
      </c>
      <c r="S31" s="41">
        <f>Q31+S25+S27+S29</f>
        <v>1111.9328581699999</v>
      </c>
      <c r="T31" s="251">
        <f>R31+T25+T27+T29</f>
        <v>1548.8335797799998</v>
      </c>
      <c r="U31" s="41">
        <f>S31+U25+U27+U29</f>
        <v>1032.8208439150999</v>
      </c>
      <c r="V31" s="251">
        <f>T31+V25+V27+V29</f>
        <v>1476.9585871733998</v>
      </c>
      <c r="W31" s="261">
        <f>U31+W25+W27+W29</f>
        <v>951.33546923255278</v>
      </c>
      <c r="AC31" s="42">
        <f>E31+AC25+AC27+AC29</f>
        <v>3130</v>
      </c>
      <c r="AD31" s="42">
        <f>AC31+AD25+AD27+AD29</f>
        <v>3465</v>
      </c>
      <c r="AE31" s="42">
        <f>AD31+AE25+AE27+AE29</f>
        <v>3285</v>
      </c>
      <c r="AF31" s="42">
        <f>AE31+AF25+AF27+AF29</f>
        <v>3152.71</v>
      </c>
      <c r="AG31" s="42">
        <f>AF31+AG25+AG27+AG29</f>
        <v>3016.4512999999997</v>
      </c>
      <c r="AH31" s="42">
        <f>AG31+AH25+AH27+AH29</f>
        <v>2876.1048390000001</v>
      </c>
      <c r="AI31" s="42">
        <f>AH31+AI25+AI27+AI29</f>
        <v>2731.5479841700003</v>
      </c>
      <c r="AJ31" s="42">
        <f>AI31+AJ25+AJ27+AJ29</f>
        <v>2582.6544236950999</v>
      </c>
      <c r="AK31" s="42">
        <f>AJ31+AK25+AK27+AK29</f>
        <v>2429.2940564059527</v>
      </c>
    </row>
    <row r="32" spans="2:37" s="19" customFormat="1" x14ac:dyDescent="0.3">
      <c r="B32" s="24" t="s">
        <v>42</v>
      </c>
      <c r="C32" s="38" t="str">
        <f>IFERROR(C31/#REF!-1, "-")</f>
        <v>-</v>
      </c>
      <c r="D32" s="38" t="str">
        <f>IFERROR(D31/#REF!-1, "-")</f>
        <v>-</v>
      </c>
      <c r="E32" s="39" t="str">
        <f>IFERROR(E31/#REF!-1, "-")</f>
        <v>-</v>
      </c>
      <c r="F32" s="38">
        <f t="shared" ref="F32" si="22">IFERROR(F31/C31-1, "-")</f>
        <v>0.23420329670329676</v>
      </c>
      <c r="G32" s="38">
        <f t="shared" ref="G32" si="23">IFERROR(G31/D31-1, "-")</f>
        <v>0.21071752951861944</v>
      </c>
      <c r="H32" s="250">
        <f>IFERROR(H31/F31-1, "-")</f>
        <v>0.10684474123539234</v>
      </c>
      <c r="I32" s="38">
        <f>IFERROR(I31/G31-1, "-")</f>
        <v>0.10802700675168797</v>
      </c>
      <c r="J32" s="250">
        <f>IFERROR(J31/H31-1, "-")</f>
        <v>-5.53041729512318E-2</v>
      </c>
      <c r="K32" s="38">
        <f>IFERROR(K31/I31-1, "-")</f>
        <v>-4.8070412999322909E-2</v>
      </c>
      <c r="L32" s="250">
        <f>IFERROR(L31/J31-1, "-")</f>
        <v>-3.3528472591804137E-2</v>
      </c>
      <c r="M32" s="38">
        <f>IFERROR(M31/K31-1, "-")</f>
        <v>-4.9992887624466742E-2</v>
      </c>
      <c r="N32" s="250">
        <f>IFERROR(N31/L31-1, "-")</f>
        <v>-3.5165198237885553E-2</v>
      </c>
      <c r="O32" s="38">
        <f>IFERROR(O31/M31-1, "-")</f>
        <v>-5.4202409205591051E-2</v>
      </c>
      <c r="P32" s="250">
        <f>IFERROR(P31/N31-1, "-")</f>
        <v>-3.754026504731367E-2</v>
      </c>
      <c r="Q32" s="38">
        <f>IFERROR(Q31/O31-1, "-")</f>
        <v>-5.9027937927888408E-2</v>
      </c>
      <c r="R32" s="250">
        <f>IFERROR(R31/P31-1, "-")</f>
        <v>-4.0174639618179797E-2</v>
      </c>
      <c r="S32" s="38">
        <f>IFERROR(S31/Q31-1, "-")</f>
        <v>-6.4612732424637831E-2</v>
      </c>
      <c r="T32" s="250">
        <f>IFERROR(T31/R31-1, "-")</f>
        <v>-4.3111883176606303E-2</v>
      </c>
      <c r="U32" s="38">
        <f>IFERROR(U31/S31-1, "-")</f>
        <v>-7.114819359246316E-2</v>
      </c>
      <c r="V32" s="250">
        <f>IFERROR(V31/T31-1, "-")</f>
        <v>-4.6405884754131765E-2</v>
      </c>
      <c r="W32" s="262">
        <f>IFERROR(W31/U31-1, "-")</f>
        <v>-7.8895943243807554E-2</v>
      </c>
      <c r="Y32"/>
      <c r="AC32" s="39">
        <f>IFERROR(AC31/E31-1, "-")</f>
        <v>0.22409073132577229</v>
      </c>
      <c r="AD32" s="39">
        <f>IFERROR(AD31/AC31-1, "-")</f>
        <v>0.10702875399361012</v>
      </c>
      <c r="AE32" s="39">
        <f>IFERROR(AE31/AD31-1, "-")</f>
        <v>-5.1948051948051965E-2</v>
      </c>
      <c r="AF32" s="39">
        <f>IFERROR(AF31/AE31-1, "-")</f>
        <v>-4.0270928462709299E-2</v>
      </c>
      <c r="AG32" s="39">
        <f>IFERROR(AG31/AF31-1, "-")</f>
        <v>-4.3219547627279531E-2</v>
      </c>
      <c r="AH32" s="39">
        <f>IFERROR(AH31/AG31-1, "-")</f>
        <v>-4.65270103979466E-2</v>
      </c>
      <c r="AI32" s="39">
        <f>IFERROR(AI31/AH31-1, "-")</f>
        <v>-5.0261330139919735E-2</v>
      </c>
      <c r="AJ32" s="39">
        <f>IFERROR(AJ31/AI31-1, "-")</f>
        <v>-5.4508857738460259E-2</v>
      </c>
      <c r="AK32" s="39">
        <f>IFERROR(AK31/AJ31-1, "-")</f>
        <v>-5.9380908991195525E-2</v>
      </c>
    </row>
    <row r="33" spans="2:37" x14ac:dyDescent="0.3">
      <c r="B33" s="26"/>
      <c r="C33" s="43"/>
      <c r="D33" s="43"/>
      <c r="E33" s="44"/>
      <c r="F33" s="43"/>
      <c r="G33" s="43"/>
      <c r="H33" s="252"/>
      <c r="I33" s="43"/>
      <c r="J33" s="252"/>
      <c r="K33" s="43"/>
      <c r="L33" s="252"/>
      <c r="M33" s="43"/>
      <c r="N33" s="252"/>
      <c r="O33" s="43"/>
      <c r="P33" s="252"/>
      <c r="Q33" s="43"/>
      <c r="R33" s="252"/>
      <c r="S33" s="43"/>
      <c r="T33" s="252"/>
      <c r="U33" s="43"/>
      <c r="V33" s="252"/>
      <c r="W33" s="263"/>
      <c r="AC33" s="44"/>
      <c r="AD33" s="44"/>
      <c r="AE33" s="44"/>
      <c r="AF33" s="44"/>
      <c r="AG33" s="44"/>
      <c r="AH33" s="44"/>
      <c r="AI33" s="44"/>
      <c r="AJ33" s="44"/>
      <c r="AK33" s="45"/>
    </row>
    <row r="34" spans="2:37" x14ac:dyDescent="0.3">
      <c r="B34" s="23" t="s">
        <v>43</v>
      </c>
      <c r="C34" s="43"/>
      <c r="D34" s="43"/>
      <c r="E34" s="44"/>
      <c r="F34" s="43"/>
      <c r="G34" s="43"/>
      <c r="H34" s="252"/>
      <c r="I34" s="43"/>
      <c r="J34" s="252"/>
      <c r="K34" s="43"/>
      <c r="L34" s="252"/>
      <c r="M34" s="43"/>
      <c r="N34" s="252"/>
      <c r="O34" s="43"/>
      <c r="P34" s="252"/>
      <c r="Q34" s="43"/>
      <c r="R34" s="252"/>
      <c r="S34" s="43"/>
      <c r="T34" s="252"/>
      <c r="U34" s="43"/>
      <c r="V34" s="252"/>
      <c r="W34" s="263"/>
      <c r="AC34" s="44"/>
      <c r="AD34" s="44"/>
      <c r="AE34" s="44"/>
      <c r="AF34" s="44"/>
      <c r="AG34" s="44"/>
      <c r="AH34" s="44"/>
      <c r="AI34" s="44"/>
      <c r="AJ34" s="44"/>
      <c r="AK34" s="45"/>
    </row>
    <row r="35" spans="2:37" x14ac:dyDescent="0.3">
      <c r="B35" s="21" t="s">
        <v>35</v>
      </c>
      <c r="C35" s="41"/>
      <c r="D35" s="41"/>
      <c r="E35" s="42"/>
      <c r="F35" s="41">
        <f>F5+F15+F25</f>
        <v>834</v>
      </c>
      <c r="G35" s="34">
        <f>AC35-F35</f>
        <v>642</v>
      </c>
      <c r="H35" s="251">
        <f>H5+H15+H25</f>
        <v>686</v>
      </c>
      <c r="I35" s="34">
        <f>AD35-H35</f>
        <v>382</v>
      </c>
      <c r="J35" s="251">
        <f>J5+J15+J25</f>
        <v>-213</v>
      </c>
      <c r="K35" s="34">
        <f>AE35-J35</f>
        <v>63</v>
      </c>
      <c r="L35" s="251">
        <f>L5+L15+L25</f>
        <v>-267</v>
      </c>
      <c r="M35" s="34">
        <f>AF35-L35</f>
        <v>62.370000000000005</v>
      </c>
      <c r="N35" s="251">
        <f>N5+N15+N25</f>
        <v>-275.01</v>
      </c>
      <c r="O35" s="34">
        <f>AG35-N35</f>
        <v>64.24109999999996</v>
      </c>
      <c r="P35" s="251">
        <f>P5+P15+P25</f>
        <v>-283.26030000000003</v>
      </c>
      <c r="Q35" s="34">
        <f>AH35-P35</f>
        <v>66.168333000000018</v>
      </c>
      <c r="R35" s="251">
        <f>R5+R15+R25</f>
        <v>-291.75810900000005</v>
      </c>
      <c r="S35" s="34">
        <f>AI35-R35</f>
        <v>68.153382990000011</v>
      </c>
      <c r="T35" s="251">
        <f>T5+T15+T25</f>
        <v>-300.51085227000004</v>
      </c>
      <c r="U35" s="34">
        <f>AJ35-T35</f>
        <v>70.19798447970004</v>
      </c>
      <c r="V35" s="251">
        <f>V5+V15+V25</f>
        <v>-309.52617783810001</v>
      </c>
      <c r="W35" s="264">
        <f>AK35-V35</f>
        <v>72.303924014091024</v>
      </c>
      <c r="AC35" s="42">
        <f>AC5+AC15+AC25</f>
        <v>1476</v>
      </c>
      <c r="AD35" s="42">
        <f>AD5+AD15+AD25</f>
        <v>1068</v>
      </c>
      <c r="AE35" s="42">
        <f>AE5+AE15+AE25</f>
        <v>-150</v>
      </c>
      <c r="AF35" s="42">
        <f>AF5+AF15+AF25</f>
        <v>-204.63</v>
      </c>
      <c r="AG35" s="42">
        <f>AG5+AG15+AG25</f>
        <v>-210.76890000000003</v>
      </c>
      <c r="AH35" s="42">
        <f>AH5+AH15+AH25</f>
        <v>-217.09196700000001</v>
      </c>
      <c r="AI35" s="42">
        <f>AI5+AI15+AI25</f>
        <v>-223.60472601000004</v>
      </c>
      <c r="AJ35" s="42">
        <f>AJ5+AJ15+AJ25</f>
        <v>-230.3128677903</v>
      </c>
      <c r="AK35" s="42">
        <f>AK5+AK15+AK25</f>
        <v>-237.22225382400899</v>
      </c>
    </row>
    <row r="36" spans="2:37" x14ac:dyDescent="0.3">
      <c r="B36" s="24" t="s">
        <v>38</v>
      </c>
      <c r="C36" s="41"/>
      <c r="D36" s="41"/>
      <c r="E36" s="42"/>
      <c r="F36" s="207">
        <f t="shared" ref="F36" si="24">F35/C41</f>
        <v>0.16730190571715145</v>
      </c>
      <c r="G36" s="207">
        <f t="shared" ref="G36" si="25">G35/D41</f>
        <v>0.16723104975253972</v>
      </c>
      <c r="H36" s="253">
        <f>H35/F41</f>
        <v>0.11511998657492868</v>
      </c>
      <c r="I36" s="207">
        <f>I35/G41</f>
        <v>8.055672711935892E-2</v>
      </c>
      <c r="J36" s="253">
        <f>J35/H41</f>
        <v>-2.9932546374367621E-2</v>
      </c>
      <c r="K36" s="207">
        <f>K35/I41</f>
        <v>1.2547301334395539E-2</v>
      </c>
      <c r="L36" s="253">
        <f>L35/J41</f>
        <v>-4.050978607191625E-2</v>
      </c>
      <c r="M36" s="207">
        <f>M35/K41</f>
        <v>1.2456560814859198E-2</v>
      </c>
      <c r="N36" s="253">
        <f>N35/L41</f>
        <v>-4.4528821243523316E-2</v>
      </c>
      <c r="O36" s="207">
        <f>O35/M41</f>
        <v>1.2865871976351547E-2</v>
      </c>
      <c r="P36" s="253">
        <f>P35/N41</f>
        <v>-4.9275086761009307E-2</v>
      </c>
      <c r="Q36" s="207">
        <f>Q35/O41</f>
        <v>1.3289844900770746E-2</v>
      </c>
      <c r="R36" s="253">
        <f>R35/P41</f>
        <v>-5.4962869586767021E-2</v>
      </c>
      <c r="S36" s="207">
        <f>S35/Q41</f>
        <v>1.3729086342933169E-2</v>
      </c>
      <c r="T36" s="253">
        <f>T35/R41</f>
        <v>-6.189980523574326E-2</v>
      </c>
      <c r="U36" s="207">
        <f>U35/S41</f>
        <v>1.4184233726452016E-2</v>
      </c>
      <c r="V36" s="253">
        <f>V35/T41</f>
        <v>-7.0543922423988839E-2</v>
      </c>
      <c r="W36" s="265">
        <f>W35/U41</f>
        <v>1.4655957076168513E-2</v>
      </c>
      <c r="AC36" s="208">
        <f>AC35/E41</f>
        <v>0.16727107887579329</v>
      </c>
      <c r="AD36" s="208">
        <f>AD35/AC41</f>
        <v>9.9803756658256235E-2</v>
      </c>
      <c r="AE36" s="208">
        <f>AE35/AD41</f>
        <v>-1.2358902529455384E-2</v>
      </c>
      <c r="AF36" s="208">
        <f>AF35/AE41</f>
        <v>-1.764355923435075E-2</v>
      </c>
      <c r="AG36" s="208">
        <f>AG35/AF41</f>
        <v>-1.8870647158151836E-2</v>
      </c>
      <c r="AH36" s="208">
        <f>AH35/AG41</f>
        <v>-2.0237119864356504E-2</v>
      </c>
      <c r="AI36" s="208">
        <f>AI35/AH41</f>
        <v>-2.1767447602844922E-2</v>
      </c>
      <c r="AJ36" s="208">
        <f>AJ35/AI41</f>
        <v>-2.3492180515107694E-2</v>
      </c>
      <c r="AK36" s="208">
        <f>AK35/AJ41</f>
        <v>-2.5449962193775037E-2</v>
      </c>
    </row>
    <row r="37" spans="2:37" x14ac:dyDescent="0.3">
      <c r="B37" s="21" t="s">
        <v>36</v>
      </c>
      <c r="C37" s="41"/>
      <c r="D37" s="41"/>
      <c r="E37" s="42"/>
      <c r="F37" s="41">
        <f>F7+F17+F27</f>
        <v>104</v>
      </c>
      <c r="G37" s="34">
        <f>AC37-F37</f>
        <v>212</v>
      </c>
      <c r="H37" s="251">
        <f>H7+H17+H27</f>
        <v>355</v>
      </c>
      <c r="I37" s="34">
        <f>AD37-H37</f>
        <v>-236</v>
      </c>
      <c r="J37" s="251">
        <f>J7+J17+J27</f>
        <v>-576</v>
      </c>
      <c r="K37" s="34">
        <f>AE37-J37</f>
        <v>-208</v>
      </c>
      <c r="L37" s="251">
        <f>L7+L17+L27</f>
        <v>-177</v>
      </c>
      <c r="M37" s="34">
        <f>AF37-L37</f>
        <v>-205.91999999999996</v>
      </c>
      <c r="N37" s="251">
        <f>N7+N17+N27</f>
        <v>-182.31</v>
      </c>
      <c r="O37" s="34">
        <f>AG37-N37</f>
        <v>-212.0976</v>
      </c>
      <c r="P37" s="251">
        <f>P7+P17+P27</f>
        <v>-187.77930000000001</v>
      </c>
      <c r="Q37" s="34">
        <f>AH37-P37</f>
        <v>-218.46052799999998</v>
      </c>
      <c r="R37" s="251">
        <f>R7+R17+R27</f>
        <v>-193.412679</v>
      </c>
      <c r="S37" s="34">
        <f>AI37-R37</f>
        <v>-225.01434384000007</v>
      </c>
      <c r="T37" s="251">
        <f>T7+T17+T27</f>
        <v>-199.21505936999998</v>
      </c>
      <c r="U37" s="34">
        <f>AJ37-T37</f>
        <v>-231.7647741552</v>
      </c>
      <c r="V37" s="251">
        <f>V7+V17+V27</f>
        <v>-205.1915111511</v>
      </c>
      <c r="W37" s="264">
        <f>AK37-V37</f>
        <v>-238.717717379856</v>
      </c>
      <c r="AC37" s="42">
        <f>AC7+AC17+AC27</f>
        <v>316</v>
      </c>
      <c r="AD37" s="42">
        <f>AD7+AD17+AD27</f>
        <v>119</v>
      </c>
      <c r="AE37" s="42">
        <f>AE7+AE17+AE27</f>
        <v>-784</v>
      </c>
      <c r="AF37" s="42">
        <f>AF7+AF17+AF27</f>
        <v>-382.91999999999996</v>
      </c>
      <c r="AG37" s="42">
        <f>AG7+AG17+AG27</f>
        <v>-394.4076</v>
      </c>
      <c r="AH37" s="42">
        <f>AH7+AH17+AH27</f>
        <v>-406.23982799999999</v>
      </c>
      <c r="AI37" s="42">
        <f>AI7+AI17+AI27</f>
        <v>-418.42702284000006</v>
      </c>
      <c r="AJ37" s="42">
        <f>AJ7+AJ17+AJ27</f>
        <v>-430.97983352519998</v>
      </c>
      <c r="AK37" s="42">
        <f>AK7+AK17+AK27</f>
        <v>-443.909228530956</v>
      </c>
    </row>
    <row r="38" spans="2:37" x14ac:dyDescent="0.3">
      <c r="B38" s="24" t="s">
        <v>39</v>
      </c>
      <c r="C38" s="41"/>
      <c r="D38" s="41"/>
      <c r="E38" s="42"/>
      <c r="F38" s="207">
        <f t="shared" ref="F38" si="26">F37/C41</f>
        <v>2.0862587763289871E-2</v>
      </c>
      <c r="G38" s="207">
        <f t="shared" ref="G38" si="27">G37/D41</f>
        <v>5.5222714248502211E-2</v>
      </c>
      <c r="H38" s="253">
        <f>H37/F41</f>
        <v>5.9573753985568051E-2</v>
      </c>
      <c r="I38" s="207">
        <f>I37/G41</f>
        <v>-4.976803036693378E-2</v>
      </c>
      <c r="J38" s="253">
        <f>J37/H41</f>
        <v>-8.0944350758853284E-2</v>
      </c>
      <c r="K38" s="207">
        <f>K37/I41</f>
        <v>-4.1426010754829712E-2</v>
      </c>
      <c r="L38" s="253">
        <f>L37/J41</f>
        <v>-2.6854802002730997E-2</v>
      </c>
      <c r="M38" s="207">
        <f>M37/K41</f>
        <v>-4.1126423007789084E-2</v>
      </c>
      <c r="N38" s="253">
        <f>N37/L41</f>
        <v>-2.9519106217616581E-2</v>
      </c>
      <c r="O38" s="207">
        <f>O37/M41</f>
        <v>-4.2477799540970217E-2</v>
      </c>
      <c r="P38" s="253">
        <f>P37/N41</f>
        <v>-3.2665506953927517E-2</v>
      </c>
      <c r="Q38" s="207">
        <f>Q37/O41</f>
        <v>-4.3877583164449431E-2</v>
      </c>
      <c r="R38" s="253">
        <f>R37/P41</f>
        <v>-3.643605961369948E-2</v>
      </c>
      <c r="S38" s="207">
        <f>S37/Q41</f>
        <v>-4.5327777132223801E-2</v>
      </c>
      <c r="T38" s="253">
        <f>T37/R41</f>
        <v>-4.1034702347290467E-2</v>
      </c>
      <c r="U38" s="207">
        <f>U37/S41</f>
        <v>-4.683048595400028E-2</v>
      </c>
      <c r="V38" s="253">
        <f>V37/T41</f>
        <v>-4.6765072168711702E-2</v>
      </c>
      <c r="W38" s="265">
        <f>W37/U41</f>
        <v>-4.8387921775286502E-2</v>
      </c>
      <c r="AC38" s="208">
        <f>AC37/E41</f>
        <v>3.5811423390752495E-2</v>
      </c>
      <c r="AD38" s="208">
        <f>AD37/AC41</f>
        <v>1.1120456032146528E-2</v>
      </c>
      <c r="AE38" s="208">
        <f>AE37/AD41</f>
        <v>-6.4595863887286803E-2</v>
      </c>
      <c r="AF38" s="208">
        <f>AF37/AE41</f>
        <v>-3.301603724780134E-2</v>
      </c>
      <c r="AG38" s="208">
        <f>AG37/AF41</f>
        <v>-3.5312262179541122E-2</v>
      </c>
      <c r="AH38" s="208">
        <f>AH37/AG41</f>
        <v>-3.7869315048914588E-2</v>
      </c>
      <c r="AI38" s="208">
        <f>AI37/AH41</f>
        <v>-4.0732986541960496E-2</v>
      </c>
      <c r="AJ38" s="208">
        <f>AJ37/AI41</f>
        <v>-4.3960444523506025E-2</v>
      </c>
      <c r="AK38" s="208">
        <f>AK37/AJ41</f>
        <v>-4.7624001970582697E-2</v>
      </c>
    </row>
    <row r="39" spans="2:37" x14ac:dyDescent="0.3">
      <c r="B39" s="21" t="s">
        <v>37</v>
      </c>
      <c r="C39" s="41"/>
      <c r="D39" s="41"/>
      <c r="E39" s="42"/>
      <c r="F39" s="41">
        <f>F9+F19+F29</f>
        <v>36</v>
      </c>
      <c r="G39" s="34">
        <f>AC39-F39</f>
        <v>49</v>
      </c>
      <c r="H39" s="251">
        <f>H9+H19+H29</f>
        <v>116</v>
      </c>
      <c r="I39" s="34">
        <f>AD39-H39</f>
        <v>133</v>
      </c>
      <c r="J39" s="251">
        <f>J9+J19+J29</f>
        <v>264</v>
      </c>
      <c r="K39" s="34">
        <f>AE39-J39</f>
        <v>131</v>
      </c>
      <c r="L39" s="251">
        <f>L9+L19+L29</f>
        <v>29</v>
      </c>
      <c r="M39" s="34">
        <f>AF39-L39</f>
        <v>129.69</v>
      </c>
      <c r="N39" s="251">
        <f>N9+N19+N29</f>
        <v>29.869999999999997</v>
      </c>
      <c r="O39" s="34">
        <f>AG39-N39</f>
        <v>133.58069999999998</v>
      </c>
      <c r="P39" s="251">
        <f>P9+P19+P29</f>
        <v>30.766100000000002</v>
      </c>
      <c r="Q39" s="34">
        <f>AH39-P39</f>
        <v>137.588121</v>
      </c>
      <c r="R39" s="251">
        <f>R9+R19+R29</f>
        <v>31.689083000000004</v>
      </c>
      <c r="S39" s="34">
        <f>AI39-R39</f>
        <v>141.71576463000002</v>
      </c>
      <c r="T39" s="251">
        <f>T9+T19+T29</f>
        <v>32.639755490000006</v>
      </c>
      <c r="U39" s="34">
        <f>AJ39-T39</f>
        <v>145.96723756890006</v>
      </c>
      <c r="V39" s="251">
        <f>V9+V19+V29</f>
        <v>33.618948154700014</v>
      </c>
      <c r="W39" s="264">
        <f>AK39-V39</f>
        <v>150.34625469596705</v>
      </c>
      <c r="AC39" s="42">
        <f>AC9+AC19+AC29</f>
        <v>85</v>
      </c>
      <c r="AD39" s="42">
        <f>AD9+AD19+AD29</f>
        <v>249</v>
      </c>
      <c r="AE39" s="42">
        <f>AE9+AE19+AE29</f>
        <v>395</v>
      </c>
      <c r="AF39" s="42">
        <f>AF9+AF19+AF29</f>
        <v>158.69</v>
      </c>
      <c r="AG39" s="42">
        <f>AG9+AG19+AG29</f>
        <v>163.45069999999998</v>
      </c>
      <c r="AH39" s="42">
        <f>AH9+AH19+AH29</f>
        <v>168.354221</v>
      </c>
      <c r="AI39" s="42">
        <f>AI9+AI19+AI29</f>
        <v>173.40484763000003</v>
      </c>
      <c r="AJ39" s="42">
        <f>AJ9+AJ19+AJ29</f>
        <v>178.60699305890006</v>
      </c>
      <c r="AK39" s="42">
        <f>AK9+AK19+AK29</f>
        <v>183.96520285066705</v>
      </c>
    </row>
    <row r="40" spans="2:37" x14ac:dyDescent="0.3">
      <c r="B40" s="24" t="s">
        <v>40</v>
      </c>
      <c r="C40" s="41"/>
      <c r="D40" s="41"/>
      <c r="E40" s="42"/>
      <c r="F40" s="207">
        <f t="shared" ref="F40" si="28">F39/C41</f>
        <v>7.2216649949849547E-3</v>
      </c>
      <c r="G40" s="207">
        <f t="shared" ref="G40" si="29">G39/D41</f>
        <v>1.2763740557436832E-2</v>
      </c>
      <c r="H40" s="253">
        <f>H39/F41</f>
        <v>1.9466353415002517E-2</v>
      </c>
      <c r="I40" s="207">
        <f>I39/G41</f>
        <v>2.8047237452551665E-2</v>
      </c>
      <c r="J40" s="253">
        <f>J39/H41</f>
        <v>3.7099494097807759E-2</v>
      </c>
      <c r="K40" s="207">
        <f>K39/I41</f>
        <v>2.6090420235012946E-2</v>
      </c>
      <c r="L40" s="253">
        <f>L39/J41</f>
        <v>4.3999393111819147E-3</v>
      </c>
      <c r="M40" s="207">
        <f>M39/K41</f>
        <v>2.590173756740563E-2</v>
      </c>
      <c r="N40" s="253">
        <f>N39/L41</f>
        <v>4.8364637305699475E-3</v>
      </c>
      <c r="O40" s="207">
        <f>O39/M41</f>
        <v>2.6752844903207198E-2</v>
      </c>
      <c r="P40" s="253">
        <f>P39/N41</f>
        <v>5.3519757156152434E-3</v>
      </c>
      <c r="Q40" s="207">
        <f>Q39/O41</f>
        <v>2.7634439396840748E-2</v>
      </c>
      <c r="R40" s="253">
        <f>R39/P41</f>
        <v>5.9697498802106499E-3</v>
      </c>
      <c r="S40" s="207">
        <f>S39/Q41</f>
        <v>2.8547782713083256E-2</v>
      </c>
      <c r="T40" s="253">
        <f>T39/R41</f>
        <v>6.7231998196125636E-3</v>
      </c>
      <c r="U40" s="207">
        <f>U39/S41</f>
        <v>2.9494200288336724E-2</v>
      </c>
      <c r="V40" s="253">
        <f>V39/T41</f>
        <v>7.6620739711448583E-3</v>
      </c>
      <c r="W40" s="265">
        <f>W39/U41</f>
        <v>3.0475085348858337E-2</v>
      </c>
      <c r="AC40" s="208">
        <f>AC39/E41</f>
        <v>9.6328195829555752E-3</v>
      </c>
      <c r="AD40" s="208">
        <f>AD39/AC41</f>
        <v>2.3268853378188955E-2</v>
      </c>
      <c r="AE40" s="208">
        <f>AE39/AD41</f>
        <v>3.2545109994232511E-2</v>
      </c>
      <c r="AF40" s="208">
        <f>AF39/AE41</f>
        <v>1.3682531470943267E-2</v>
      </c>
      <c r="AG40" s="208">
        <f>AG39/AF41</f>
        <v>1.4634134767761884E-2</v>
      </c>
      <c r="AH40" s="208">
        <f>AH39/AG41</f>
        <v>1.5693830578481813E-2</v>
      </c>
      <c r="AI40" s="208">
        <f>AI39/AH41</f>
        <v>1.6880595514320775E-2</v>
      </c>
      <c r="AJ40" s="208">
        <f>AJ39/AI41</f>
        <v>1.8218121125653332E-2</v>
      </c>
      <c r="AK40" s="208">
        <f>AK39/AJ41</f>
        <v>1.9736375411866111E-2</v>
      </c>
    </row>
    <row r="41" spans="2:37" x14ac:dyDescent="0.3">
      <c r="B41" s="23" t="s">
        <v>41</v>
      </c>
      <c r="C41" s="41">
        <f>C11+C31+C21</f>
        <v>4985</v>
      </c>
      <c r="D41" s="41">
        <f>D11+D31+D21</f>
        <v>3839</v>
      </c>
      <c r="E41" s="42">
        <f>E11+E31+E21</f>
        <v>8824</v>
      </c>
      <c r="F41" s="41">
        <f>F11+F31+F21</f>
        <v>5959</v>
      </c>
      <c r="G41" s="41">
        <f>D41+G35+G37+G39</f>
        <v>4742</v>
      </c>
      <c r="H41" s="251">
        <f>F41+H35+H37+H39</f>
        <v>7116</v>
      </c>
      <c r="I41" s="41">
        <f>I11+I31+I21</f>
        <v>5021</v>
      </c>
      <c r="J41" s="251">
        <f>H41+J35+J37+J39</f>
        <v>6591</v>
      </c>
      <c r="K41" s="41">
        <f>K11+K31+K21</f>
        <v>5007</v>
      </c>
      <c r="L41" s="251">
        <f>J41+L35+L37+L39</f>
        <v>6176</v>
      </c>
      <c r="M41" s="41">
        <f>M11+M31+M21</f>
        <v>4993.1399999999994</v>
      </c>
      <c r="N41" s="251">
        <f>L41+N35+N37+N39</f>
        <v>5748.5499999999993</v>
      </c>
      <c r="O41" s="41">
        <f>O11+O31+O21</f>
        <v>4978.8642</v>
      </c>
      <c r="P41" s="251">
        <f>N41+P35+P37+P39</f>
        <v>5308.276499999999</v>
      </c>
      <c r="Q41" s="41">
        <f>Q11+Q31+Q21</f>
        <v>4964.1601260000007</v>
      </c>
      <c r="R41" s="251">
        <f>P41+R35+R37+R39</f>
        <v>4854.7947949999989</v>
      </c>
      <c r="S41" s="41">
        <f>S11+S31+S21</f>
        <v>4949.0149297800008</v>
      </c>
      <c r="T41" s="251">
        <f>R41+T35+T37+T39</f>
        <v>4387.7086388499993</v>
      </c>
      <c r="U41" s="41">
        <f>U11+U31+U21</f>
        <v>4933.4153776734001</v>
      </c>
      <c r="V41" s="251">
        <f>T41+V35+V37+V39</f>
        <v>3906.6098980154993</v>
      </c>
      <c r="W41" s="261">
        <f>W11+W31+W21</f>
        <v>4917.3478390036025</v>
      </c>
      <c r="AC41" s="42">
        <f>E41+AC35+AC37+AC39</f>
        <v>10701</v>
      </c>
      <c r="AD41" s="42">
        <f>AC41+AD35+AD37+AD39</f>
        <v>12137</v>
      </c>
      <c r="AE41" s="42">
        <f>AD41+AE35+AE37+AE39</f>
        <v>11598</v>
      </c>
      <c r="AF41" s="42">
        <f>AE41+AF35+AF37+AF39</f>
        <v>11169.140000000001</v>
      </c>
      <c r="AG41" s="42">
        <f>AF41+AG35+AG37+AG39</f>
        <v>10727.414199999999</v>
      </c>
      <c r="AH41" s="42">
        <f>AG41+AH35+AH37+AH39</f>
        <v>10272.436625999999</v>
      </c>
      <c r="AI41" s="42">
        <f>AH41+AI35+AI37+AI39</f>
        <v>9803.8097247799979</v>
      </c>
      <c r="AJ41" s="42">
        <f>AI41+AJ35+AJ37+AJ39</f>
        <v>9321.1240165233976</v>
      </c>
      <c r="AK41" s="42">
        <f>AJ41+AK35+AK37+AK39</f>
        <v>8823.9577370190982</v>
      </c>
    </row>
    <row r="42" spans="2:37" s="19" customFormat="1" ht="15" thickBot="1" x14ac:dyDescent="0.35">
      <c r="B42" s="27" t="s">
        <v>42</v>
      </c>
      <c r="C42" s="46" t="str">
        <f>IFERROR(C41/#REF!-1, "-")</f>
        <v>-</v>
      </c>
      <c r="D42" s="46" t="str">
        <f>IFERROR(D41/#REF!-1, "-")</f>
        <v>-</v>
      </c>
      <c r="E42" s="47" t="str">
        <f>IFERROR(E41/#REF!-1, "-")</f>
        <v>-</v>
      </c>
      <c r="F42" s="46">
        <f t="shared" ref="F42:G42" si="30">IFERROR(F41/C41-1, "-")</f>
        <v>0.19538615847542617</v>
      </c>
      <c r="G42" s="46">
        <f t="shared" si="30"/>
        <v>0.23521750455847878</v>
      </c>
      <c r="H42" s="254">
        <f>IFERROR(H41/F41-1, "-")</f>
        <v>0.19416009397549927</v>
      </c>
      <c r="I42" s="46">
        <f>IFERROR(I41/G41-1, "-")</f>
        <v>5.8835934204976903E-2</v>
      </c>
      <c r="J42" s="254">
        <f>IFERROR(J41/H41-1, "-")</f>
        <v>-7.3777403035413136E-2</v>
      </c>
      <c r="K42" s="46">
        <f>IFERROR(K41/I41-1, "-")</f>
        <v>-2.7882891854211778E-3</v>
      </c>
      <c r="L42" s="254">
        <f>IFERROR(L41/J41-1, "-")</f>
        <v>-6.2964648763465303E-2</v>
      </c>
      <c r="M42" s="46">
        <f>IFERROR(M41/K41-1, "-")</f>
        <v>-2.7681246255243375E-3</v>
      </c>
      <c r="N42" s="254">
        <f>IFERROR(N41/L41-1, "-")</f>
        <v>-6.9211463730570078E-2</v>
      </c>
      <c r="O42" s="46">
        <f>IFERROR(O41/M41-1, "-")</f>
        <v>-2.8590826614113274E-3</v>
      </c>
      <c r="P42" s="254">
        <f>IFERROR(P41/N41-1, "-")</f>
        <v>-7.6588617999321595E-2</v>
      </c>
      <c r="Q42" s="46">
        <f>IFERROR(Q41/O41-1, "-")</f>
        <v>-2.9532988668378168E-3</v>
      </c>
      <c r="R42" s="254">
        <f>IFERROR(R41/P41-1, "-")</f>
        <v>-8.5429179320255844E-2</v>
      </c>
      <c r="S42" s="46">
        <f>IFERROR(S41/Q41-1, "-")</f>
        <v>-3.0509080762073371E-3</v>
      </c>
      <c r="T42" s="254">
        <f>IFERROR(T41/R41-1, "-")</f>
        <v>-9.6211307763421128E-2</v>
      </c>
      <c r="U42" s="46">
        <f>IFERROR(U41/S41-1, "-")</f>
        <v>-3.152051939211642E-3</v>
      </c>
      <c r="V42" s="254">
        <f>IFERROR(V41/T41-1, "-")</f>
        <v>-0.10964692062155568</v>
      </c>
      <c r="W42" s="266">
        <f>IFERROR(W41/U41-1, "-")</f>
        <v>-3.2568793502596449E-3</v>
      </c>
      <c r="Y42"/>
      <c r="AC42" s="47">
        <f>IFERROR(AC41/E41-1, "-")</f>
        <v>0.21271532184950126</v>
      </c>
      <c r="AD42" s="47">
        <f>IFERROR(AD41/AC41-1, "-")</f>
        <v>0.13419306606859172</v>
      </c>
      <c r="AE42" s="47">
        <f>IFERROR(AE41/AD41-1, "-")</f>
        <v>-4.4409656422509713E-2</v>
      </c>
      <c r="AF42" s="47">
        <f>IFERROR(AF41/AE41-1, "-")</f>
        <v>-3.6977065011208676E-2</v>
      </c>
      <c r="AG42" s="47">
        <f>IFERROR(AG41/AF41-1, "-")</f>
        <v>-3.9548774569931222E-2</v>
      </c>
      <c r="AH42" s="47">
        <f>IFERROR(AH41/AG41-1, "-")</f>
        <v>-4.2412604334789328E-2</v>
      </c>
      <c r="AI42" s="47">
        <f>IFERROR(AI41/AH41-1, "-")</f>
        <v>-4.5619838630484688E-2</v>
      </c>
      <c r="AJ42" s="47">
        <f>IFERROR(AJ41/AI41-1, "-")</f>
        <v>-4.923450391296047E-2</v>
      </c>
      <c r="AK42" s="47">
        <f>IFERROR(AK41/AJ41-1, "-")</f>
        <v>-5.3337588752491727E-2</v>
      </c>
    </row>
  </sheetData>
  <pageMargins left="0.7" right="0.7" top="0.75" bottom="0.75" header="0.3" footer="0.3"/>
  <legacyDrawing r:id="rId1"/>
  <extLst>
    <ext xmlns:x14="http://schemas.microsoft.com/office/spreadsheetml/2009/9/main" uri="{05C60535-1F16-4fd2-B633-F4F36F0B64E0}">
      <x14:sparklineGroups xmlns:xm="http://schemas.microsoft.com/office/excel/2006/main">
        <x14:sparklineGroup displayEmptyCellsAs="gap" xr2:uid="{14A6CFA7-4ADD-42D0-8B7B-BAD4BB4D6DDD}">
          <x14:colorSeries rgb="FF376092"/>
          <x14:colorNegative rgb="FFD00000"/>
          <x14:colorAxis rgb="FF000000"/>
          <x14:colorMarkers rgb="FFD00000"/>
          <x14:colorFirst rgb="FFD00000"/>
          <x14:colorLast rgb="FFD00000"/>
          <x14:colorHigh rgb="FFD00000"/>
          <x14:colorLow rgb="FFD00000"/>
          <x14:sparklines>
            <x14:sparkline>
              <xm:f>'Revenue Model'!F35:W35</xm:f>
              <xm:sqref>Y35</xm:sqref>
            </x14:sparkline>
            <x14:sparkline>
              <xm:f>'Revenue Model'!F36:W36</xm:f>
              <xm:sqref>Y36</xm:sqref>
            </x14:sparkline>
            <x14:sparkline>
              <xm:f>'Revenue Model'!F37:W37</xm:f>
              <xm:sqref>Y37</xm:sqref>
            </x14:sparkline>
            <x14:sparkline>
              <xm:f>'Revenue Model'!F38:W38</xm:f>
              <xm:sqref>Y38</xm:sqref>
            </x14:sparkline>
            <x14:sparkline>
              <xm:f>'Revenue Model'!F39:W39</xm:f>
              <xm:sqref>Y39</xm:sqref>
            </x14:sparkline>
            <x14:sparkline>
              <xm:f>'Revenue Model'!F40:W40</xm:f>
              <xm:sqref>Y40</xm:sqref>
            </x14:sparkline>
            <x14:sparkline>
              <xm:f>'Revenue Model'!F41:W41</xm:f>
              <xm:sqref>Y41</xm:sqref>
            </x14:sparkline>
            <x14:sparkline>
              <xm:f>'Revenue Model'!F42:W42</xm:f>
              <xm:sqref>Y42</xm:sqref>
            </x14:sparkline>
          </x14:sparklines>
        </x14:sparklineGroup>
        <x14:sparklineGroup displayEmptyCellsAs="gap" xr2:uid="{C47AA8BA-4D26-4BAC-8B70-698E7D8B907D}">
          <x14:colorSeries rgb="FF376092"/>
          <x14:colorNegative rgb="FFD00000"/>
          <x14:colorAxis rgb="FF000000"/>
          <x14:colorMarkers rgb="FFD00000"/>
          <x14:colorFirst rgb="FFD00000"/>
          <x14:colorLast rgb="FFD00000"/>
          <x14:colorHigh rgb="FFD00000"/>
          <x14:colorLow rgb="FFD00000"/>
          <x14:sparklines>
            <x14:sparkline>
              <xm:f>'Revenue Model'!F25:W25</xm:f>
              <xm:sqref>Y25</xm:sqref>
            </x14:sparkline>
            <x14:sparkline>
              <xm:f>'Revenue Model'!F26:W26</xm:f>
              <xm:sqref>Y26</xm:sqref>
            </x14:sparkline>
            <x14:sparkline>
              <xm:f>'Revenue Model'!F27:W27</xm:f>
              <xm:sqref>Y27</xm:sqref>
            </x14:sparkline>
            <x14:sparkline>
              <xm:f>'Revenue Model'!F28:W28</xm:f>
              <xm:sqref>Y28</xm:sqref>
            </x14:sparkline>
            <x14:sparkline>
              <xm:f>'Revenue Model'!F29:W29</xm:f>
              <xm:sqref>Y29</xm:sqref>
            </x14:sparkline>
            <x14:sparkline>
              <xm:f>'Revenue Model'!F30:W30</xm:f>
              <xm:sqref>Y30</xm:sqref>
            </x14:sparkline>
            <x14:sparkline>
              <xm:f>'Revenue Model'!F31:W31</xm:f>
              <xm:sqref>Y31</xm:sqref>
            </x14:sparkline>
            <x14:sparkline>
              <xm:f>'Revenue Model'!F32:W32</xm:f>
              <xm:sqref>Y32</xm:sqref>
            </x14:sparkline>
          </x14:sparklines>
        </x14:sparklineGroup>
        <x14:sparklineGroup displayEmptyCellsAs="gap" xr2:uid="{C1746568-CD03-4F2D-BE10-31D11F889357}">
          <x14:colorSeries rgb="FF376092"/>
          <x14:colorNegative rgb="FFD00000"/>
          <x14:colorAxis rgb="FF000000"/>
          <x14:colorMarkers rgb="FFD00000"/>
          <x14:colorFirst rgb="FFD00000"/>
          <x14:colorLast rgb="FFD00000"/>
          <x14:colorHigh rgb="FFD00000"/>
          <x14:colorLow rgb="FFD00000"/>
          <x14:sparklines>
            <x14:sparkline>
              <xm:f>'Revenue Model'!F15:W15</xm:f>
              <xm:sqref>Y15</xm:sqref>
            </x14:sparkline>
            <x14:sparkline>
              <xm:f>'Revenue Model'!F16:W16</xm:f>
              <xm:sqref>Y16</xm:sqref>
            </x14:sparkline>
            <x14:sparkline>
              <xm:f>'Revenue Model'!F17:W17</xm:f>
              <xm:sqref>Y17</xm:sqref>
            </x14:sparkline>
            <x14:sparkline>
              <xm:f>'Revenue Model'!F18:W18</xm:f>
              <xm:sqref>Y18</xm:sqref>
            </x14:sparkline>
            <x14:sparkline>
              <xm:f>'Revenue Model'!F19:W19</xm:f>
              <xm:sqref>Y19</xm:sqref>
            </x14:sparkline>
            <x14:sparkline>
              <xm:f>'Revenue Model'!F20:W20</xm:f>
              <xm:sqref>Y20</xm:sqref>
            </x14:sparkline>
            <x14:sparkline>
              <xm:f>'Revenue Model'!F21:W21</xm:f>
              <xm:sqref>Y21</xm:sqref>
            </x14:sparkline>
            <x14:sparkline>
              <xm:f>'Revenue Model'!F22:W22</xm:f>
              <xm:sqref>Y22</xm:sqref>
            </x14:sparkline>
          </x14:sparklines>
        </x14:sparklineGroup>
        <x14:sparklineGroup displayEmptyCellsAs="gap" xr2:uid="{DCCA8897-66D4-4571-B11B-4AEF230D4AD5}">
          <x14:colorSeries rgb="FF376092"/>
          <x14:colorNegative rgb="FFD00000"/>
          <x14:colorAxis rgb="FF000000"/>
          <x14:colorMarkers rgb="FFD00000"/>
          <x14:colorFirst rgb="FFD00000"/>
          <x14:colorLast rgb="FFD00000"/>
          <x14:colorHigh rgb="FFD00000"/>
          <x14:colorLow rgb="FFD00000"/>
          <x14:sparklines>
            <x14:sparkline>
              <xm:f>'Revenue Model'!F12:W12</xm:f>
              <xm:sqref>Y12</xm:sqref>
            </x14:sparkline>
          </x14:sparklines>
        </x14:sparklineGroup>
        <x14:sparklineGroup displayEmptyCellsAs="gap" xr2:uid="{23B0472D-18F8-4A9A-B6F5-BAE8A6DD7C26}">
          <x14:colorSeries rgb="FF376092"/>
          <x14:colorNegative rgb="FFD00000"/>
          <x14:colorAxis rgb="FF000000"/>
          <x14:colorMarkers rgb="FFD00000"/>
          <x14:colorFirst rgb="FFD00000"/>
          <x14:colorLast rgb="FFD00000"/>
          <x14:colorHigh rgb="FFD00000"/>
          <x14:colorLow rgb="FFD00000"/>
          <x14:sparklines>
            <x14:sparkline>
              <xm:f>'Revenue Model'!F11:W11</xm:f>
              <xm:sqref>Y11</xm:sqref>
            </x14:sparkline>
          </x14:sparklines>
        </x14:sparklineGroup>
        <x14:sparklineGroup displayEmptyCellsAs="gap" xr2:uid="{CA27BD90-01FC-4C6B-914F-CDA4D3D808EE}">
          <x14:colorSeries rgb="FF376092"/>
          <x14:colorNegative rgb="FFD00000"/>
          <x14:colorAxis rgb="FF000000"/>
          <x14:colorMarkers rgb="FFD00000"/>
          <x14:colorFirst rgb="FFD00000"/>
          <x14:colorLast rgb="FFD00000"/>
          <x14:colorHigh rgb="FFD00000"/>
          <x14:colorLow rgb="FFD00000"/>
          <x14:sparklines>
            <x14:sparkline>
              <xm:f>'Revenue Model'!F10:W10</xm:f>
              <xm:sqref>Y10</xm:sqref>
            </x14:sparkline>
          </x14:sparklines>
        </x14:sparklineGroup>
        <x14:sparklineGroup displayEmptyCellsAs="gap" xr2:uid="{E91800AD-FE08-4F15-A543-9492768663B0}">
          <x14:colorSeries rgb="FF376092"/>
          <x14:colorNegative rgb="FFD00000"/>
          <x14:colorAxis rgb="FF000000"/>
          <x14:colorMarkers rgb="FFD00000"/>
          <x14:colorFirst rgb="FFD00000"/>
          <x14:colorLast rgb="FFD00000"/>
          <x14:colorHigh rgb="FFD00000"/>
          <x14:colorLow rgb="FFD00000"/>
          <x14:sparklines>
            <x14:sparkline>
              <xm:f>'Revenue Model'!F9:W9</xm:f>
              <xm:sqref>Y9</xm:sqref>
            </x14:sparkline>
          </x14:sparklines>
        </x14:sparklineGroup>
        <x14:sparklineGroup displayEmptyCellsAs="gap" xr2:uid="{63998513-58AC-4839-8B43-9C2800D6581F}">
          <x14:colorSeries rgb="FF376092"/>
          <x14:colorNegative rgb="FFD00000"/>
          <x14:colorAxis rgb="FF000000"/>
          <x14:colorMarkers rgb="FFD00000"/>
          <x14:colorFirst rgb="FFD00000"/>
          <x14:colorLast rgb="FFD00000"/>
          <x14:colorHigh rgb="FFD00000"/>
          <x14:colorLow rgb="FFD00000"/>
          <x14:sparklines>
            <x14:sparkline>
              <xm:f>'Revenue Model'!F8:W8</xm:f>
              <xm:sqref>Y8</xm:sqref>
            </x14:sparkline>
          </x14:sparklines>
        </x14:sparklineGroup>
        <x14:sparklineGroup displayEmptyCellsAs="gap" xr2:uid="{B2775BBF-9789-4C97-82C6-8844406A2A92}">
          <x14:colorSeries rgb="FF376092"/>
          <x14:colorNegative rgb="FFD00000"/>
          <x14:colorAxis rgb="FF000000"/>
          <x14:colorMarkers rgb="FFD00000"/>
          <x14:colorFirst rgb="FFD00000"/>
          <x14:colorLast rgb="FFD00000"/>
          <x14:colorHigh rgb="FFD00000"/>
          <x14:colorLow rgb="FFD00000"/>
          <x14:sparklines>
            <x14:sparkline>
              <xm:f>'Revenue Model'!F6:W6</xm:f>
              <xm:sqref>Y6</xm:sqref>
            </x14:sparkline>
          </x14:sparklines>
        </x14:sparklineGroup>
        <x14:sparklineGroup displayEmptyCellsAs="gap" xr2:uid="{7081F361-0CB6-435B-BE66-076C8802B447}">
          <x14:colorSeries rgb="FF376092"/>
          <x14:colorNegative rgb="FFD00000"/>
          <x14:colorAxis rgb="FF000000"/>
          <x14:colorMarkers rgb="FFD00000"/>
          <x14:colorFirst rgb="FFD00000"/>
          <x14:colorLast rgb="FFD00000"/>
          <x14:colorHigh rgb="FFD00000"/>
          <x14:colorLow rgb="FFD00000"/>
          <x14:sparklines>
            <x14:sparkline>
              <xm:f>'Revenue Model'!F7:W7</xm:f>
              <xm:sqref>Y7</xm:sqref>
            </x14:sparkline>
          </x14:sparklines>
        </x14:sparklineGroup>
        <x14:sparklineGroup displayEmptyCellsAs="gap" xr2:uid="{1141DDCA-50FA-4D02-AB0E-F8B687064A98}">
          <x14:colorSeries rgb="FF376092"/>
          <x14:colorNegative rgb="FFD00000"/>
          <x14:colorAxis rgb="FF000000"/>
          <x14:colorMarkers rgb="FFD00000"/>
          <x14:colorFirst rgb="FFD00000"/>
          <x14:colorLast rgb="FFD00000"/>
          <x14:colorHigh rgb="FFD00000"/>
          <x14:colorLow rgb="FFD00000"/>
          <x14:sparklines>
            <x14:sparkline>
              <xm:f>'Revenue Model'!F5:W5</xm:f>
              <xm:sqref>Y5</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B920F-039C-4635-B2B8-300A83CFE404}">
  <dimension ref="B1:AM42"/>
  <sheetViews>
    <sheetView showGridLines="0" workbookViewId="0">
      <pane xSplit="2" ySplit="2" topLeftCell="P3" activePane="bottomRight" state="frozen"/>
      <selection pane="topRight" activeCell="C1" sqref="C1"/>
      <selection pane="bottomLeft" activeCell="A3" sqref="A3"/>
      <selection pane="bottomRight" activeCell="W42" sqref="W2:W42"/>
    </sheetView>
  </sheetViews>
  <sheetFormatPr defaultRowHeight="14.4" x14ac:dyDescent="0.3"/>
  <cols>
    <col min="1" max="1" width="2.33203125" customWidth="1"/>
    <col min="2" max="2" width="25.5546875" customWidth="1"/>
    <col min="10" max="10" width="8.33203125" customWidth="1"/>
    <col min="12" max="12" width="8.33203125" customWidth="1"/>
  </cols>
  <sheetData>
    <row r="1" spans="2:39" ht="15" thickBot="1" x14ac:dyDescent="0.35"/>
    <row r="2" spans="2:39" x14ac:dyDescent="0.3">
      <c r="B2" s="20" t="s">
        <v>22</v>
      </c>
      <c r="C2" s="31" t="s">
        <v>25</v>
      </c>
      <c r="D2" s="33" t="s">
        <v>26</v>
      </c>
      <c r="E2" s="32" t="s">
        <v>0</v>
      </c>
      <c r="F2" s="31" t="s">
        <v>27</v>
      </c>
      <c r="G2" s="31" t="s">
        <v>28</v>
      </c>
      <c r="H2" s="247" t="s">
        <v>29</v>
      </c>
      <c r="I2" s="31" t="s">
        <v>30</v>
      </c>
      <c r="J2" s="247" t="s">
        <v>31</v>
      </c>
      <c r="K2" s="31" t="s">
        <v>32</v>
      </c>
      <c r="L2" s="247" t="s">
        <v>44</v>
      </c>
      <c r="M2" s="175" t="s">
        <v>45</v>
      </c>
      <c r="N2" s="255" t="s">
        <v>47</v>
      </c>
      <c r="O2" s="175" t="s">
        <v>48</v>
      </c>
      <c r="P2" s="255" t="s">
        <v>50</v>
      </c>
      <c r="Q2" s="175" t="s">
        <v>51</v>
      </c>
      <c r="R2" s="255" t="s">
        <v>53</v>
      </c>
      <c r="S2" s="175" t="s">
        <v>54</v>
      </c>
      <c r="T2" s="255" t="s">
        <v>56</v>
      </c>
      <c r="U2" s="176" t="s">
        <v>57</v>
      </c>
      <c r="V2" s="175" t="s">
        <v>59</v>
      </c>
      <c r="W2" s="258" t="s">
        <v>60</v>
      </c>
      <c r="AC2" s="32" t="s">
        <v>1</v>
      </c>
      <c r="AD2" s="32" t="s">
        <v>2</v>
      </c>
      <c r="AE2" s="32" t="s">
        <v>33</v>
      </c>
      <c r="AF2" s="177" t="s">
        <v>46</v>
      </c>
      <c r="AG2" s="177" t="s">
        <v>49</v>
      </c>
      <c r="AH2" s="177" t="s">
        <v>52</v>
      </c>
      <c r="AI2" s="177" t="s">
        <v>55</v>
      </c>
      <c r="AJ2" s="177" t="s">
        <v>58</v>
      </c>
      <c r="AK2" s="178" t="s">
        <v>61</v>
      </c>
    </row>
    <row r="3" spans="2:39" x14ac:dyDescent="0.3">
      <c r="B3" s="21"/>
      <c r="E3" s="17"/>
      <c r="H3" s="248"/>
      <c r="J3" s="248"/>
      <c r="L3" s="248"/>
      <c r="N3" s="248"/>
      <c r="P3" s="248"/>
      <c r="R3" s="248"/>
      <c r="T3" s="248"/>
      <c r="W3" s="2"/>
      <c r="AC3" s="17"/>
      <c r="AD3" s="17"/>
      <c r="AE3" s="17"/>
      <c r="AF3" s="17"/>
      <c r="AG3" s="17"/>
      <c r="AH3" s="17"/>
      <c r="AI3" s="17"/>
      <c r="AJ3" s="17"/>
      <c r="AK3" s="22"/>
    </row>
    <row r="4" spans="2:39" x14ac:dyDescent="0.3">
      <c r="B4" s="23" t="s">
        <v>211</v>
      </c>
      <c r="E4" s="17"/>
      <c r="H4" s="248"/>
      <c r="J4" s="248"/>
      <c r="L4" s="248"/>
      <c r="N4" s="248"/>
      <c r="P4" s="248"/>
      <c r="R4" s="248"/>
      <c r="T4" s="248"/>
      <c r="W4" s="2"/>
      <c r="AC4" s="17"/>
      <c r="AD4" s="17"/>
      <c r="AE4" s="17"/>
      <c r="AF4" s="17"/>
      <c r="AG4" s="17"/>
      <c r="AH4" s="17"/>
      <c r="AI4" s="17"/>
      <c r="AJ4" s="17"/>
      <c r="AK4" s="22"/>
    </row>
    <row r="5" spans="2:39" x14ac:dyDescent="0.3">
      <c r="B5" s="21" t="s">
        <v>35</v>
      </c>
      <c r="C5" s="34"/>
      <c r="D5" s="34"/>
      <c r="E5" s="35"/>
      <c r="F5" s="34"/>
      <c r="G5" s="34">
        <f>AC5-F5</f>
        <v>0</v>
      </c>
      <c r="H5" s="249"/>
      <c r="I5" s="34">
        <f>AD5-H5</f>
        <v>0</v>
      </c>
      <c r="J5" s="249"/>
      <c r="K5" s="34">
        <f>AE5-J5</f>
        <v>0</v>
      </c>
      <c r="L5" s="249"/>
      <c r="M5" s="36">
        <f>K5*(1+M6)</f>
        <v>0</v>
      </c>
      <c r="N5" s="256">
        <f>L5*(1+N6)</f>
        <v>0</v>
      </c>
      <c r="O5" s="36">
        <f>M5*(1+O6)</f>
        <v>0</v>
      </c>
      <c r="P5" s="256">
        <f>N5*(1+P6)</f>
        <v>0</v>
      </c>
      <c r="Q5" s="36">
        <f>O5*(1+Q6)</f>
        <v>0</v>
      </c>
      <c r="R5" s="256">
        <f>P5*(1+R6)</f>
        <v>0</v>
      </c>
      <c r="S5" s="36">
        <f>Q5*(1+S6)</f>
        <v>0</v>
      </c>
      <c r="T5" s="256">
        <f>R5*(1+T6)</f>
        <v>0</v>
      </c>
      <c r="U5" s="36">
        <f>S5*(1+U6)</f>
        <v>0</v>
      </c>
      <c r="V5" s="36">
        <f>T5*(1+V6)</f>
        <v>0</v>
      </c>
      <c r="W5" s="259">
        <f>U5*(1+W6)</f>
        <v>0</v>
      </c>
      <c r="AC5" s="35"/>
      <c r="AD5" s="35"/>
      <c r="AE5" s="35"/>
      <c r="AF5" s="37">
        <f>L5+M5</f>
        <v>0</v>
      </c>
      <c r="AG5" s="37">
        <f>N5+O5</f>
        <v>0</v>
      </c>
      <c r="AH5" s="37">
        <f>P5+Q5</f>
        <v>0</v>
      </c>
      <c r="AI5" s="37">
        <f>R5+S5</f>
        <v>0</v>
      </c>
      <c r="AJ5" s="37">
        <f>T5+U5</f>
        <v>0</v>
      </c>
      <c r="AK5" s="37">
        <f>V5+W5</f>
        <v>0</v>
      </c>
    </row>
    <row r="6" spans="2:39" s="19" customFormat="1" x14ac:dyDescent="0.3">
      <c r="B6" s="24" t="s">
        <v>38</v>
      </c>
      <c r="C6" s="38" t="str">
        <f>IFERROR(C5/#REF!-1, "-")</f>
        <v>-</v>
      </c>
      <c r="D6" s="38" t="str">
        <f>IFERROR(D5/#REF!-1, "-")</f>
        <v>-</v>
      </c>
      <c r="E6" s="39" t="str">
        <f>IFERROR(E5/#REF!-1, "-")</f>
        <v>-</v>
      </c>
      <c r="F6" s="38" t="e">
        <f t="shared" ref="F6:G6" si="0">F5/C11</f>
        <v>#DIV/0!</v>
      </c>
      <c r="G6" s="38" t="e">
        <f t="shared" si="0"/>
        <v>#DIV/0!</v>
      </c>
      <c r="H6" s="250">
        <f>H5/F11</f>
        <v>0</v>
      </c>
      <c r="I6" s="38" t="e">
        <f>I5/G11</f>
        <v>#DIV/0!</v>
      </c>
      <c r="J6" s="250" t="e">
        <f>J5/H11</f>
        <v>#DIV/0!</v>
      </c>
      <c r="K6" s="38" t="e">
        <f>K5/I11</f>
        <v>#DIV/0!</v>
      </c>
      <c r="L6" s="250" t="e">
        <f>L5/J11</f>
        <v>#DIV/0!</v>
      </c>
      <c r="M6" s="40"/>
      <c r="N6" s="257"/>
      <c r="O6" s="40"/>
      <c r="P6" s="257"/>
      <c r="Q6" s="40"/>
      <c r="R6" s="257"/>
      <c r="S6" s="40"/>
      <c r="T6" s="257"/>
      <c r="U6" s="40"/>
      <c r="V6" s="40"/>
      <c r="W6" s="260"/>
      <c r="Y6"/>
      <c r="AC6" s="39" t="e">
        <f>AC5/E11</f>
        <v>#DIV/0!</v>
      </c>
      <c r="AD6" s="39">
        <f>AD5/AC11</f>
        <v>0</v>
      </c>
      <c r="AE6" s="39">
        <f>AE5/AD11</f>
        <v>0</v>
      </c>
      <c r="AF6" s="39" t="e">
        <f>AF5/AE5-1</f>
        <v>#DIV/0!</v>
      </c>
      <c r="AG6" s="39" t="e">
        <f>AG5/AF5-1</f>
        <v>#DIV/0!</v>
      </c>
      <c r="AH6" s="39" t="e">
        <f>AH5/AG5-1</f>
        <v>#DIV/0!</v>
      </c>
      <c r="AI6" s="39" t="e">
        <f>AI5/AH5-1</f>
        <v>#DIV/0!</v>
      </c>
      <c r="AJ6" s="39" t="e">
        <f>AJ5/AI5-1</f>
        <v>#DIV/0!</v>
      </c>
      <c r="AK6" s="39" t="e">
        <f>AK5/AJ5-1</f>
        <v>#DIV/0!</v>
      </c>
      <c r="AM6"/>
    </row>
    <row r="7" spans="2:39" x14ac:dyDescent="0.3">
      <c r="B7" s="21" t="s">
        <v>36</v>
      </c>
      <c r="C7" s="34"/>
      <c r="D7" s="34"/>
      <c r="E7" s="35"/>
      <c r="F7" s="34"/>
      <c r="G7" s="34">
        <f>AC7-F7</f>
        <v>0</v>
      </c>
      <c r="H7" s="249"/>
      <c r="I7" s="34">
        <f>AD7-H7</f>
        <v>0</v>
      </c>
      <c r="J7" s="249"/>
      <c r="K7" s="34">
        <f>AE7-J7</f>
        <v>0</v>
      </c>
      <c r="L7" s="249"/>
      <c r="M7" s="36">
        <f>K7*(1+M8)</f>
        <v>0</v>
      </c>
      <c r="N7" s="256">
        <f>L7*(1+N8)</f>
        <v>0</v>
      </c>
      <c r="O7" s="36">
        <f>M7*(1+O8)</f>
        <v>0</v>
      </c>
      <c r="P7" s="256">
        <f>N7*(1+P8)</f>
        <v>0</v>
      </c>
      <c r="Q7" s="36">
        <f>O7*(1+Q8)</f>
        <v>0</v>
      </c>
      <c r="R7" s="256">
        <f>P7*(1+R8)</f>
        <v>0</v>
      </c>
      <c r="S7" s="36">
        <f>Q7*(1+S8)</f>
        <v>0</v>
      </c>
      <c r="T7" s="256">
        <f>R7*(1+T8)</f>
        <v>0</v>
      </c>
      <c r="U7" s="36">
        <f>S7*(1+U8)</f>
        <v>0</v>
      </c>
      <c r="V7" s="36">
        <f>T7*(1+V8)</f>
        <v>0</v>
      </c>
      <c r="W7" s="259">
        <f>U7*(1+W8)</f>
        <v>0</v>
      </c>
      <c r="AC7" s="35"/>
      <c r="AD7" s="35"/>
      <c r="AE7" s="35"/>
      <c r="AF7" s="37">
        <f>L7+M7</f>
        <v>0</v>
      </c>
      <c r="AG7" s="37">
        <f>N7+O7</f>
        <v>0</v>
      </c>
      <c r="AH7" s="37">
        <f>P7+Q7</f>
        <v>0</v>
      </c>
      <c r="AI7" s="37">
        <f>R7+S7</f>
        <v>0</v>
      </c>
      <c r="AJ7" s="37">
        <f>T7+U7</f>
        <v>0</v>
      </c>
      <c r="AK7" s="37">
        <f>V7+W7</f>
        <v>0</v>
      </c>
    </row>
    <row r="8" spans="2:39" s="19" customFormat="1" x14ac:dyDescent="0.3">
      <c r="B8" s="24" t="s">
        <v>39</v>
      </c>
      <c r="C8" s="38" t="str">
        <f>IFERROR(C7/#REF!-1, "-")</f>
        <v>-</v>
      </c>
      <c r="D8" s="38" t="str">
        <f>IFERROR(D7/#REF!-1, "-")</f>
        <v>-</v>
      </c>
      <c r="E8" s="39" t="str">
        <f>IFERROR(E7/#REF!-1, "-")</f>
        <v>-</v>
      </c>
      <c r="F8" s="38" t="e">
        <f t="shared" ref="F8:G8" si="1">F7/C11</f>
        <v>#DIV/0!</v>
      </c>
      <c r="G8" s="38" t="e">
        <f t="shared" si="1"/>
        <v>#DIV/0!</v>
      </c>
      <c r="H8" s="250">
        <f>H7/F11</f>
        <v>0</v>
      </c>
      <c r="I8" s="38" t="e">
        <f>I7/G11</f>
        <v>#DIV/0!</v>
      </c>
      <c r="J8" s="250" t="e">
        <f>J7/H11</f>
        <v>#DIV/0!</v>
      </c>
      <c r="K8" s="38" t="e">
        <f>K7/I11</f>
        <v>#DIV/0!</v>
      </c>
      <c r="L8" s="250" t="e">
        <f>L7/J11</f>
        <v>#DIV/0!</v>
      </c>
      <c r="M8" s="40"/>
      <c r="N8" s="257"/>
      <c r="O8" s="40"/>
      <c r="P8" s="257"/>
      <c r="Q8" s="40"/>
      <c r="R8" s="257"/>
      <c r="S8" s="40"/>
      <c r="T8" s="257"/>
      <c r="U8" s="40"/>
      <c r="V8" s="40"/>
      <c r="W8" s="260"/>
      <c r="Y8"/>
      <c r="AC8" s="39" t="e">
        <f>AC7/E11</f>
        <v>#DIV/0!</v>
      </c>
      <c r="AD8" s="39">
        <f>AD7/AC11</f>
        <v>0</v>
      </c>
      <c r="AE8" s="39">
        <f>AE7/AD11</f>
        <v>0</v>
      </c>
      <c r="AF8" s="39" t="e">
        <f>AF7/AE7-1</f>
        <v>#DIV/0!</v>
      </c>
      <c r="AG8" s="39" t="e">
        <f>AG7/AF7-1</f>
        <v>#DIV/0!</v>
      </c>
      <c r="AH8" s="39" t="e">
        <f>AH7/AG7-1</f>
        <v>#DIV/0!</v>
      </c>
      <c r="AI8" s="39" t="e">
        <f>AI7/AH7-1</f>
        <v>#DIV/0!</v>
      </c>
      <c r="AJ8" s="39" t="e">
        <f>AJ7/AI7-1</f>
        <v>#DIV/0!</v>
      </c>
      <c r="AK8" s="39" t="e">
        <f>AK7/AJ7-1</f>
        <v>#DIV/0!</v>
      </c>
      <c r="AM8"/>
    </row>
    <row r="9" spans="2:39" x14ac:dyDescent="0.3">
      <c r="B9" s="21" t="s">
        <v>37</v>
      </c>
      <c r="C9" s="34"/>
      <c r="D9" s="34"/>
      <c r="E9" s="35"/>
      <c r="F9" s="34"/>
      <c r="G9" s="34">
        <f>AC9-F9</f>
        <v>0</v>
      </c>
      <c r="H9" s="249"/>
      <c r="I9" s="34">
        <f>AD9-H9</f>
        <v>0</v>
      </c>
      <c r="J9" s="249"/>
      <c r="K9" s="34">
        <f>AE9-J9</f>
        <v>0</v>
      </c>
      <c r="L9" s="249"/>
      <c r="M9" s="36">
        <f>K9*(1+M10)</f>
        <v>0</v>
      </c>
      <c r="N9" s="256">
        <f>L9*(1+N10)</f>
        <v>0</v>
      </c>
      <c r="O9" s="36">
        <f>M9*(1+O10)</f>
        <v>0</v>
      </c>
      <c r="P9" s="256">
        <f>N9*(1+P10)</f>
        <v>0</v>
      </c>
      <c r="Q9" s="36">
        <f>O9*(1+Q10)</f>
        <v>0</v>
      </c>
      <c r="R9" s="256">
        <f>P9*(1+R10)</f>
        <v>0</v>
      </c>
      <c r="S9" s="36">
        <f>Q9*(1+S10)</f>
        <v>0</v>
      </c>
      <c r="T9" s="256">
        <f>R9*(1+T10)</f>
        <v>0</v>
      </c>
      <c r="U9" s="36">
        <f>S9*(1+U10)</f>
        <v>0</v>
      </c>
      <c r="V9" s="36">
        <f>T9*(1+V10)</f>
        <v>0</v>
      </c>
      <c r="W9" s="259">
        <f>U9*(1+W10)</f>
        <v>0</v>
      </c>
      <c r="AC9" s="35"/>
      <c r="AD9" s="35"/>
      <c r="AE9" s="35"/>
      <c r="AF9" s="37">
        <f>L9+M9</f>
        <v>0</v>
      </c>
      <c r="AG9" s="37">
        <f>N9+O9</f>
        <v>0</v>
      </c>
      <c r="AH9" s="37">
        <f>P9+Q9</f>
        <v>0</v>
      </c>
      <c r="AI9" s="37">
        <f>R9+S9</f>
        <v>0</v>
      </c>
      <c r="AJ9" s="37">
        <f>T9+U9</f>
        <v>0</v>
      </c>
      <c r="AK9" s="37">
        <f>V9+W9</f>
        <v>0</v>
      </c>
    </row>
    <row r="10" spans="2:39" s="19" customFormat="1" x14ac:dyDescent="0.3">
      <c r="B10" s="24" t="s">
        <v>40</v>
      </c>
      <c r="C10" s="38" t="str">
        <f>IFERROR(C9/#REF!-1, "-")</f>
        <v>-</v>
      </c>
      <c r="D10" s="38" t="str">
        <f>IFERROR(D9/#REF!-1, "-")</f>
        <v>-</v>
      </c>
      <c r="E10" s="39" t="str">
        <f>IFERROR(E9/#REF!-1, "-")</f>
        <v>-</v>
      </c>
      <c r="F10" s="38" t="e">
        <f t="shared" ref="F10:G10" si="2">F9/C11</f>
        <v>#DIV/0!</v>
      </c>
      <c r="G10" s="38" t="e">
        <f t="shared" si="2"/>
        <v>#DIV/0!</v>
      </c>
      <c r="H10" s="250">
        <f>H9/F11</f>
        <v>0</v>
      </c>
      <c r="I10" s="38" t="e">
        <f>I9/G11</f>
        <v>#DIV/0!</v>
      </c>
      <c r="J10" s="250" t="e">
        <f>J9/H11</f>
        <v>#DIV/0!</v>
      </c>
      <c r="K10" s="38" t="e">
        <f>K9/I11</f>
        <v>#DIV/0!</v>
      </c>
      <c r="L10" s="250" t="e">
        <f>L9/J11</f>
        <v>#DIV/0!</v>
      </c>
      <c r="M10" s="40"/>
      <c r="N10" s="257"/>
      <c r="O10" s="40"/>
      <c r="P10" s="257"/>
      <c r="Q10" s="40"/>
      <c r="R10" s="257"/>
      <c r="S10" s="40"/>
      <c r="T10" s="257"/>
      <c r="U10" s="40"/>
      <c r="V10" s="40"/>
      <c r="W10" s="260"/>
      <c r="Y10"/>
      <c r="AC10" s="39" t="e">
        <f>AC9/E11</f>
        <v>#DIV/0!</v>
      </c>
      <c r="AD10" s="39">
        <f>AD9/AC11</f>
        <v>0</v>
      </c>
      <c r="AE10" s="39">
        <f>AE9/AD11</f>
        <v>0</v>
      </c>
      <c r="AF10" s="39" t="str">
        <f>IFERROR(AF9/AE9-1, "-")</f>
        <v>-</v>
      </c>
      <c r="AG10" s="39" t="str">
        <f>IFERROR(AG9/AF9-1, "-")</f>
        <v>-</v>
      </c>
      <c r="AH10" s="39" t="str">
        <f>IFERROR(AH9/AG9-1, "-")</f>
        <v>-</v>
      </c>
      <c r="AI10" s="39" t="str">
        <f>IFERROR(AI9/AH9-1, "-")</f>
        <v>-</v>
      </c>
      <c r="AJ10" s="39" t="str">
        <f>IFERROR(AJ9/AI9-1, "-")</f>
        <v>-</v>
      </c>
      <c r="AK10" s="39" t="str">
        <f>IFERROR(AK9/AJ9-1, "-")</f>
        <v>-</v>
      </c>
      <c r="AM10"/>
    </row>
    <row r="11" spans="2:39" x14ac:dyDescent="0.3">
      <c r="B11" s="23" t="s">
        <v>216</v>
      </c>
      <c r="C11" s="41"/>
      <c r="D11" s="41">
        <f>E11-C11</f>
        <v>0</v>
      </c>
      <c r="E11" s="42"/>
      <c r="F11" s="41">
        <f>C11+F5+F7+F9+1</f>
        <v>1</v>
      </c>
      <c r="G11" s="41">
        <f>D11+G5+G7+G9</f>
        <v>0</v>
      </c>
      <c r="H11" s="251">
        <f>F11+H5+H7+H9-1</f>
        <v>0</v>
      </c>
      <c r="I11" s="41">
        <f>G11+I5+I7+I9</f>
        <v>0</v>
      </c>
      <c r="J11" s="251">
        <f>H11+J5+J7+J9</f>
        <v>0</v>
      </c>
      <c r="K11" s="41">
        <f>I11+K5+K7+K9</f>
        <v>0</v>
      </c>
      <c r="L11" s="251">
        <f>J11+L5+L7+L9</f>
        <v>0</v>
      </c>
      <c r="M11" s="41">
        <f>K11+M5+M7+M9</f>
        <v>0</v>
      </c>
      <c r="N11" s="251">
        <f>L11+N5+N7+N9</f>
        <v>0</v>
      </c>
      <c r="O11" s="41">
        <f>M11+O5+O7+O9</f>
        <v>0</v>
      </c>
      <c r="P11" s="251">
        <f>N11+P5+P7+P9</f>
        <v>0</v>
      </c>
      <c r="Q11" s="41">
        <f>O11+Q5+Q7+Q9</f>
        <v>0</v>
      </c>
      <c r="R11" s="251">
        <f>P11+R5+R7+R9</f>
        <v>0</v>
      </c>
      <c r="S11" s="41">
        <f>Q11+S5+S7+S9</f>
        <v>0</v>
      </c>
      <c r="T11" s="251">
        <f>R11+T5+T7+T9</f>
        <v>0</v>
      </c>
      <c r="U11" s="41">
        <f>S11+U5+U7+U9</f>
        <v>0</v>
      </c>
      <c r="V11" s="41">
        <f>T11+V5+V7+V9</f>
        <v>0</v>
      </c>
      <c r="W11" s="261">
        <f>U11+W5+W7+W9</f>
        <v>0</v>
      </c>
      <c r="AC11" s="42">
        <f>E11+AC5+AC7+AC9+1</f>
        <v>1</v>
      </c>
      <c r="AD11" s="42">
        <f>AC11+AD5+AD7+AD9</f>
        <v>1</v>
      </c>
      <c r="AE11" s="42">
        <f>AD11+AE5+AE7+AE9</f>
        <v>1</v>
      </c>
      <c r="AF11" s="42">
        <f>AE11+AF5+AF7+AF9</f>
        <v>1</v>
      </c>
      <c r="AG11" s="42">
        <f>AF11+AG5+AG7+AG9</f>
        <v>1</v>
      </c>
      <c r="AH11" s="42">
        <f>AG11+AH5+AH7+AH9</f>
        <v>1</v>
      </c>
      <c r="AI11" s="42">
        <f>AH11+AI5+AI7+AI9</f>
        <v>1</v>
      </c>
      <c r="AJ11" s="42">
        <f>AI11+AJ5+AJ7+AJ9</f>
        <v>1</v>
      </c>
      <c r="AK11" s="42">
        <f>AJ11+AK5+AK7+AK9</f>
        <v>1</v>
      </c>
    </row>
    <row r="12" spans="2:39" s="19" customFormat="1" x14ac:dyDescent="0.3">
      <c r="B12" s="24" t="s">
        <v>42</v>
      </c>
      <c r="C12" s="38" t="str">
        <f>IFERROR(C11/#REF!-1, "-")</f>
        <v>-</v>
      </c>
      <c r="D12" s="38" t="str">
        <f>IFERROR(D11/#REF!-1, "-")</f>
        <v>-</v>
      </c>
      <c r="E12" s="39" t="str">
        <f>IFERROR(E11/#REF!-1, "-")</f>
        <v>-</v>
      </c>
      <c r="F12" s="38" t="str">
        <f t="shared" ref="F12:G12" si="3">IFERROR(F11/C11-1, "-")</f>
        <v>-</v>
      </c>
      <c r="G12" s="38" t="str">
        <f t="shared" si="3"/>
        <v>-</v>
      </c>
      <c r="H12" s="250">
        <f>IFERROR(H11/F11-1, "-")</f>
        <v>-1</v>
      </c>
      <c r="I12" s="38" t="str">
        <f>IFERROR(I11/G11-1, "-")</f>
        <v>-</v>
      </c>
      <c r="J12" s="250" t="str">
        <f>IFERROR(J11/H11-1, "-")</f>
        <v>-</v>
      </c>
      <c r="K12" s="38" t="str">
        <f>IFERROR(K11/I11-1, "-")</f>
        <v>-</v>
      </c>
      <c r="L12" s="250" t="str">
        <f>IFERROR(L11/J11-1, "-")</f>
        <v>-</v>
      </c>
      <c r="M12" s="38" t="str">
        <f>IFERROR(M11/K11-1, "-")</f>
        <v>-</v>
      </c>
      <c r="N12" s="250" t="str">
        <f>IFERROR(N11/L11-1, "-")</f>
        <v>-</v>
      </c>
      <c r="O12" s="38" t="str">
        <f>IFERROR(O11/M11-1, "-")</f>
        <v>-</v>
      </c>
      <c r="P12" s="250" t="str">
        <f>IFERROR(P11/N11-1, "-")</f>
        <v>-</v>
      </c>
      <c r="Q12" s="38" t="str">
        <f>IFERROR(Q11/O11-1, "-")</f>
        <v>-</v>
      </c>
      <c r="R12" s="250" t="str">
        <f>IFERROR(R11/P11-1, "-")</f>
        <v>-</v>
      </c>
      <c r="S12" s="38" t="str">
        <f>IFERROR(S11/Q11-1, "-")</f>
        <v>-</v>
      </c>
      <c r="T12" s="250" t="str">
        <f>IFERROR(T11/R11-1, "-")</f>
        <v>-</v>
      </c>
      <c r="U12" s="38" t="str">
        <f>IFERROR(U11/S11-1, "-")</f>
        <v>-</v>
      </c>
      <c r="V12" s="38" t="str">
        <f>IFERROR(V11/T11-1, "-")</f>
        <v>-</v>
      </c>
      <c r="W12" s="262" t="str">
        <f>IFERROR(W11/U11-1, "-")</f>
        <v>-</v>
      </c>
      <c r="Y12"/>
      <c r="AC12" s="39" t="str">
        <f>IFERROR(AC11/E11-1, "-")</f>
        <v>-</v>
      </c>
      <c r="AD12" s="39">
        <f>IFERROR(AD11/AC11-1, "-")</f>
        <v>0</v>
      </c>
      <c r="AE12" s="39">
        <f>IFERROR(AE11/AD11-1, "-")</f>
        <v>0</v>
      </c>
      <c r="AF12" s="39">
        <f>IFERROR(AF11/AE11-1, "-")</f>
        <v>0</v>
      </c>
      <c r="AG12" s="39">
        <f>IFERROR(AG11/AF11-1, "-")</f>
        <v>0</v>
      </c>
      <c r="AH12" s="39">
        <f>IFERROR(AH11/AG11-1, "-")</f>
        <v>0</v>
      </c>
      <c r="AI12" s="39">
        <f>IFERROR(AI11/AH11-1, "-")</f>
        <v>0</v>
      </c>
      <c r="AJ12" s="39">
        <f>IFERROR(AJ11/AI11-1, "-")</f>
        <v>0</v>
      </c>
      <c r="AK12" s="39">
        <f>IFERROR(AK11/AJ11-1, "-")</f>
        <v>0</v>
      </c>
      <c r="AM12"/>
    </row>
    <row r="13" spans="2:39" x14ac:dyDescent="0.3">
      <c r="B13" s="21"/>
      <c r="C13" s="43"/>
      <c r="D13" s="43"/>
      <c r="E13" s="44"/>
      <c r="F13" s="43"/>
      <c r="G13" s="43"/>
      <c r="H13" s="252"/>
      <c r="I13" s="43"/>
      <c r="J13" s="252"/>
      <c r="K13" s="43"/>
      <c r="L13" s="252"/>
      <c r="M13" s="43"/>
      <c r="N13" s="252"/>
      <c r="O13" s="43"/>
      <c r="P13" s="252"/>
      <c r="Q13" s="43"/>
      <c r="R13" s="252"/>
      <c r="S13" s="43"/>
      <c r="T13" s="252"/>
      <c r="U13" s="43"/>
      <c r="V13" s="43"/>
      <c r="W13" s="263"/>
      <c r="AC13" s="44"/>
      <c r="AD13" s="44"/>
      <c r="AE13" s="44"/>
      <c r="AF13" s="44"/>
      <c r="AG13" s="44"/>
      <c r="AH13" s="44"/>
      <c r="AI13" s="44"/>
      <c r="AJ13" s="44"/>
      <c r="AK13" s="45"/>
    </row>
    <row r="14" spans="2:39" x14ac:dyDescent="0.3">
      <c r="B14" s="23" t="s">
        <v>213</v>
      </c>
      <c r="C14" s="43"/>
      <c r="D14" s="43"/>
      <c r="E14" s="44"/>
      <c r="F14" s="43"/>
      <c r="G14" s="43"/>
      <c r="H14" s="252"/>
      <c r="I14" s="43"/>
      <c r="J14" s="252"/>
      <c r="K14" s="43"/>
      <c r="L14" s="252"/>
      <c r="M14" s="43"/>
      <c r="N14" s="252"/>
      <c r="O14" s="43"/>
      <c r="P14" s="252"/>
      <c r="Q14" s="43"/>
      <c r="R14" s="252"/>
      <c r="S14" s="43"/>
      <c r="T14" s="252"/>
      <c r="U14" s="43"/>
      <c r="V14" s="43"/>
      <c r="W14" s="263"/>
      <c r="AC14" s="44"/>
      <c r="AD14" s="44"/>
      <c r="AE14" s="44"/>
      <c r="AF14" s="44"/>
      <c r="AG14" s="44"/>
      <c r="AH14" s="44"/>
      <c r="AI14" s="44"/>
      <c r="AJ14" s="44"/>
      <c r="AK14" s="45"/>
    </row>
    <row r="15" spans="2:39" x14ac:dyDescent="0.3">
      <c r="B15" s="21" t="s">
        <v>35</v>
      </c>
      <c r="C15" s="34"/>
      <c r="D15" s="34"/>
      <c r="E15" s="35"/>
      <c r="F15" s="34"/>
      <c r="G15" s="34">
        <f>AC15-F15</f>
        <v>0</v>
      </c>
      <c r="H15" s="249"/>
      <c r="I15" s="34">
        <f>AD15-H15</f>
        <v>0</v>
      </c>
      <c r="J15" s="249"/>
      <c r="K15" s="34">
        <f>AE15-J15</f>
        <v>0</v>
      </c>
      <c r="L15" s="249"/>
      <c r="M15" s="36">
        <f>K15*(1+M16)</f>
        <v>0</v>
      </c>
      <c r="N15" s="256">
        <f>L15*(1+N16)</f>
        <v>0</v>
      </c>
      <c r="O15" s="36">
        <f>M15*(1+O16)</f>
        <v>0</v>
      </c>
      <c r="P15" s="256">
        <f>N15*(1+P16)</f>
        <v>0</v>
      </c>
      <c r="Q15" s="36">
        <f>O15*(1+Q16)</f>
        <v>0</v>
      </c>
      <c r="R15" s="256">
        <f>P15*(1+R16)</f>
        <v>0</v>
      </c>
      <c r="S15" s="36">
        <f>Q15*(1+S16)</f>
        <v>0</v>
      </c>
      <c r="T15" s="256">
        <f>R15*(1+T16)</f>
        <v>0</v>
      </c>
      <c r="U15" s="36">
        <f>S15*(1+U16)</f>
        <v>0</v>
      </c>
      <c r="V15" s="36">
        <f>T15*(1+V16)</f>
        <v>0</v>
      </c>
      <c r="W15" s="259">
        <f>U15*(1+W16)</f>
        <v>0</v>
      </c>
      <c r="AC15" s="35"/>
      <c r="AD15" s="35"/>
      <c r="AE15" s="35"/>
      <c r="AF15" s="37">
        <f>L15+M15</f>
        <v>0</v>
      </c>
      <c r="AG15" s="37">
        <f>N15+O15</f>
        <v>0</v>
      </c>
      <c r="AH15" s="37">
        <f>P15+Q15</f>
        <v>0</v>
      </c>
      <c r="AI15" s="37">
        <f>R15+S15</f>
        <v>0</v>
      </c>
      <c r="AJ15" s="37">
        <f>T15+U15</f>
        <v>0</v>
      </c>
      <c r="AK15" s="37">
        <f>V15+W15</f>
        <v>0</v>
      </c>
    </row>
    <row r="16" spans="2:39" s="19" customFormat="1" x14ac:dyDescent="0.3">
      <c r="B16" s="24" t="s">
        <v>38</v>
      </c>
      <c r="C16" s="38" t="str">
        <f>IFERROR(C15/#REF!-1, "-")</f>
        <v>-</v>
      </c>
      <c r="D16" s="38" t="str">
        <f>IFERROR(D15/#REF!-1, "-")</f>
        <v>-</v>
      </c>
      <c r="E16" s="39" t="str">
        <f>IFERROR(E15/#REF!-1, "-")</f>
        <v>-</v>
      </c>
      <c r="F16" s="38" t="e">
        <f t="shared" ref="F16:G16" si="4">F15/C21</f>
        <v>#DIV/0!</v>
      </c>
      <c r="G16" s="38" t="e">
        <f t="shared" si="4"/>
        <v>#DIV/0!</v>
      </c>
      <c r="H16" s="250">
        <f>H15/F21</f>
        <v>0</v>
      </c>
      <c r="I16" s="38" t="e">
        <f>I15/G21</f>
        <v>#DIV/0!</v>
      </c>
      <c r="J16" s="250">
        <f>J15/H21</f>
        <v>0</v>
      </c>
      <c r="K16" s="38" t="e">
        <f>K15/I21</f>
        <v>#DIV/0!</v>
      </c>
      <c r="L16" s="250">
        <f>L15/J21</f>
        <v>0</v>
      </c>
      <c r="M16" s="40"/>
      <c r="N16" s="257"/>
      <c r="O16" s="40"/>
      <c r="P16" s="257"/>
      <c r="Q16" s="40"/>
      <c r="R16" s="257"/>
      <c r="S16" s="40"/>
      <c r="T16" s="257"/>
      <c r="U16" s="40"/>
      <c r="V16" s="40"/>
      <c r="W16" s="260"/>
      <c r="Y16"/>
      <c r="AC16" s="39" t="e">
        <f>AC15/E21</f>
        <v>#DIV/0!</v>
      </c>
      <c r="AD16" s="39">
        <f>AD15/AC21</f>
        <v>0</v>
      </c>
      <c r="AE16" s="39">
        <f>AE15/AD21</f>
        <v>0</v>
      </c>
      <c r="AF16" s="39" t="e">
        <f>AF15/AE15-1</f>
        <v>#DIV/0!</v>
      </c>
      <c r="AG16" s="39" t="e">
        <f>AG15/AF15-1</f>
        <v>#DIV/0!</v>
      </c>
      <c r="AH16" s="39" t="e">
        <f>AH15/AG15-1</f>
        <v>#DIV/0!</v>
      </c>
      <c r="AI16" s="39" t="e">
        <f>AI15/AH15-1</f>
        <v>#DIV/0!</v>
      </c>
      <c r="AJ16" s="39" t="e">
        <f>AJ15/AI15-1</f>
        <v>#DIV/0!</v>
      </c>
      <c r="AK16" s="39" t="e">
        <f>AK15/AJ15-1</f>
        <v>#DIV/0!</v>
      </c>
      <c r="AM16"/>
    </row>
    <row r="17" spans="2:39" x14ac:dyDescent="0.3">
      <c r="B17" s="21" t="s">
        <v>36</v>
      </c>
      <c r="C17" s="34"/>
      <c r="D17" s="34"/>
      <c r="E17" s="35"/>
      <c r="F17" s="34"/>
      <c r="G17" s="34">
        <f>AC17-F17</f>
        <v>0</v>
      </c>
      <c r="H17" s="249"/>
      <c r="I17" s="34">
        <f>AD17-H17</f>
        <v>0</v>
      </c>
      <c r="J17" s="249"/>
      <c r="K17" s="34">
        <f>AE17-J17</f>
        <v>0</v>
      </c>
      <c r="L17" s="249"/>
      <c r="M17" s="36">
        <f>K17*(1+M18)</f>
        <v>0</v>
      </c>
      <c r="N17" s="256">
        <f>L17*(1+N18)</f>
        <v>0</v>
      </c>
      <c r="O17" s="36">
        <f>M17*(1+O18)</f>
        <v>0</v>
      </c>
      <c r="P17" s="256">
        <f>N17*(1+P18)</f>
        <v>0</v>
      </c>
      <c r="Q17" s="36">
        <f>O17*(1+Q18)</f>
        <v>0</v>
      </c>
      <c r="R17" s="256">
        <f>P17*(1+R18)</f>
        <v>0</v>
      </c>
      <c r="S17" s="36">
        <f>Q17*(1+S18)</f>
        <v>0</v>
      </c>
      <c r="T17" s="256">
        <f>R17*(1+T18)</f>
        <v>0</v>
      </c>
      <c r="U17" s="36">
        <f>S17*(1+U18)</f>
        <v>0</v>
      </c>
      <c r="V17" s="36">
        <f>T17*(1+V18)</f>
        <v>0</v>
      </c>
      <c r="W17" s="259">
        <f>U17*(1+W18)</f>
        <v>0</v>
      </c>
      <c r="AC17" s="35"/>
      <c r="AD17" s="35"/>
      <c r="AE17" s="35"/>
      <c r="AF17" s="37">
        <f>L17+M17</f>
        <v>0</v>
      </c>
      <c r="AG17" s="37">
        <f>N17+O17</f>
        <v>0</v>
      </c>
      <c r="AH17" s="37">
        <f>P17+Q17</f>
        <v>0</v>
      </c>
      <c r="AI17" s="37">
        <f>R17+S17</f>
        <v>0</v>
      </c>
      <c r="AJ17" s="37">
        <f>T17+U17</f>
        <v>0</v>
      </c>
      <c r="AK17" s="37">
        <f>V17+W17</f>
        <v>0</v>
      </c>
    </row>
    <row r="18" spans="2:39" s="19" customFormat="1" x14ac:dyDescent="0.3">
      <c r="B18" s="24" t="s">
        <v>39</v>
      </c>
      <c r="C18" s="38" t="str">
        <f>IFERROR(C17/#REF!-1, "-")</f>
        <v>-</v>
      </c>
      <c r="D18" s="38" t="str">
        <f>IFERROR(D17/#REF!-1, "-")</f>
        <v>-</v>
      </c>
      <c r="E18" s="39" t="str">
        <f>IFERROR(E17/#REF!-1, "-")</f>
        <v>-</v>
      </c>
      <c r="F18" s="38" t="e">
        <f t="shared" ref="F18:G18" si="5">F17/C21</f>
        <v>#DIV/0!</v>
      </c>
      <c r="G18" s="38" t="e">
        <f t="shared" si="5"/>
        <v>#DIV/0!</v>
      </c>
      <c r="H18" s="250">
        <f>H17/F21</f>
        <v>0</v>
      </c>
      <c r="I18" s="38" t="e">
        <f>I17/G21</f>
        <v>#DIV/0!</v>
      </c>
      <c r="J18" s="250">
        <f>J17/H21</f>
        <v>0</v>
      </c>
      <c r="K18" s="38" t="e">
        <f>K17/I21</f>
        <v>#DIV/0!</v>
      </c>
      <c r="L18" s="250">
        <f>L17/J21</f>
        <v>0</v>
      </c>
      <c r="M18" s="40"/>
      <c r="N18" s="257"/>
      <c r="O18" s="40"/>
      <c r="P18" s="257"/>
      <c r="Q18" s="40"/>
      <c r="R18" s="257"/>
      <c r="S18" s="40"/>
      <c r="T18" s="257"/>
      <c r="U18" s="40"/>
      <c r="V18" s="40"/>
      <c r="W18" s="260"/>
      <c r="Y18"/>
      <c r="AC18" s="39" t="e">
        <f>AC17/E21</f>
        <v>#DIV/0!</v>
      </c>
      <c r="AD18" s="39">
        <f>AD17/AC21</f>
        <v>0</v>
      </c>
      <c r="AE18" s="39">
        <f>AE17/AD21</f>
        <v>0</v>
      </c>
      <c r="AF18" s="39" t="e">
        <f>AF17/AE17-1</f>
        <v>#DIV/0!</v>
      </c>
      <c r="AG18" s="39" t="e">
        <f>AG17/AF17-1</f>
        <v>#DIV/0!</v>
      </c>
      <c r="AH18" s="39" t="e">
        <f>AH17/AG17-1</f>
        <v>#DIV/0!</v>
      </c>
      <c r="AI18" s="39" t="e">
        <f>AI17/AH17-1</f>
        <v>#DIV/0!</v>
      </c>
      <c r="AJ18" s="39" t="e">
        <f>AJ17/AI17-1</f>
        <v>#DIV/0!</v>
      </c>
      <c r="AK18" s="39" t="e">
        <f>AK17/AJ17-1</f>
        <v>#DIV/0!</v>
      </c>
      <c r="AM18"/>
    </row>
    <row r="19" spans="2:39" x14ac:dyDescent="0.3">
      <c r="B19" s="21" t="s">
        <v>37</v>
      </c>
      <c r="C19" s="34"/>
      <c r="D19" s="34"/>
      <c r="E19" s="35"/>
      <c r="F19" s="34"/>
      <c r="G19" s="34">
        <f>AC19-F19</f>
        <v>0</v>
      </c>
      <c r="H19" s="249"/>
      <c r="I19" s="34">
        <f>AD19-H19</f>
        <v>0</v>
      </c>
      <c r="J19" s="249"/>
      <c r="K19" s="34">
        <f>AE19-J19</f>
        <v>0</v>
      </c>
      <c r="L19" s="249"/>
      <c r="M19" s="36">
        <f>K19*(1+M20)</f>
        <v>0</v>
      </c>
      <c r="N19" s="256">
        <f>L19*(1+N20)</f>
        <v>0</v>
      </c>
      <c r="O19" s="36">
        <f>M19*(1+O20)</f>
        <v>0</v>
      </c>
      <c r="P19" s="256">
        <f>N19*(1+P20)</f>
        <v>0</v>
      </c>
      <c r="Q19" s="36">
        <f>O19*(1+Q20)</f>
        <v>0</v>
      </c>
      <c r="R19" s="256">
        <f>P19*(1+R20)</f>
        <v>0</v>
      </c>
      <c r="S19" s="36">
        <f>Q19*(1+S20)</f>
        <v>0</v>
      </c>
      <c r="T19" s="256">
        <f>R19*(1+T20)</f>
        <v>0</v>
      </c>
      <c r="U19" s="36">
        <f>S19*(1+U20)</f>
        <v>0</v>
      </c>
      <c r="V19" s="36">
        <f>T19*(1+V20)</f>
        <v>0</v>
      </c>
      <c r="W19" s="259">
        <f>U19*(1+W20)</f>
        <v>0</v>
      </c>
      <c r="AC19" s="35"/>
      <c r="AD19" s="35"/>
      <c r="AE19" s="35"/>
      <c r="AF19" s="37">
        <f>L19+M19</f>
        <v>0</v>
      </c>
      <c r="AG19" s="37">
        <f>N19+O19</f>
        <v>0</v>
      </c>
      <c r="AH19" s="37">
        <f>P19+Q19</f>
        <v>0</v>
      </c>
      <c r="AI19" s="37">
        <f>R19+S19</f>
        <v>0</v>
      </c>
      <c r="AJ19" s="37">
        <f>T19+U19</f>
        <v>0</v>
      </c>
      <c r="AK19" s="37">
        <f>V19+W19</f>
        <v>0</v>
      </c>
    </row>
    <row r="20" spans="2:39" s="19" customFormat="1" x14ac:dyDescent="0.3">
      <c r="B20" s="24" t="s">
        <v>40</v>
      </c>
      <c r="C20" s="38" t="str">
        <f>IFERROR(C19/#REF!-1, "-")</f>
        <v>-</v>
      </c>
      <c r="D20" s="38" t="str">
        <f>IFERROR(D19/#REF!-1, "-")</f>
        <v>-</v>
      </c>
      <c r="E20" s="39" t="str">
        <f>IFERROR(E19/#REF!-1, "-")</f>
        <v>-</v>
      </c>
      <c r="F20" s="38" t="e">
        <f t="shared" ref="F20:G20" si="6">F19/C21</f>
        <v>#DIV/0!</v>
      </c>
      <c r="G20" s="38" t="e">
        <f t="shared" si="6"/>
        <v>#DIV/0!</v>
      </c>
      <c r="H20" s="250">
        <f>H19/F21</f>
        <v>0</v>
      </c>
      <c r="I20" s="38" t="e">
        <f>I19/G21</f>
        <v>#DIV/0!</v>
      </c>
      <c r="J20" s="250">
        <f>J19/H21</f>
        <v>0</v>
      </c>
      <c r="K20" s="38" t="e">
        <f>K19/I21</f>
        <v>#DIV/0!</v>
      </c>
      <c r="L20" s="250">
        <f>L19/J21</f>
        <v>0</v>
      </c>
      <c r="M20" s="40"/>
      <c r="N20" s="257"/>
      <c r="O20" s="40"/>
      <c r="P20" s="257"/>
      <c r="Q20" s="40"/>
      <c r="R20" s="257"/>
      <c r="S20" s="40"/>
      <c r="T20" s="257"/>
      <c r="U20" s="40"/>
      <c r="V20" s="40"/>
      <c r="W20" s="260"/>
      <c r="Y20"/>
      <c r="AC20" s="39" t="e">
        <f>AC19/E21</f>
        <v>#DIV/0!</v>
      </c>
      <c r="AD20" s="39">
        <f>AD19/AC21</f>
        <v>0</v>
      </c>
      <c r="AE20" s="39">
        <f>AE19/AD21</f>
        <v>0</v>
      </c>
      <c r="AF20" s="39" t="str">
        <f>IFERROR(AF19/AE19-1, "-")</f>
        <v>-</v>
      </c>
      <c r="AG20" s="39" t="str">
        <f>IFERROR(AG19/AF19-1, "-")</f>
        <v>-</v>
      </c>
      <c r="AH20" s="39" t="str">
        <f>IFERROR(AH19/AG19-1, "-")</f>
        <v>-</v>
      </c>
      <c r="AI20" s="39" t="str">
        <f>IFERROR(AI19/AH19-1, "-")</f>
        <v>-</v>
      </c>
      <c r="AJ20" s="39" t="str">
        <f>IFERROR(AJ19/AI19-1, "-")</f>
        <v>-</v>
      </c>
      <c r="AK20" s="39" t="str">
        <f>IFERROR(AK19/AJ19-1, "-")</f>
        <v>-</v>
      </c>
      <c r="AM20"/>
    </row>
    <row r="21" spans="2:39" x14ac:dyDescent="0.3">
      <c r="B21" s="23" t="s">
        <v>214</v>
      </c>
      <c r="C21" s="41"/>
      <c r="D21" s="41">
        <f>E21-C21</f>
        <v>0</v>
      </c>
      <c r="E21" s="42"/>
      <c r="F21" s="41">
        <f>C21+F15+F17+F19-1</f>
        <v>-1</v>
      </c>
      <c r="G21" s="41">
        <f>D21+G15+G17+G19</f>
        <v>0</v>
      </c>
      <c r="H21" s="251">
        <f>F21+H15+H17+H19</f>
        <v>-1</v>
      </c>
      <c r="I21" s="41">
        <f>G21+I15+I17+I19</f>
        <v>0</v>
      </c>
      <c r="J21" s="251">
        <f>H21+J15+J17+J19-1</f>
        <v>-2</v>
      </c>
      <c r="K21" s="41">
        <f>I21+K15+K17+K19</f>
        <v>0</v>
      </c>
      <c r="L21" s="251">
        <f>J21+L15+L17+L19</f>
        <v>-2</v>
      </c>
      <c r="M21" s="41">
        <f>K21+M15+M17+M19</f>
        <v>0</v>
      </c>
      <c r="N21" s="251">
        <f>L21+N15+N17+N19</f>
        <v>-2</v>
      </c>
      <c r="O21" s="41">
        <f>M21+O15+O17+O19</f>
        <v>0</v>
      </c>
      <c r="P21" s="251">
        <f>N21+P15+P17+P19</f>
        <v>-2</v>
      </c>
      <c r="Q21" s="41">
        <f>O21+Q15+Q17+Q19</f>
        <v>0</v>
      </c>
      <c r="R21" s="251">
        <f>P21+R15+R17+R19</f>
        <v>-2</v>
      </c>
      <c r="S21" s="41">
        <f>Q21+S15+S17+S19</f>
        <v>0</v>
      </c>
      <c r="T21" s="251">
        <f>R21+T15+T17+T19</f>
        <v>-2</v>
      </c>
      <c r="U21" s="41">
        <f>S21+U15+U17+U19</f>
        <v>0</v>
      </c>
      <c r="V21" s="41">
        <f>T21+V15+V17+V19</f>
        <v>-2</v>
      </c>
      <c r="W21" s="261">
        <f>U21+W15+W17+W19</f>
        <v>0</v>
      </c>
      <c r="AC21" s="42">
        <f>E21+AC15+AC17+AC19-1</f>
        <v>-1</v>
      </c>
      <c r="AD21" s="42">
        <f>AC21+AD15+AD17+AD19</f>
        <v>-1</v>
      </c>
      <c r="AE21" s="42">
        <f>AD21+AE15+AE17+AE19</f>
        <v>-1</v>
      </c>
      <c r="AF21" s="42">
        <f>AE21+AF15+AF17+AF19</f>
        <v>-1</v>
      </c>
      <c r="AG21" s="42">
        <f>AF21+AG15+AG17+AG19</f>
        <v>-1</v>
      </c>
      <c r="AH21" s="42">
        <f>AG21+AH15+AH17+AH19</f>
        <v>-1</v>
      </c>
      <c r="AI21" s="42">
        <f>AH21+AI15+AI17+AI19</f>
        <v>-1</v>
      </c>
      <c r="AJ21" s="42">
        <f>AI21+AJ15+AJ17+AJ19</f>
        <v>-1</v>
      </c>
      <c r="AK21" s="42">
        <f>AJ21+AK15+AK17+AK19</f>
        <v>-1</v>
      </c>
    </row>
    <row r="22" spans="2:39" s="19" customFormat="1" x14ac:dyDescent="0.3">
      <c r="B22" s="24" t="s">
        <v>42</v>
      </c>
      <c r="C22" s="38" t="str">
        <f>IFERROR(C21/#REF!-1, "-")</f>
        <v>-</v>
      </c>
      <c r="D22" s="38" t="str">
        <f>IFERROR(D21/#REF!-1, "-")</f>
        <v>-</v>
      </c>
      <c r="E22" s="39" t="str">
        <f>IFERROR(E21/#REF!-1, "-")</f>
        <v>-</v>
      </c>
      <c r="F22" s="38" t="str">
        <f t="shared" ref="F22:G22" si="7">IFERROR(F21/C21-1, "-")</f>
        <v>-</v>
      </c>
      <c r="G22" s="38" t="str">
        <f t="shared" si="7"/>
        <v>-</v>
      </c>
      <c r="H22" s="250">
        <f>IFERROR(H21/F21-1, "-")</f>
        <v>0</v>
      </c>
      <c r="I22" s="38" t="str">
        <f>IFERROR(I21/G21-1, "-")</f>
        <v>-</v>
      </c>
      <c r="J22" s="250">
        <f>IFERROR(J21/H21-1, "-")</f>
        <v>1</v>
      </c>
      <c r="K22" s="38" t="str">
        <f>IFERROR(K21/I21-1, "-")</f>
        <v>-</v>
      </c>
      <c r="L22" s="250">
        <f>IFERROR(L21/J21-1, "-")</f>
        <v>0</v>
      </c>
      <c r="M22" s="38" t="str">
        <f>IFERROR(M21/K21-1, "-")</f>
        <v>-</v>
      </c>
      <c r="N22" s="250">
        <f>IFERROR(N21/L21-1, "-")</f>
        <v>0</v>
      </c>
      <c r="O22" s="38" t="str">
        <f>IFERROR(O21/M21-1, "-")</f>
        <v>-</v>
      </c>
      <c r="P22" s="250">
        <f>IFERROR(P21/N21-1, "-")</f>
        <v>0</v>
      </c>
      <c r="Q22" s="38" t="str">
        <f>IFERROR(Q21/O21-1, "-")</f>
        <v>-</v>
      </c>
      <c r="R22" s="250">
        <f>IFERROR(R21/P21-1, "-")</f>
        <v>0</v>
      </c>
      <c r="S22" s="38" t="str">
        <f>IFERROR(S21/Q21-1, "-")</f>
        <v>-</v>
      </c>
      <c r="T22" s="250">
        <f>IFERROR(T21/R21-1, "-")</f>
        <v>0</v>
      </c>
      <c r="U22" s="38" t="str">
        <f>IFERROR(U21/S21-1, "-")</f>
        <v>-</v>
      </c>
      <c r="V22" s="38">
        <f>IFERROR(V21/T21-1, "-")</f>
        <v>0</v>
      </c>
      <c r="W22" s="262" t="str">
        <f>IFERROR(W21/U21-1, "-")</f>
        <v>-</v>
      </c>
      <c r="Y22"/>
      <c r="AC22" s="39" t="str">
        <f>IFERROR(AC21/E21-1, "-")</f>
        <v>-</v>
      </c>
      <c r="AD22" s="39">
        <f>IFERROR(AD21/AC21-1, "-")</f>
        <v>0</v>
      </c>
      <c r="AE22" s="39">
        <f>IFERROR(AE21/AD21-1, "-")</f>
        <v>0</v>
      </c>
      <c r="AF22" s="39">
        <f>IFERROR(AF21/AE21-1, "-")</f>
        <v>0</v>
      </c>
      <c r="AG22" s="39">
        <f>IFERROR(AG21/AF21-1, "-")</f>
        <v>0</v>
      </c>
      <c r="AH22" s="39">
        <f>IFERROR(AH21/AG21-1, "-")</f>
        <v>0</v>
      </c>
      <c r="AI22" s="39">
        <f>IFERROR(AI21/AH21-1, "-")</f>
        <v>0</v>
      </c>
      <c r="AJ22" s="39">
        <f>IFERROR(AJ21/AI21-1, "-")</f>
        <v>0</v>
      </c>
      <c r="AK22" s="39">
        <f>IFERROR(AK21/AJ21-1, "-")</f>
        <v>0</v>
      </c>
      <c r="AM22"/>
    </row>
    <row r="23" spans="2:39" s="19" customFormat="1" x14ac:dyDescent="0.3">
      <c r="B23" s="24"/>
      <c r="C23" s="38"/>
      <c r="D23" s="38"/>
      <c r="E23" s="39"/>
      <c r="F23" s="38"/>
      <c r="G23" s="38"/>
      <c r="H23" s="250"/>
      <c r="I23" s="38"/>
      <c r="J23" s="250"/>
      <c r="K23" s="38"/>
      <c r="L23" s="250"/>
      <c r="M23" s="38"/>
      <c r="N23" s="250"/>
      <c r="O23" s="38"/>
      <c r="P23" s="250"/>
      <c r="Q23" s="38"/>
      <c r="R23" s="250"/>
      <c r="S23" s="38"/>
      <c r="T23" s="250"/>
      <c r="U23" s="38"/>
      <c r="V23" s="38"/>
      <c r="W23" s="262"/>
      <c r="AC23" s="39"/>
      <c r="AD23" s="39"/>
      <c r="AE23" s="39"/>
      <c r="AF23" s="39"/>
      <c r="AG23" s="39"/>
      <c r="AH23" s="39"/>
      <c r="AI23" s="39"/>
      <c r="AJ23" s="39"/>
      <c r="AK23" s="39"/>
    </row>
    <row r="24" spans="2:39" x14ac:dyDescent="0.3">
      <c r="B24" s="23" t="s">
        <v>212</v>
      </c>
      <c r="C24" s="43"/>
      <c r="D24" s="43"/>
      <c r="E24" s="44"/>
      <c r="F24" s="43"/>
      <c r="G24" s="43"/>
      <c r="H24" s="252"/>
      <c r="I24" s="43"/>
      <c r="J24" s="252"/>
      <c r="K24" s="43"/>
      <c r="L24" s="252"/>
      <c r="M24" s="43"/>
      <c r="N24" s="252"/>
      <c r="O24" s="43"/>
      <c r="P24" s="252"/>
      <c r="Q24" s="43"/>
      <c r="R24" s="252"/>
      <c r="S24" s="43"/>
      <c r="T24" s="252"/>
      <c r="U24" s="43"/>
      <c r="V24" s="43"/>
      <c r="W24" s="263"/>
      <c r="AC24" s="44"/>
      <c r="AD24" s="44"/>
      <c r="AE24" s="44"/>
      <c r="AF24" s="44"/>
      <c r="AG24" s="44"/>
      <c r="AH24" s="44"/>
      <c r="AI24" s="44"/>
      <c r="AJ24" s="44"/>
      <c r="AK24" s="44"/>
    </row>
    <row r="25" spans="2:39" x14ac:dyDescent="0.3">
      <c r="B25" s="21" t="s">
        <v>35</v>
      </c>
      <c r="C25" s="34"/>
      <c r="D25" s="34"/>
      <c r="E25" s="35"/>
      <c r="F25" s="34"/>
      <c r="G25" s="34">
        <f>AC25-F25</f>
        <v>0</v>
      </c>
      <c r="H25" s="249"/>
      <c r="I25" s="34">
        <f>AD25-H25</f>
        <v>0</v>
      </c>
      <c r="J25" s="249"/>
      <c r="K25" s="34">
        <f>AE25-J25</f>
        <v>0</v>
      </c>
      <c r="L25" s="249"/>
      <c r="M25" s="36">
        <f>K25*(1+M26)</f>
        <v>0</v>
      </c>
      <c r="N25" s="256">
        <f>L25*(1+N26)</f>
        <v>0</v>
      </c>
      <c r="O25" s="36">
        <f>M25*(1+O26)</f>
        <v>0</v>
      </c>
      <c r="P25" s="256">
        <f>N25*(1+P26)</f>
        <v>0</v>
      </c>
      <c r="Q25" s="36">
        <f>O25*(1+Q26)</f>
        <v>0</v>
      </c>
      <c r="R25" s="256">
        <f>P25*(1+R26)</f>
        <v>0</v>
      </c>
      <c r="S25" s="36">
        <f>Q25*(1+S26)</f>
        <v>0</v>
      </c>
      <c r="T25" s="256">
        <f>R25*(1+T26)</f>
        <v>0</v>
      </c>
      <c r="U25" s="36">
        <f>S25*(1+U26)</f>
        <v>0</v>
      </c>
      <c r="V25" s="36">
        <f>T25*(1+V26)</f>
        <v>0</v>
      </c>
      <c r="W25" s="259">
        <f>U25*(1+W26)</f>
        <v>0</v>
      </c>
      <c r="AC25" s="35"/>
      <c r="AD25" s="35"/>
      <c r="AE25" s="35"/>
      <c r="AF25" s="37">
        <f>L25+M25</f>
        <v>0</v>
      </c>
      <c r="AG25" s="37">
        <f>N25+O25</f>
        <v>0</v>
      </c>
      <c r="AH25" s="37">
        <f>P25+Q25</f>
        <v>0</v>
      </c>
      <c r="AI25" s="37">
        <f>R25+S25</f>
        <v>0</v>
      </c>
      <c r="AJ25" s="37">
        <f>T25+U25</f>
        <v>0</v>
      </c>
      <c r="AK25" s="37">
        <f>V25+W25</f>
        <v>0</v>
      </c>
    </row>
    <row r="26" spans="2:39" s="19" customFormat="1" x14ac:dyDescent="0.3">
      <c r="B26" s="24" t="s">
        <v>38</v>
      </c>
      <c r="C26" s="38" t="str">
        <f>IFERROR(C25/#REF!-1, "-")</f>
        <v>-</v>
      </c>
      <c r="D26" s="38" t="str">
        <f>IFERROR(D25/#REF!-1, "-")</f>
        <v>-</v>
      </c>
      <c r="E26" s="39" t="str">
        <f>IFERROR(E25/#REF!-1, "-")</f>
        <v>-</v>
      </c>
      <c r="F26" s="38" t="e">
        <f t="shared" ref="F26:G26" si="8">F25/C31</f>
        <v>#DIV/0!</v>
      </c>
      <c r="G26" s="38" t="e">
        <f t="shared" si="8"/>
        <v>#DIV/0!</v>
      </c>
      <c r="H26" s="250" t="e">
        <f>H25/F31</f>
        <v>#DIV/0!</v>
      </c>
      <c r="I26" s="38" t="e">
        <f>I25/G31</f>
        <v>#DIV/0!</v>
      </c>
      <c r="J26" s="250">
        <f>J25/H31</f>
        <v>0</v>
      </c>
      <c r="K26" s="38" t="e">
        <f>K25/I31</f>
        <v>#DIV/0!</v>
      </c>
      <c r="L26" s="250" t="e">
        <f>L25/J31</f>
        <v>#DIV/0!</v>
      </c>
      <c r="M26" s="40"/>
      <c r="N26" s="257"/>
      <c r="O26" s="40"/>
      <c r="P26" s="257"/>
      <c r="Q26" s="40"/>
      <c r="R26" s="257"/>
      <c r="S26" s="40"/>
      <c r="T26" s="257"/>
      <c r="U26" s="40"/>
      <c r="V26" s="40"/>
      <c r="W26" s="260"/>
      <c r="Y26"/>
      <c r="AC26" s="39" t="e">
        <f>AC25/E31</f>
        <v>#DIV/0!</v>
      </c>
      <c r="AD26" s="39" t="e">
        <f>AD25/AC31</f>
        <v>#DIV/0!</v>
      </c>
      <c r="AE26" s="39" t="e">
        <f>AE25/AD31</f>
        <v>#DIV/0!</v>
      </c>
      <c r="AF26" s="39" t="e">
        <f>AF25/AE25-1</f>
        <v>#DIV/0!</v>
      </c>
      <c r="AG26" s="39" t="e">
        <f>AG25/AF25-1</f>
        <v>#DIV/0!</v>
      </c>
      <c r="AH26" s="39" t="e">
        <f>AH25/AG25-1</f>
        <v>#DIV/0!</v>
      </c>
      <c r="AI26" s="39" t="e">
        <f>AI25/AH25-1</f>
        <v>#DIV/0!</v>
      </c>
      <c r="AJ26" s="39" t="e">
        <f>AJ25/AI25-1</f>
        <v>#DIV/0!</v>
      </c>
      <c r="AK26" s="39" t="e">
        <f>AK25/AJ25-1</f>
        <v>#DIV/0!</v>
      </c>
      <c r="AM26"/>
    </row>
    <row r="27" spans="2:39" x14ac:dyDescent="0.3">
      <c r="B27" s="21" t="s">
        <v>36</v>
      </c>
      <c r="C27" s="34"/>
      <c r="D27" s="34"/>
      <c r="E27" s="35"/>
      <c r="F27" s="34"/>
      <c r="G27" s="34">
        <f>AC27-F27</f>
        <v>0</v>
      </c>
      <c r="H27" s="249"/>
      <c r="I27" s="34">
        <f>AD27-H27</f>
        <v>0</v>
      </c>
      <c r="J27" s="249"/>
      <c r="K27" s="34">
        <f>AE27-J27</f>
        <v>0</v>
      </c>
      <c r="L27" s="249"/>
      <c r="M27" s="36">
        <f>K27*(1+M28)</f>
        <v>0</v>
      </c>
      <c r="N27" s="256">
        <f>L27*(1+N28)</f>
        <v>0</v>
      </c>
      <c r="O27" s="36">
        <f>M27*(1+O28)</f>
        <v>0</v>
      </c>
      <c r="P27" s="256">
        <f>N27*(1+P28)</f>
        <v>0</v>
      </c>
      <c r="Q27" s="36">
        <f>O27*(1+Q28)</f>
        <v>0</v>
      </c>
      <c r="R27" s="256">
        <f>P27*(1+R28)</f>
        <v>0</v>
      </c>
      <c r="S27" s="36">
        <f>Q27*(1+S28)</f>
        <v>0</v>
      </c>
      <c r="T27" s="256">
        <f>R27*(1+T28)</f>
        <v>0</v>
      </c>
      <c r="U27" s="36">
        <f>S27*(1+U28)</f>
        <v>0</v>
      </c>
      <c r="V27" s="36">
        <f>T27*(1+V28)</f>
        <v>0</v>
      </c>
      <c r="W27" s="259">
        <f>U27*(1+W28)</f>
        <v>0</v>
      </c>
      <c r="AC27" s="35"/>
      <c r="AD27" s="35"/>
      <c r="AE27" s="35"/>
      <c r="AF27" s="37">
        <f>L27+M27</f>
        <v>0</v>
      </c>
      <c r="AG27" s="37">
        <f>N27+O27</f>
        <v>0</v>
      </c>
      <c r="AH27" s="37">
        <f>P27+Q27</f>
        <v>0</v>
      </c>
      <c r="AI27" s="37">
        <f>R27+S27</f>
        <v>0</v>
      </c>
      <c r="AJ27" s="37">
        <f>T27+U27</f>
        <v>0</v>
      </c>
      <c r="AK27" s="37">
        <f>V27+W27</f>
        <v>0</v>
      </c>
    </row>
    <row r="28" spans="2:39" s="19" customFormat="1" x14ac:dyDescent="0.3">
      <c r="B28" s="24" t="s">
        <v>39</v>
      </c>
      <c r="C28" s="38" t="str">
        <f>IFERROR(C27/#REF!-1, "-")</f>
        <v>-</v>
      </c>
      <c r="D28" s="38" t="str">
        <f>IFERROR(D27/#REF!-1, "-")</f>
        <v>-</v>
      </c>
      <c r="E28" s="39" t="str">
        <f>IFERROR(E27/#REF!-1, "-")</f>
        <v>-</v>
      </c>
      <c r="F28" s="38" t="e">
        <f t="shared" ref="F28:G28" si="9">F27/C31</f>
        <v>#DIV/0!</v>
      </c>
      <c r="G28" s="38" t="e">
        <f t="shared" si="9"/>
        <v>#DIV/0!</v>
      </c>
      <c r="H28" s="250" t="e">
        <f>H27/F31</f>
        <v>#DIV/0!</v>
      </c>
      <c r="I28" s="38" t="e">
        <f>I27/G31</f>
        <v>#DIV/0!</v>
      </c>
      <c r="J28" s="250">
        <f>J27/H31</f>
        <v>0</v>
      </c>
      <c r="K28" s="38" t="e">
        <f>K27/I31</f>
        <v>#DIV/0!</v>
      </c>
      <c r="L28" s="250" t="e">
        <f>L27/J31</f>
        <v>#DIV/0!</v>
      </c>
      <c r="M28" s="40"/>
      <c r="N28" s="257"/>
      <c r="O28" s="40"/>
      <c r="P28" s="257"/>
      <c r="Q28" s="40"/>
      <c r="R28" s="257"/>
      <c r="S28" s="40"/>
      <c r="T28" s="257"/>
      <c r="U28" s="40"/>
      <c r="V28" s="40"/>
      <c r="W28" s="260"/>
      <c r="Y28"/>
      <c r="AC28" s="39" t="e">
        <f>AC27/E31</f>
        <v>#DIV/0!</v>
      </c>
      <c r="AD28" s="39" t="e">
        <f>AD27/AC31</f>
        <v>#DIV/0!</v>
      </c>
      <c r="AE28" s="39" t="e">
        <f>AE27/AD31</f>
        <v>#DIV/0!</v>
      </c>
      <c r="AF28" s="39" t="e">
        <f>AF27/AE27-1</f>
        <v>#DIV/0!</v>
      </c>
      <c r="AG28" s="39" t="e">
        <f>AG27/AF27-1</f>
        <v>#DIV/0!</v>
      </c>
      <c r="AH28" s="39" t="e">
        <f>AH27/AG27-1</f>
        <v>#DIV/0!</v>
      </c>
      <c r="AI28" s="39" t="e">
        <f>AI27/AH27-1</f>
        <v>#DIV/0!</v>
      </c>
      <c r="AJ28" s="39" t="e">
        <f>AJ27/AI27-1</f>
        <v>#DIV/0!</v>
      </c>
      <c r="AK28" s="39" t="e">
        <f>AK27/AJ27-1</f>
        <v>#DIV/0!</v>
      </c>
      <c r="AM28"/>
    </row>
    <row r="29" spans="2:39" x14ac:dyDescent="0.3">
      <c r="B29" s="21" t="s">
        <v>37</v>
      </c>
      <c r="C29" s="34"/>
      <c r="D29" s="34"/>
      <c r="E29" s="35"/>
      <c r="F29" s="34"/>
      <c r="G29" s="34">
        <f>AC29-F29</f>
        <v>0</v>
      </c>
      <c r="H29" s="249"/>
      <c r="I29" s="34">
        <f>AD29-H29</f>
        <v>0</v>
      </c>
      <c r="J29" s="249"/>
      <c r="K29" s="34">
        <f>AE29-J29</f>
        <v>0</v>
      </c>
      <c r="L29" s="249"/>
      <c r="M29" s="36">
        <f>K29*(1+M30)</f>
        <v>0</v>
      </c>
      <c r="N29" s="256">
        <f>L29*(1+N30)</f>
        <v>0</v>
      </c>
      <c r="O29" s="36">
        <f>M29*(1+O30)</f>
        <v>0</v>
      </c>
      <c r="P29" s="256">
        <f>N29*(1+P30)</f>
        <v>0</v>
      </c>
      <c r="Q29" s="36">
        <f>O29*(1+Q30)</f>
        <v>0</v>
      </c>
      <c r="R29" s="256">
        <f>P29*(1+R30)</f>
        <v>0</v>
      </c>
      <c r="S29" s="36">
        <f>Q29*(1+S30)</f>
        <v>0</v>
      </c>
      <c r="T29" s="256">
        <f>R29*(1+T30)</f>
        <v>0</v>
      </c>
      <c r="U29" s="36">
        <f>S29*(1+U30)</f>
        <v>0</v>
      </c>
      <c r="V29" s="36">
        <f>T29*(1+V30)</f>
        <v>0</v>
      </c>
      <c r="W29" s="259">
        <f>U29*(1+W30)</f>
        <v>0</v>
      </c>
      <c r="AC29" s="35"/>
      <c r="AD29" s="35"/>
      <c r="AE29" s="35"/>
      <c r="AF29" s="37">
        <f>L29+M29</f>
        <v>0</v>
      </c>
      <c r="AG29" s="37">
        <f>N29+O29</f>
        <v>0</v>
      </c>
      <c r="AH29" s="37">
        <f>P29+Q29</f>
        <v>0</v>
      </c>
      <c r="AI29" s="37">
        <f>R29+S29</f>
        <v>0</v>
      </c>
      <c r="AJ29" s="37">
        <f>T29+U29</f>
        <v>0</v>
      </c>
      <c r="AK29" s="37">
        <f>V29+W29</f>
        <v>0</v>
      </c>
    </row>
    <row r="30" spans="2:39" s="19" customFormat="1" x14ac:dyDescent="0.3">
      <c r="B30" s="24" t="s">
        <v>40</v>
      </c>
      <c r="C30" s="38" t="str">
        <f>IFERROR(C29/#REF!-1, "-")</f>
        <v>-</v>
      </c>
      <c r="D30" s="38" t="str">
        <f>IFERROR(D29/#REF!-1, "-")</f>
        <v>-</v>
      </c>
      <c r="E30" s="39" t="str">
        <f>IFERROR(E29/#REF!-1, "-")</f>
        <v>-</v>
      </c>
      <c r="F30" s="38" t="e">
        <f t="shared" ref="F30:G30" si="10">F29/C31</f>
        <v>#DIV/0!</v>
      </c>
      <c r="G30" s="38" t="e">
        <f t="shared" si="10"/>
        <v>#DIV/0!</v>
      </c>
      <c r="H30" s="250" t="e">
        <f>H29/F31</f>
        <v>#DIV/0!</v>
      </c>
      <c r="I30" s="38" t="e">
        <f>I29/G31</f>
        <v>#DIV/0!</v>
      </c>
      <c r="J30" s="250">
        <f>J29/H31</f>
        <v>0</v>
      </c>
      <c r="K30" s="38" t="e">
        <f>K29/I31</f>
        <v>#DIV/0!</v>
      </c>
      <c r="L30" s="250" t="e">
        <f>L29/J31</f>
        <v>#DIV/0!</v>
      </c>
      <c r="M30" s="40"/>
      <c r="N30" s="257"/>
      <c r="O30" s="40"/>
      <c r="P30" s="257"/>
      <c r="Q30" s="40"/>
      <c r="R30" s="257"/>
      <c r="S30" s="40"/>
      <c r="T30" s="257"/>
      <c r="U30" s="40"/>
      <c r="V30" s="40"/>
      <c r="W30" s="260"/>
      <c r="Y30"/>
      <c r="AC30" s="39" t="e">
        <f>AC29/E31</f>
        <v>#DIV/0!</v>
      </c>
      <c r="AD30" s="39" t="e">
        <f>AD29/AC31</f>
        <v>#DIV/0!</v>
      </c>
      <c r="AE30" s="39" t="e">
        <f>AE29/AD31</f>
        <v>#DIV/0!</v>
      </c>
      <c r="AF30" s="39" t="e">
        <f>AF29/AE29-1</f>
        <v>#DIV/0!</v>
      </c>
      <c r="AG30" s="39" t="e">
        <f>AG29/AF29-1</f>
        <v>#DIV/0!</v>
      </c>
      <c r="AH30" s="39" t="e">
        <f>AH29/AG29-1</f>
        <v>#DIV/0!</v>
      </c>
      <c r="AI30" s="39" t="e">
        <f>AI29/AH29-1</f>
        <v>#DIV/0!</v>
      </c>
      <c r="AJ30" s="39" t="e">
        <f>AJ29/AI29-1</f>
        <v>#DIV/0!</v>
      </c>
      <c r="AK30" s="39" t="e">
        <f>AK29/AJ29-1</f>
        <v>#DIV/0!</v>
      </c>
      <c r="AM30"/>
    </row>
    <row r="31" spans="2:39" x14ac:dyDescent="0.3">
      <c r="B31" s="23" t="s">
        <v>215</v>
      </c>
      <c r="C31" s="41"/>
      <c r="D31" s="41">
        <f>E31-C31</f>
        <v>0</v>
      </c>
      <c r="E31" s="42"/>
      <c r="F31" s="41">
        <f>C31+F25+F27+F29</f>
        <v>0</v>
      </c>
      <c r="G31" s="41">
        <f>D31+G25+G27+G29</f>
        <v>0</v>
      </c>
      <c r="H31" s="251">
        <f>F31+H25+H27+H29+1</f>
        <v>1</v>
      </c>
      <c r="I31" s="41">
        <f>G31+I25+I27+I29</f>
        <v>0</v>
      </c>
      <c r="J31" s="251">
        <f>H31+J25+J27+J29-1</f>
        <v>0</v>
      </c>
      <c r="K31" s="41">
        <f>I31+K25+K27+K29</f>
        <v>0</v>
      </c>
      <c r="L31" s="251">
        <f>J31+L25+L27+L29-1</f>
        <v>-1</v>
      </c>
      <c r="M31" s="41">
        <f>K31+M25+M27+M29</f>
        <v>0</v>
      </c>
      <c r="N31" s="251">
        <f>L31+N25+N27+N29</f>
        <v>-1</v>
      </c>
      <c r="O31" s="41">
        <f>M31+O25+O27+O29</f>
        <v>0</v>
      </c>
      <c r="P31" s="251">
        <f>N31+P25+P27+P29</f>
        <v>-1</v>
      </c>
      <c r="Q31" s="41">
        <f>O31+Q25+Q27+Q29</f>
        <v>0</v>
      </c>
      <c r="R31" s="251">
        <f>P31+R25+R27+R29</f>
        <v>-1</v>
      </c>
      <c r="S31" s="41">
        <f>Q31+S25+S27+S29</f>
        <v>0</v>
      </c>
      <c r="T31" s="251">
        <f>R31+T25+T27+T29</f>
        <v>-1</v>
      </c>
      <c r="U31" s="41">
        <f>S31+U25+U27+U29</f>
        <v>0</v>
      </c>
      <c r="V31" s="41">
        <f>T31+V25+V27+V29</f>
        <v>-1</v>
      </c>
      <c r="W31" s="261">
        <f>U31+W25+W27+W29</f>
        <v>0</v>
      </c>
      <c r="AC31" s="42">
        <f>E31+AC25+AC27+AC29</f>
        <v>0</v>
      </c>
      <c r="AD31" s="42">
        <f>AC31+AD25+AD27+AD29</f>
        <v>0</v>
      </c>
      <c r="AE31" s="42">
        <f>AD31+AE25+AE27+AE29</f>
        <v>0</v>
      </c>
      <c r="AF31" s="42">
        <f>AE31+AF25+AF27+AF29</f>
        <v>0</v>
      </c>
      <c r="AG31" s="42">
        <f>AF31+AG25+AG27+AG29</f>
        <v>0</v>
      </c>
      <c r="AH31" s="42">
        <f>AG31+AH25+AH27+AH29</f>
        <v>0</v>
      </c>
      <c r="AI31" s="42">
        <f>AH31+AI25+AI27+AI29</f>
        <v>0</v>
      </c>
      <c r="AJ31" s="42">
        <f>AI31+AJ25+AJ27+AJ29</f>
        <v>0</v>
      </c>
      <c r="AK31" s="42">
        <f>AJ31+AK25+AK27+AK29</f>
        <v>0</v>
      </c>
    </row>
    <row r="32" spans="2:39" s="19" customFormat="1" x14ac:dyDescent="0.3">
      <c r="B32" s="24" t="s">
        <v>42</v>
      </c>
      <c r="C32" s="38" t="str">
        <f>IFERROR(C31/#REF!-1, "-")</f>
        <v>-</v>
      </c>
      <c r="D32" s="38" t="str">
        <f>IFERROR(D31/#REF!-1, "-")</f>
        <v>-</v>
      </c>
      <c r="E32" s="39" t="str">
        <f>IFERROR(E31/#REF!-1, "-")</f>
        <v>-</v>
      </c>
      <c r="F32" s="38" t="str">
        <f t="shared" ref="F32:G32" si="11">IFERROR(F31/C31-1, "-")</f>
        <v>-</v>
      </c>
      <c r="G32" s="38" t="str">
        <f t="shared" si="11"/>
        <v>-</v>
      </c>
      <c r="H32" s="250" t="str">
        <f>IFERROR(H31/F31-1, "-")</f>
        <v>-</v>
      </c>
      <c r="I32" s="38" t="str">
        <f>IFERROR(I31/G31-1, "-")</f>
        <v>-</v>
      </c>
      <c r="J32" s="250">
        <f>IFERROR(J31/H31-1, "-")</f>
        <v>-1</v>
      </c>
      <c r="K32" s="38" t="str">
        <f>IFERROR(K31/I31-1, "-")</f>
        <v>-</v>
      </c>
      <c r="L32" s="250" t="str">
        <f>IFERROR(L31/J31-1, "-")</f>
        <v>-</v>
      </c>
      <c r="M32" s="38" t="str">
        <f>IFERROR(M31/K31-1, "-")</f>
        <v>-</v>
      </c>
      <c r="N32" s="250">
        <f>IFERROR(N31/L31-1, "-")</f>
        <v>0</v>
      </c>
      <c r="O32" s="38" t="str">
        <f>IFERROR(O31/M31-1, "-")</f>
        <v>-</v>
      </c>
      <c r="P32" s="250">
        <f>IFERROR(P31/N31-1, "-")</f>
        <v>0</v>
      </c>
      <c r="Q32" s="38" t="str">
        <f>IFERROR(Q31/O31-1, "-")</f>
        <v>-</v>
      </c>
      <c r="R32" s="250">
        <f>IFERROR(R31/P31-1, "-")</f>
        <v>0</v>
      </c>
      <c r="S32" s="38" t="str">
        <f>IFERROR(S31/Q31-1, "-")</f>
        <v>-</v>
      </c>
      <c r="T32" s="250">
        <f>IFERROR(T31/R31-1, "-")</f>
        <v>0</v>
      </c>
      <c r="U32" s="38" t="str">
        <f>IFERROR(U31/S31-1, "-")</f>
        <v>-</v>
      </c>
      <c r="V32" s="38">
        <f>IFERROR(V31/T31-1, "-")</f>
        <v>0</v>
      </c>
      <c r="W32" s="262" t="str">
        <f>IFERROR(W31/U31-1, "-")</f>
        <v>-</v>
      </c>
      <c r="Y32"/>
      <c r="AC32" s="39" t="str">
        <f>IFERROR(AC31/E31-1, "-")</f>
        <v>-</v>
      </c>
      <c r="AD32" s="39" t="str">
        <f>IFERROR(AD31/AC31-1, "-")</f>
        <v>-</v>
      </c>
      <c r="AE32" s="39" t="str">
        <f>IFERROR(AE31/AD31-1, "-")</f>
        <v>-</v>
      </c>
      <c r="AF32" s="39" t="str">
        <f>IFERROR(AF31/AE31-1, "-")</f>
        <v>-</v>
      </c>
      <c r="AG32" s="39" t="str">
        <f>IFERROR(AG31/AF31-1, "-")</f>
        <v>-</v>
      </c>
      <c r="AH32" s="39" t="str">
        <f>IFERROR(AH31/AG31-1, "-")</f>
        <v>-</v>
      </c>
      <c r="AI32" s="39" t="str">
        <f>IFERROR(AI31/AH31-1, "-")</f>
        <v>-</v>
      </c>
      <c r="AJ32" s="39" t="str">
        <f>IFERROR(AJ31/AI31-1, "-")</f>
        <v>-</v>
      </c>
      <c r="AK32" s="39" t="str">
        <f>IFERROR(AK31/AJ31-1, "-")</f>
        <v>-</v>
      </c>
      <c r="AM32"/>
    </row>
    <row r="33" spans="2:39" x14ac:dyDescent="0.3">
      <c r="B33" s="26"/>
      <c r="C33" s="43"/>
      <c r="D33" s="43"/>
      <c r="E33" s="44"/>
      <c r="F33" s="43"/>
      <c r="G33" s="43"/>
      <c r="H33" s="252"/>
      <c r="I33" s="43"/>
      <c r="J33" s="252"/>
      <c r="K33" s="43"/>
      <c r="L33" s="252"/>
      <c r="M33" s="43"/>
      <c r="N33" s="252"/>
      <c r="O33" s="43"/>
      <c r="P33" s="252"/>
      <c r="Q33" s="43"/>
      <c r="R33" s="252"/>
      <c r="S33" s="43"/>
      <c r="T33" s="252"/>
      <c r="U33" s="43"/>
      <c r="V33" s="43"/>
      <c r="W33" s="263"/>
      <c r="AC33" s="44"/>
      <c r="AD33" s="44"/>
      <c r="AE33" s="44"/>
      <c r="AF33" s="44"/>
      <c r="AG33" s="44"/>
      <c r="AH33" s="44"/>
      <c r="AI33" s="44"/>
      <c r="AJ33" s="44"/>
      <c r="AK33" s="45"/>
    </row>
    <row r="34" spans="2:39" x14ac:dyDescent="0.3">
      <c r="B34" s="23" t="s">
        <v>43</v>
      </c>
      <c r="C34" s="43"/>
      <c r="D34" s="43"/>
      <c r="E34" s="44"/>
      <c r="F34" s="43"/>
      <c r="G34" s="43"/>
      <c r="H34" s="252"/>
      <c r="I34" s="43"/>
      <c r="J34" s="252"/>
      <c r="K34" s="43"/>
      <c r="L34" s="252"/>
      <c r="M34" s="43"/>
      <c r="N34" s="252"/>
      <c r="O34" s="43"/>
      <c r="P34" s="252"/>
      <c r="Q34" s="43"/>
      <c r="R34" s="252"/>
      <c r="S34" s="43"/>
      <c r="T34" s="252"/>
      <c r="U34" s="43"/>
      <c r="V34" s="43"/>
      <c r="W34" s="263"/>
      <c r="AC34" s="44"/>
      <c r="AD34" s="44"/>
      <c r="AE34" s="44"/>
      <c r="AF34" s="44"/>
      <c r="AG34" s="44"/>
      <c r="AH34" s="44"/>
      <c r="AI34" s="44"/>
      <c r="AJ34" s="44"/>
      <c r="AK34" s="45"/>
    </row>
    <row r="35" spans="2:39" x14ac:dyDescent="0.3">
      <c r="B35" s="21" t="s">
        <v>35</v>
      </c>
      <c r="C35" s="41"/>
      <c r="D35" s="41"/>
      <c r="E35" s="42"/>
      <c r="F35" s="41">
        <f>F5+F15+F25</f>
        <v>0</v>
      </c>
      <c r="G35" s="34">
        <f>AC35-F35</f>
        <v>0</v>
      </c>
      <c r="H35" s="251">
        <f>H5+H15+H25</f>
        <v>0</v>
      </c>
      <c r="I35" s="34">
        <f>AD35-H35</f>
        <v>0</v>
      </c>
      <c r="J35" s="251">
        <f>J5+J15+J25</f>
        <v>0</v>
      </c>
      <c r="K35" s="34">
        <f>AE35-J35</f>
        <v>0</v>
      </c>
      <c r="L35" s="251">
        <f>L5+L15+L25</f>
        <v>0</v>
      </c>
      <c r="M35" s="34">
        <f>AF35-L35</f>
        <v>0</v>
      </c>
      <c r="N35" s="251">
        <f>N5+N15+N25</f>
        <v>0</v>
      </c>
      <c r="O35" s="34">
        <f>AG35-N35</f>
        <v>0</v>
      </c>
      <c r="P35" s="251">
        <f>P5+P15+P25</f>
        <v>0</v>
      </c>
      <c r="Q35" s="34">
        <f>AH35-P35</f>
        <v>0</v>
      </c>
      <c r="R35" s="251">
        <f>R5+R15+R25</f>
        <v>0</v>
      </c>
      <c r="S35" s="34">
        <f>AI35-R35</f>
        <v>0</v>
      </c>
      <c r="T35" s="251">
        <f>T5+T15+T25</f>
        <v>0</v>
      </c>
      <c r="U35" s="34">
        <f>AJ35-T35</f>
        <v>0</v>
      </c>
      <c r="V35" s="41">
        <f>V5+V15+V25</f>
        <v>0</v>
      </c>
      <c r="W35" s="264">
        <f>AK35-V35</f>
        <v>0</v>
      </c>
      <c r="AC35" s="42">
        <f>AC5+AC15+AC25</f>
        <v>0</v>
      </c>
      <c r="AD35" s="42">
        <f>AD5+AD15+AD25</f>
        <v>0</v>
      </c>
      <c r="AE35" s="42">
        <f>AE5+AE15+AE25</f>
        <v>0</v>
      </c>
      <c r="AF35" s="42">
        <f>AF5+AF15+AF25</f>
        <v>0</v>
      </c>
      <c r="AG35" s="42">
        <f>AG5+AG15+AG25</f>
        <v>0</v>
      </c>
      <c r="AH35" s="42">
        <f>AH5+AH15+AH25</f>
        <v>0</v>
      </c>
      <c r="AI35" s="42">
        <f>AI5+AI15+AI25</f>
        <v>0</v>
      </c>
      <c r="AJ35" s="42">
        <f>AJ5+AJ15+AJ25</f>
        <v>0</v>
      </c>
      <c r="AK35" s="42">
        <f>AK5+AK15+AK25</f>
        <v>0</v>
      </c>
    </row>
    <row r="36" spans="2:39" x14ac:dyDescent="0.3">
      <c r="B36" s="24" t="s">
        <v>38</v>
      </c>
      <c r="C36" s="41"/>
      <c r="D36" s="41"/>
      <c r="E36" s="42"/>
      <c r="F36" s="207" t="e">
        <f t="shared" ref="F36:G36" si="12">F35/C41</f>
        <v>#DIV/0!</v>
      </c>
      <c r="G36" s="207" t="e">
        <f t="shared" si="12"/>
        <v>#DIV/0!</v>
      </c>
      <c r="H36" s="253" t="e">
        <f>H35/F41</f>
        <v>#DIV/0!</v>
      </c>
      <c r="I36" s="207" t="e">
        <f>I35/G41</f>
        <v>#DIV/0!</v>
      </c>
      <c r="J36" s="253" t="e">
        <f>J35/H41</f>
        <v>#DIV/0!</v>
      </c>
      <c r="K36" s="207" t="e">
        <f>K35/I41</f>
        <v>#DIV/0!</v>
      </c>
      <c r="L36" s="253" t="e">
        <f>L35/J41</f>
        <v>#DIV/0!</v>
      </c>
      <c r="M36" s="207" t="e">
        <f>M35/K41</f>
        <v>#DIV/0!</v>
      </c>
      <c r="N36" s="253" t="e">
        <f>N35/L41</f>
        <v>#DIV/0!</v>
      </c>
      <c r="O36" s="207" t="e">
        <f>O35/M41</f>
        <v>#DIV/0!</v>
      </c>
      <c r="P36" s="253" t="e">
        <f>P35/N41</f>
        <v>#DIV/0!</v>
      </c>
      <c r="Q36" s="207" t="e">
        <f>Q35/O41</f>
        <v>#DIV/0!</v>
      </c>
      <c r="R36" s="253" t="e">
        <f>R35/P41</f>
        <v>#DIV/0!</v>
      </c>
      <c r="S36" s="207" t="e">
        <f>S35/Q41</f>
        <v>#DIV/0!</v>
      </c>
      <c r="T36" s="253" t="e">
        <f>T35/R41</f>
        <v>#DIV/0!</v>
      </c>
      <c r="U36" s="207" t="e">
        <f>U35/S41</f>
        <v>#DIV/0!</v>
      </c>
      <c r="V36" s="207" t="e">
        <f>V35/T41</f>
        <v>#DIV/0!</v>
      </c>
      <c r="W36" s="265" t="e">
        <f>W35/U41</f>
        <v>#DIV/0!</v>
      </c>
      <c r="AC36" s="208" t="e">
        <f>AC35/E41</f>
        <v>#DIV/0!</v>
      </c>
      <c r="AD36" s="208" t="e">
        <f>AD35/AC41</f>
        <v>#DIV/0!</v>
      </c>
      <c r="AE36" s="208" t="e">
        <f>AE35/AD41</f>
        <v>#DIV/0!</v>
      </c>
      <c r="AF36" s="208" t="e">
        <f>AF35/AE41</f>
        <v>#DIV/0!</v>
      </c>
      <c r="AG36" s="208" t="e">
        <f>AG35/AF41</f>
        <v>#DIV/0!</v>
      </c>
      <c r="AH36" s="208" t="e">
        <f>AH35/AG41</f>
        <v>#DIV/0!</v>
      </c>
      <c r="AI36" s="208" t="e">
        <f>AI35/AH41</f>
        <v>#DIV/0!</v>
      </c>
      <c r="AJ36" s="208" t="e">
        <f>AJ35/AI41</f>
        <v>#DIV/0!</v>
      </c>
      <c r="AK36" s="208" t="e">
        <f>AK35/AJ41</f>
        <v>#DIV/0!</v>
      </c>
    </row>
    <row r="37" spans="2:39" x14ac:dyDescent="0.3">
      <c r="B37" s="21" t="s">
        <v>36</v>
      </c>
      <c r="C37" s="41"/>
      <c r="D37" s="41"/>
      <c r="E37" s="42"/>
      <c r="F37" s="41">
        <f>F7+F17+F27</f>
        <v>0</v>
      </c>
      <c r="G37" s="34">
        <f>AC37-F37</f>
        <v>0</v>
      </c>
      <c r="H37" s="251">
        <f>H7+H17+H27</f>
        <v>0</v>
      </c>
      <c r="I37" s="34">
        <f>AD37-H37</f>
        <v>0</v>
      </c>
      <c r="J37" s="251">
        <f>J7+J17+J27</f>
        <v>0</v>
      </c>
      <c r="K37" s="34">
        <f>AE37-J37</f>
        <v>0</v>
      </c>
      <c r="L37" s="251">
        <f>L7+L17+L27</f>
        <v>0</v>
      </c>
      <c r="M37" s="34">
        <f>AF37-L37</f>
        <v>0</v>
      </c>
      <c r="N37" s="251">
        <f>N7+N17+N27</f>
        <v>0</v>
      </c>
      <c r="O37" s="34">
        <f>AG37-N37</f>
        <v>0</v>
      </c>
      <c r="P37" s="251">
        <f>P7+P17+P27</f>
        <v>0</v>
      </c>
      <c r="Q37" s="34">
        <f>AH37-P37</f>
        <v>0</v>
      </c>
      <c r="R37" s="251">
        <f>R7+R17+R27</f>
        <v>0</v>
      </c>
      <c r="S37" s="34">
        <f>AI37-R37</f>
        <v>0</v>
      </c>
      <c r="T37" s="251">
        <f>T7+T17+T27</f>
        <v>0</v>
      </c>
      <c r="U37" s="34">
        <f>AJ37-T37</f>
        <v>0</v>
      </c>
      <c r="V37" s="41">
        <f>V7+V17+V27</f>
        <v>0</v>
      </c>
      <c r="W37" s="264">
        <f>AK37-V37</f>
        <v>0</v>
      </c>
      <c r="AC37" s="42">
        <f>AC7+AC17+AC27</f>
        <v>0</v>
      </c>
      <c r="AD37" s="42">
        <f>AD7+AD17+AD27</f>
        <v>0</v>
      </c>
      <c r="AE37" s="42">
        <f>AE7+AE17+AE27</f>
        <v>0</v>
      </c>
      <c r="AF37" s="42">
        <f>AF7+AF17+AF27</f>
        <v>0</v>
      </c>
      <c r="AG37" s="42">
        <f>AG7+AG17+AG27</f>
        <v>0</v>
      </c>
      <c r="AH37" s="42">
        <f>AH7+AH17+AH27</f>
        <v>0</v>
      </c>
      <c r="AI37" s="42">
        <f>AI7+AI17+AI27</f>
        <v>0</v>
      </c>
      <c r="AJ37" s="42">
        <f>AJ7+AJ17+AJ27</f>
        <v>0</v>
      </c>
      <c r="AK37" s="42">
        <f>AK7+AK17+AK27</f>
        <v>0</v>
      </c>
    </row>
    <row r="38" spans="2:39" x14ac:dyDescent="0.3">
      <c r="B38" s="24" t="s">
        <v>39</v>
      </c>
      <c r="C38" s="41"/>
      <c r="D38" s="41"/>
      <c r="E38" s="42"/>
      <c r="F38" s="207" t="e">
        <f t="shared" ref="F38:G38" si="13">F37/C41</f>
        <v>#DIV/0!</v>
      </c>
      <c r="G38" s="207" t="e">
        <f t="shared" si="13"/>
        <v>#DIV/0!</v>
      </c>
      <c r="H38" s="253" t="e">
        <f>H37/F41</f>
        <v>#DIV/0!</v>
      </c>
      <c r="I38" s="207" t="e">
        <f>I37/G41</f>
        <v>#DIV/0!</v>
      </c>
      <c r="J38" s="253" t="e">
        <f>J37/H41</f>
        <v>#DIV/0!</v>
      </c>
      <c r="K38" s="207" t="e">
        <f>K37/I41</f>
        <v>#DIV/0!</v>
      </c>
      <c r="L38" s="253" t="e">
        <f>L37/J41</f>
        <v>#DIV/0!</v>
      </c>
      <c r="M38" s="207" t="e">
        <f>M37/K41</f>
        <v>#DIV/0!</v>
      </c>
      <c r="N38" s="253" t="e">
        <f>N37/L41</f>
        <v>#DIV/0!</v>
      </c>
      <c r="O38" s="207" t="e">
        <f>O37/M41</f>
        <v>#DIV/0!</v>
      </c>
      <c r="P38" s="253" t="e">
        <f>P37/N41</f>
        <v>#DIV/0!</v>
      </c>
      <c r="Q38" s="207" t="e">
        <f>Q37/O41</f>
        <v>#DIV/0!</v>
      </c>
      <c r="R38" s="253" t="e">
        <f>R37/P41</f>
        <v>#DIV/0!</v>
      </c>
      <c r="S38" s="207" t="e">
        <f>S37/Q41</f>
        <v>#DIV/0!</v>
      </c>
      <c r="T38" s="253" t="e">
        <f>T37/R41</f>
        <v>#DIV/0!</v>
      </c>
      <c r="U38" s="207" t="e">
        <f>U37/S41</f>
        <v>#DIV/0!</v>
      </c>
      <c r="V38" s="207" t="e">
        <f>V37/T41</f>
        <v>#DIV/0!</v>
      </c>
      <c r="W38" s="265" t="e">
        <f>W37/U41</f>
        <v>#DIV/0!</v>
      </c>
      <c r="AC38" s="208" t="e">
        <f>AC37/E41</f>
        <v>#DIV/0!</v>
      </c>
      <c r="AD38" s="208" t="e">
        <f>AD37/AC41</f>
        <v>#DIV/0!</v>
      </c>
      <c r="AE38" s="208" t="e">
        <f>AE37/AD41</f>
        <v>#DIV/0!</v>
      </c>
      <c r="AF38" s="208" t="e">
        <f>AF37/AE41</f>
        <v>#DIV/0!</v>
      </c>
      <c r="AG38" s="208" t="e">
        <f>AG37/AF41</f>
        <v>#DIV/0!</v>
      </c>
      <c r="AH38" s="208" t="e">
        <f>AH37/AG41</f>
        <v>#DIV/0!</v>
      </c>
      <c r="AI38" s="208" t="e">
        <f>AI37/AH41</f>
        <v>#DIV/0!</v>
      </c>
      <c r="AJ38" s="208" t="e">
        <f>AJ37/AI41</f>
        <v>#DIV/0!</v>
      </c>
      <c r="AK38" s="208" t="e">
        <f>AK37/AJ41</f>
        <v>#DIV/0!</v>
      </c>
    </row>
    <row r="39" spans="2:39" x14ac:dyDescent="0.3">
      <c r="B39" s="21" t="s">
        <v>37</v>
      </c>
      <c r="C39" s="41"/>
      <c r="D39" s="41"/>
      <c r="E39" s="42"/>
      <c r="F39" s="41">
        <f>F9+F19+F29</f>
        <v>0</v>
      </c>
      <c r="G39" s="34">
        <f>AC39-F39</f>
        <v>0</v>
      </c>
      <c r="H39" s="251">
        <f>H9+H19+H29</f>
        <v>0</v>
      </c>
      <c r="I39" s="34">
        <f>AD39-H39</f>
        <v>0</v>
      </c>
      <c r="J39" s="251">
        <f>J9+J19+J29</f>
        <v>0</v>
      </c>
      <c r="K39" s="34">
        <f>AE39-J39</f>
        <v>0</v>
      </c>
      <c r="L39" s="251">
        <f>L9+L19+L29</f>
        <v>0</v>
      </c>
      <c r="M39" s="34">
        <f>AF39-L39</f>
        <v>0</v>
      </c>
      <c r="N39" s="251">
        <f>N9+N19+N29</f>
        <v>0</v>
      </c>
      <c r="O39" s="34">
        <f>AG39-N39</f>
        <v>0</v>
      </c>
      <c r="P39" s="251">
        <f>P9+P19+P29</f>
        <v>0</v>
      </c>
      <c r="Q39" s="34">
        <f>AH39-P39</f>
        <v>0</v>
      </c>
      <c r="R39" s="251">
        <f>R9+R19+R29</f>
        <v>0</v>
      </c>
      <c r="S39" s="34">
        <f>AI39-R39</f>
        <v>0</v>
      </c>
      <c r="T39" s="251">
        <f>T9+T19+T29</f>
        <v>0</v>
      </c>
      <c r="U39" s="34">
        <f>AJ39-T39</f>
        <v>0</v>
      </c>
      <c r="V39" s="41">
        <f>V9+V19+V29</f>
        <v>0</v>
      </c>
      <c r="W39" s="264">
        <f>AK39-V39</f>
        <v>0</v>
      </c>
      <c r="AC39" s="42">
        <f>AC9+AC19+AC29</f>
        <v>0</v>
      </c>
      <c r="AD39" s="42">
        <f>AD9+AD19+AD29</f>
        <v>0</v>
      </c>
      <c r="AE39" s="42">
        <f>AE9+AE19+AE29</f>
        <v>0</v>
      </c>
      <c r="AF39" s="42">
        <f>AF9+AF19+AF29</f>
        <v>0</v>
      </c>
      <c r="AG39" s="42">
        <f>AG9+AG19+AG29</f>
        <v>0</v>
      </c>
      <c r="AH39" s="42">
        <f>AH9+AH19+AH29</f>
        <v>0</v>
      </c>
      <c r="AI39" s="42">
        <f>AI9+AI19+AI29</f>
        <v>0</v>
      </c>
      <c r="AJ39" s="42">
        <f>AJ9+AJ19+AJ29</f>
        <v>0</v>
      </c>
      <c r="AK39" s="42">
        <f>AK9+AK19+AK29</f>
        <v>0</v>
      </c>
    </row>
    <row r="40" spans="2:39" x14ac:dyDescent="0.3">
      <c r="B40" s="24" t="s">
        <v>40</v>
      </c>
      <c r="C40" s="41"/>
      <c r="D40" s="41"/>
      <c r="E40" s="42"/>
      <c r="F40" s="207" t="e">
        <f t="shared" ref="F40:G40" si="14">F39/C41</f>
        <v>#DIV/0!</v>
      </c>
      <c r="G40" s="207" t="e">
        <f t="shared" si="14"/>
        <v>#DIV/0!</v>
      </c>
      <c r="H40" s="253" t="e">
        <f>H39/F41</f>
        <v>#DIV/0!</v>
      </c>
      <c r="I40" s="207" t="e">
        <f>I39/G41</f>
        <v>#DIV/0!</v>
      </c>
      <c r="J40" s="253" t="e">
        <f>J39/H41</f>
        <v>#DIV/0!</v>
      </c>
      <c r="K40" s="207" t="e">
        <f>K39/I41</f>
        <v>#DIV/0!</v>
      </c>
      <c r="L40" s="253" t="e">
        <f>L39/J41</f>
        <v>#DIV/0!</v>
      </c>
      <c r="M40" s="207" t="e">
        <f>M39/K41</f>
        <v>#DIV/0!</v>
      </c>
      <c r="N40" s="253" t="e">
        <f>N39/L41</f>
        <v>#DIV/0!</v>
      </c>
      <c r="O40" s="207" t="e">
        <f>O39/M41</f>
        <v>#DIV/0!</v>
      </c>
      <c r="P40" s="253" t="e">
        <f>P39/N41</f>
        <v>#DIV/0!</v>
      </c>
      <c r="Q40" s="207" t="e">
        <f>Q39/O41</f>
        <v>#DIV/0!</v>
      </c>
      <c r="R40" s="253" t="e">
        <f>R39/P41</f>
        <v>#DIV/0!</v>
      </c>
      <c r="S40" s="207" t="e">
        <f>S39/Q41</f>
        <v>#DIV/0!</v>
      </c>
      <c r="T40" s="253" t="e">
        <f>T39/R41</f>
        <v>#DIV/0!</v>
      </c>
      <c r="U40" s="207" t="e">
        <f>U39/S41</f>
        <v>#DIV/0!</v>
      </c>
      <c r="V40" s="207" t="e">
        <f>V39/T41</f>
        <v>#DIV/0!</v>
      </c>
      <c r="W40" s="265" t="e">
        <f>W39/U41</f>
        <v>#DIV/0!</v>
      </c>
      <c r="AC40" s="208" t="e">
        <f>AC39/E41</f>
        <v>#DIV/0!</v>
      </c>
      <c r="AD40" s="208" t="e">
        <f>AD39/AC41</f>
        <v>#DIV/0!</v>
      </c>
      <c r="AE40" s="208" t="e">
        <f>AE39/AD41</f>
        <v>#DIV/0!</v>
      </c>
      <c r="AF40" s="208" t="e">
        <f>AF39/AE41</f>
        <v>#DIV/0!</v>
      </c>
      <c r="AG40" s="208" t="e">
        <f>AG39/AF41</f>
        <v>#DIV/0!</v>
      </c>
      <c r="AH40" s="208" t="e">
        <f>AH39/AG41</f>
        <v>#DIV/0!</v>
      </c>
      <c r="AI40" s="208" t="e">
        <f>AI39/AH41</f>
        <v>#DIV/0!</v>
      </c>
      <c r="AJ40" s="208" t="e">
        <f>AJ39/AI41</f>
        <v>#DIV/0!</v>
      </c>
      <c r="AK40" s="208" t="e">
        <f>AK39/AJ41</f>
        <v>#DIV/0!</v>
      </c>
    </row>
    <row r="41" spans="2:39" x14ac:dyDescent="0.3">
      <c r="B41" s="23" t="s">
        <v>41</v>
      </c>
      <c r="C41" s="41">
        <f>C11+C31+C21</f>
        <v>0</v>
      </c>
      <c r="D41" s="41">
        <f>D11+D31+D21</f>
        <v>0</v>
      </c>
      <c r="E41" s="42">
        <f>E11+E31+E21</f>
        <v>0</v>
      </c>
      <c r="F41" s="41">
        <f>F11+F31+F21</f>
        <v>0</v>
      </c>
      <c r="G41" s="41">
        <f>D41+G35+G37+G39</f>
        <v>0</v>
      </c>
      <c r="H41" s="251">
        <f>F41+H35+H37+H39</f>
        <v>0</v>
      </c>
      <c r="I41" s="41">
        <f>I11+I31+I21</f>
        <v>0</v>
      </c>
      <c r="J41" s="251">
        <f>H41+J35+J37+J39</f>
        <v>0</v>
      </c>
      <c r="K41" s="41">
        <f>K11+K31+K21</f>
        <v>0</v>
      </c>
      <c r="L41" s="251">
        <f>J41+L35+L37+L39</f>
        <v>0</v>
      </c>
      <c r="M41" s="41">
        <f>M11+M31+M21</f>
        <v>0</v>
      </c>
      <c r="N41" s="251">
        <f>L41+N35+N37+N39</f>
        <v>0</v>
      </c>
      <c r="O41" s="41">
        <f>O11+O31+O21</f>
        <v>0</v>
      </c>
      <c r="P41" s="251">
        <f>N41+P35+P37+P39</f>
        <v>0</v>
      </c>
      <c r="Q41" s="41">
        <f>Q11+Q31+Q21</f>
        <v>0</v>
      </c>
      <c r="R41" s="251">
        <f>P41+R35+R37+R39</f>
        <v>0</v>
      </c>
      <c r="S41" s="41">
        <f>S11+S31+S21</f>
        <v>0</v>
      </c>
      <c r="T41" s="251">
        <f>R41+T35+T37+T39</f>
        <v>0</v>
      </c>
      <c r="U41" s="41">
        <f>U11+U31+U21</f>
        <v>0</v>
      </c>
      <c r="V41" s="41">
        <f>T41+V35+V37+V39</f>
        <v>0</v>
      </c>
      <c r="W41" s="261">
        <f>W11+W31+W21</f>
        <v>0</v>
      </c>
      <c r="AC41" s="42">
        <f>E41+AC35+AC37+AC39</f>
        <v>0</v>
      </c>
      <c r="AD41" s="42">
        <f>AC41+AD35+AD37+AD39</f>
        <v>0</v>
      </c>
      <c r="AE41" s="42">
        <f>AD41+AE35+AE37+AE39</f>
        <v>0</v>
      </c>
      <c r="AF41" s="42">
        <f>AE41+AF35+AF37+AF39</f>
        <v>0</v>
      </c>
      <c r="AG41" s="42">
        <f>AF41+AG35+AG37+AG39</f>
        <v>0</v>
      </c>
      <c r="AH41" s="42">
        <f>AG41+AH35+AH37+AH39</f>
        <v>0</v>
      </c>
      <c r="AI41" s="42">
        <f>AH41+AI35+AI37+AI39</f>
        <v>0</v>
      </c>
      <c r="AJ41" s="42">
        <f>AI41+AJ35+AJ37+AJ39</f>
        <v>0</v>
      </c>
      <c r="AK41" s="42">
        <f>AJ41+AK35+AK37+AK39</f>
        <v>0</v>
      </c>
    </row>
    <row r="42" spans="2:39" s="19" customFormat="1" ht="15" thickBot="1" x14ac:dyDescent="0.35">
      <c r="B42" s="27" t="s">
        <v>42</v>
      </c>
      <c r="C42" s="46" t="str">
        <f>IFERROR(C41/#REF!-1, "-")</f>
        <v>-</v>
      </c>
      <c r="D42" s="46" t="str">
        <f>IFERROR(D41/#REF!-1, "-")</f>
        <v>-</v>
      </c>
      <c r="E42" s="47" t="str">
        <f>IFERROR(E41/#REF!-1, "-")</f>
        <v>-</v>
      </c>
      <c r="F42" s="46" t="str">
        <f t="shared" ref="F42:G42" si="15">IFERROR(F41/C41-1, "-")</f>
        <v>-</v>
      </c>
      <c r="G42" s="46" t="str">
        <f t="shared" si="15"/>
        <v>-</v>
      </c>
      <c r="H42" s="254" t="str">
        <f>IFERROR(H41/F41-1, "-")</f>
        <v>-</v>
      </c>
      <c r="I42" s="46" t="str">
        <f>IFERROR(I41/G41-1, "-")</f>
        <v>-</v>
      </c>
      <c r="J42" s="254" t="str">
        <f>IFERROR(J41/H41-1, "-")</f>
        <v>-</v>
      </c>
      <c r="K42" s="46" t="str">
        <f>IFERROR(K41/I41-1, "-")</f>
        <v>-</v>
      </c>
      <c r="L42" s="254" t="str">
        <f>IFERROR(L41/J41-1, "-")</f>
        <v>-</v>
      </c>
      <c r="M42" s="46" t="str">
        <f>IFERROR(M41/K41-1, "-")</f>
        <v>-</v>
      </c>
      <c r="N42" s="254" t="str">
        <f>IFERROR(N41/L41-1, "-")</f>
        <v>-</v>
      </c>
      <c r="O42" s="46" t="str">
        <f>IFERROR(O41/M41-1, "-")</f>
        <v>-</v>
      </c>
      <c r="P42" s="254" t="str">
        <f>IFERROR(P41/N41-1, "-")</f>
        <v>-</v>
      </c>
      <c r="Q42" s="46" t="str">
        <f>IFERROR(Q41/O41-1, "-")</f>
        <v>-</v>
      </c>
      <c r="R42" s="254" t="str">
        <f>IFERROR(R41/P41-1, "-")</f>
        <v>-</v>
      </c>
      <c r="S42" s="46" t="str">
        <f>IFERROR(S41/Q41-1, "-")</f>
        <v>-</v>
      </c>
      <c r="T42" s="254" t="str">
        <f>IFERROR(T41/R41-1, "-")</f>
        <v>-</v>
      </c>
      <c r="U42" s="46" t="str">
        <f>IFERROR(U41/S41-1, "-")</f>
        <v>-</v>
      </c>
      <c r="V42" s="46" t="str">
        <f>IFERROR(V41/T41-1, "-")</f>
        <v>-</v>
      </c>
      <c r="W42" s="266" t="str">
        <f>IFERROR(W41/U41-1, "-")</f>
        <v>-</v>
      </c>
      <c r="Y42"/>
      <c r="AC42" s="47" t="str">
        <f>IFERROR(AC41/E41-1, "-")</f>
        <v>-</v>
      </c>
      <c r="AD42" s="47" t="str">
        <f>IFERROR(AD41/AC41-1, "-")</f>
        <v>-</v>
      </c>
      <c r="AE42" s="47" t="str">
        <f>IFERROR(AE41/AD41-1, "-")</f>
        <v>-</v>
      </c>
      <c r="AF42" s="47" t="str">
        <f>IFERROR(AF41/AE41-1, "-")</f>
        <v>-</v>
      </c>
      <c r="AG42" s="47" t="str">
        <f>IFERROR(AG41/AF41-1, "-")</f>
        <v>-</v>
      </c>
      <c r="AH42" s="47" t="str">
        <f>IFERROR(AH41/AG41-1, "-")</f>
        <v>-</v>
      </c>
      <c r="AI42" s="47" t="str">
        <f>IFERROR(AI41/AH41-1, "-")</f>
        <v>-</v>
      </c>
      <c r="AJ42" s="47" t="str">
        <f>IFERROR(AJ41/AI41-1, "-")</f>
        <v>-</v>
      </c>
      <c r="AK42" s="47" t="str">
        <f>IFERROR(AK41/AJ41-1, "-")</f>
        <v>-</v>
      </c>
      <c r="AM42"/>
    </row>
  </sheetData>
  <pageMargins left="0.7" right="0.7" top="0.75" bottom="0.75" header="0.3" footer="0.3"/>
  <legacyDrawing r:id="rId1"/>
  <extLst>
    <ext xmlns:x14="http://schemas.microsoft.com/office/spreadsheetml/2009/9/main" uri="{05C60535-1F16-4fd2-B633-F4F36F0B64E0}">
      <x14:sparklineGroups xmlns:xm="http://schemas.microsoft.com/office/excel/2006/main">
        <x14:sparklineGroup displayEmptyCellsAs="gap" xr2:uid="{ABEA206A-2DBF-4301-A376-31C0BC44385B}">
          <x14:colorSeries rgb="FF376092"/>
          <x14:colorNegative rgb="FFD00000"/>
          <x14:colorAxis rgb="FF000000"/>
          <x14:colorMarkers rgb="FFD00000"/>
          <x14:colorFirst rgb="FFD00000"/>
          <x14:colorLast rgb="FFD00000"/>
          <x14:colorHigh rgb="FFD00000"/>
          <x14:colorLow rgb="FFD00000"/>
          <x14:sparklines>
            <x14:sparkline>
              <xm:f>'Revenue Model-Segment'!AC35:AK35</xm:f>
              <xm:sqref>AM35</xm:sqref>
            </x14:sparkline>
            <x14:sparkline>
              <xm:f>'Revenue Model-Segment'!AC36:AK36</xm:f>
              <xm:sqref>AM36</xm:sqref>
            </x14:sparkline>
            <x14:sparkline>
              <xm:f>'Revenue Model-Segment'!AC37:AK37</xm:f>
              <xm:sqref>AM37</xm:sqref>
            </x14:sparkline>
            <x14:sparkline>
              <xm:f>'Revenue Model-Segment'!AC38:AK38</xm:f>
              <xm:sqref>AM38</xm:sqref>
            </x14:sparkline>
            <x14:sparkline>
              <xm:f>'Revenue Model-Segment'!AC39:AK39</xm:f>
              <xm:sqref>AM39</xm:sqref>
            </x14:sparkline>
            <x14:sparkline>
              <xm:f>'Revenue Model-Segment'!AC40:AK40</xm:f>
              <xm:sqref>AM40</xm:sqref>
            </x14:sparkline>
            <x14:sparkline>
              <xm:f>'Revenue Model-Segment'!AC41:AK41</xm:f>
              <xm:sqref>AM41</xm:sqref>
            </x14:sparkline>
            <x14:sparkline>
              <xm:f>'Revenue Model-Segment'!AC42:AK42</xm:f>
              <xm:sqref>AM42</xm:sqref>
            </x14:sparkline>
          </x14:sparklines>
        </x14:sparklineGroup>
        <x14:sparklineGroup displayEmptyCellsAs="gap" xr2:uid="{43CAAFA9-B654-4625-8805-C8F1C1B72F80}">
          <x14:colorSeries rgb="FF376092"/>
          <x14:colorNegative rgb="FFD00000"/>
          <x14:colorAxis rgb="FF000000"/>
          <x14:colorMarkers rgb="FFD00000"/>
          <x14:colorFirst rgb="FFD00000"/>
          <x14:colorLast rgb="FFD00000"/>
          <x14:colorHigh rgb="FFD00000"/>
          <x14:colorLow rgb="FFD00000"/>
          <x14:sparklines>
            <x14:sparkline>
              <xm:f>'Revenue Model-Segment'!AC25:AK25</xm:f>
              <xm:sqref>AM25</xm:sqref>
            </x14:sparkline>
            <x14:sparkline>
              <xm:f>'Revenue Model-Segment'!AC26:AK26</xm:f>
              <xm:sqref>AM26</xm:sqref>
            </x14:sparkline>
            <x14:sparkline>
              <xm:f>'Revenue Model-Segment'!AC27:AK27</xm:f>
              <xm:sqref>AM27</xm:sqref>
            </x14:sparkline>
            <x14:sparkline>
              <xm:f>'Revenue Model-Segment'!AC28:AK28</xm:f>
              <xm:sqref>AM28</xm:sqref>
            </x14:sparkline>
            <x14:sparkline>
              <xm:f>'Revenue Model-Segment'!AC29:AK29</xm:f>
              <xm:sqref>AM29</xm:sqref>
            </x14:sparkline>
            <x14:sparkline>
              <xm:f>'Revenue Model-Segment'!AC30:AK30</xm:f>
              <xm:sqref>AM30</xm:sqref>
            </x14:sparkline>
            <x14:sparkline>
              <xm:f>'Revenue Model-Segment'!AC31:AK31</xm:f>
              <xm:sqref>AM31</xm:sqref>
            </x14:sparkline>
            <x14:sparkline>
              <xm:f>'Revenue Model-Segment'!AC32:AK32</xm:f>
              <xm:sqref>AM32</xm:sqref>
            </x14:sparkline>
          </x14:sparklines>
        </x14:sparklineGroup>
        <x14:sparklineGroup displayEmptyCellsAs="gap" xr2:uid="{E480AB70-CC56-405F-9B19-EB438841B093}">
          <x14:colorSeries rgb="FF376092"/>
          <x14:colorNegative rgb="FFD00000"/>
          <x14:colorAxis rgb="FF000000"/>
          <x14:colorMarkers rgb="FFD00000"/>
          <x14:colorFirst rgb="FFD00000"/>
          <x14:colorLast rgb="FFD00000"/>
          <x14:colorHigh rgb="FFD00000"/>
          <x14:colorLow rgb="FFD00000"/>
          <x14:sparklines>
            <x14:sparkline>
              <xm:f>'Revenue Model-Segment'!AC15:AK15</xm:f>
              <xm:sqref>AM15</xm:sqref>
            </x14:sparkline>
            <x14:sparkline>
              <xm:f>'Revenue Model-Segment'!AC16:AK16</xm:f>
              <xm:sqref>AM16</xm:sqref>
            </x14:sparkline>
            <x14:sparkline>
              <xm:f>'Revenue Model-Segment'!AC17:AK17</xm:f>
              <xm:sqref>AM17</xm:sqref>
            </x14:sparkline>
            <x14:sparkline>
              <xm:f>'Revenue Model-Segment'!AC18:AK18</xm:f>
              <xm:sqref>AM18</xm:sqref>
            </x14:sparkline>
            <x14:sparkline>
              <xm:f>'Revenue Model-Segment'!AC19:AK19</xm:f>
              <xm:sqref>AM19</xm:sqref>
            </x14:sparkline>
            <x14:sparkline>
              <xm:f>'Revenue Model-Segment'!AC20:AK20</xm:f>
              <xm:sqref>AM20</xm:sqref>
            </x14:sparkline>
            <x14:sparkline>
              <xm:f>'Revenue Model-Segment'!AC21:AK21</xm:f>
              <xm:sqref>AM21</xm:sqref>
            </x14:sparkline>
            <x14:sparkline>
              <xm:f>'Revenue Model-Segment'!AC22:AK22</xm:f>
              <xm:sqref>AM22</xm:sqref>
            </x14:sparkline>
          </x14:sparklines>
        </x14:sparklineGroup>
        <x14:sparklineGroup displayEmptyCellsAs="gap" xr2:uid="{DD0DF7AB-8414-48E1-8E03-6FB712FD1965}">
          <x14:colorSeries rgb="FF376092"/>
          <x14:colorNegative rgb="FFD00000"/>
          <x14:colorAxis rgb="FF000000"/>
          <x14:colorMarkers rgb="FFD00000"/>
          <x14:colorFirst rgb="FFD00000"/>
          <x14:colorLast rgb="FFD00000"/>
          <x14:colorHigh rgb="FFD00000"/>
          <x14:colorLow rgb="FFD00000"/>
          <x14:sparklines>
            <x14:sparkline>
              <xm:f>'Revenue Model-Segment'!AC5:AK5</xm:f>
              <xm:sqref>AM5</xm:sqref>
            </x14:sparkline>
            <x14:sparkline>
              <xm:f>'Revenue Model-Segment'!AC6:AK6</xm:f>
              <xm:sqref>AM6</xm:sqref>
            </x14:sparkline>
            <x14:sparkline>
              <xm:f>'Revenue Model-Segment'!AC7:AK7</xm:f>
              <xm:sqref>AM7</xm:sqref>
            </x14:sparkline>
            <x14:sparkline>
              <xm:f>'Revenue Model-Segment'!AC8:AK8</xm:f>
              <xm:sqref>AM8</xm:sqref>
            </x14:sparkline>
            <x14:sparkline>
              <xm:f>'Revenue Model-Segment'!AC9:AK9</xm:f>
              <xm:sqref>AM9</xm:sqref>
            </x14:sparkline>
            <x14:sparkline>
              <xm:f>'Revenue Model-Segment'!AC10:AK10</xm:f>
              <xm:sqref>AM10</xm:sqref>
            </x14:sparkline>
            <x14:sparkline>
              <xm:f>'Revenue Model-Segment'!AC11:AK11</xm:f>
              <xm:sqref>AM11</xm:sqref>
            </x14:sparkline>
          </x14:sparklines>
        </x14:sparklineGroup>
        <x14:sparklineGroup displayEmptyCellsAs="gap" xr2:uid="{619E44A8-918D-41C3-85A2-8B8418D01CE5}">
          <x14:colorSeries rgb="FF376092"/>
          <x14:colorNegative rgb="FFD00000"/>
          <x14:colorAxis rgb="FF000000"/>
          <x14:colorMarkers rgb="FFD00000"/>
          <x14:colorFirst rgb="FFD00000"/>
          <x14:colorLast rgb="FFD00000"/>
          <x14:colorHigh rgb="FFD00000"/>
          <x14:colorLow rgb="FFD00000"/>
          <x14:sparklines>
            <x14:sparkline>
              <xm:f>'Revenue Model-Segment'!AC12:AK12</xm:f>
              <xm:sqref>AM12</xm:sqref>
            </x14:sparkline>
          </x14:sparklines>
        </x14:sparklineGroup>
        <x14:sparklineGroup displayEmptyCellsAs="gap" xr2:uid="{D242B262-AF7C-4360-8597-CE6FCA14B8FE}">
          <x14:colorSeries rgb="FF376092"/>
          <x14:colorNegative rgb="FFD00000"/>
          <x14:colorAxis rgb="FF000000"/>
          <x14:colorMarkers rgb="FFD00000"/>
          <x14:colorFirst rgb="FFD00000"/>
          <x14:colorLast rgb="FFD00000"/>
          <x14:colorHigh rgb="FFD00000"/>
          <x14:colorLow rgb="FFD00000"/>
          <x14:sparklines>
            <x14:sparkline>
              <xm:f>'Revenue Model-Segment'!F5:W5</xm:f>
              <xm:sqref>Y5</xm:sqref>
            </x14:sparkline>
          </x14:sparklines>
        </x14:sparklineGroup>
        <x14:sparklineGroup displayEmptyCellsAs="gap" xr2:uid="{E9AB1320-C9D2-47B4-A7E6-71C9E75A3EBB}">
          <x14:colorSeries rgb="FF376092"/>
          <x14:colorNegative rgb="FFD00000"/>
          <x14:colorAxis rgb="FF000000"/>
          <x14:colorMarkers rgb="FFD00000"/>
          <x14:colorFirst rgb="FFD00000"/>
          <x14:colorLast rgb="FFD00000"/>
          <x14:colorHigh rgb="FFD00000"/>
          <x14:colorLow rgb="FFD00000"/>
          <x14:sparklines>
            <x14:sparkline>
              <xm:f>'Revenue Model-Segment'!F7:W7</xm:f>
              <xm:sqref>Y7</xm:sqref>
            </x14:sparkline>
          </x14:sparklines>
        </x14:sparklineGroup>
        <x14:sparklineGroup displayEmptyCellsAs="gap" xr2:uid="{82905294-F4FE-46EC-802D-84F9BE77E0C3}">
          <x14:colorSeries rgb="FF376092"/>
          <x14:colorNegative rgb="FFD00000"/>
          <x14:colorAxis rgb="FF000000"/>
          <x14:colorMarkers rgb="FFD00000"/>
          <x14:colorFirst rgb="FFD00000"/>
          <x14:colorLast rgb="FFD00000"/>
          <x14:colorHigh rgb="FFD00000"/>
          <x14:colorLow rgb="FFD00000"/>
          <x14:sparklines>
            <x14:sparkline>
              <xm:f>'Revenue Model-Segment'!F6:W6</xm:f>
              <xm:sqref>Y6</xm:sqref>
            </x14:sparkline>
          </x14:sparklines>
        </x14:sparklineGroup>
        <x14:sparklineGroup displayEmptyCellsAs="gap" xr2:uid="{59B6FBF9-D1B9-46B6-88F3-4F2DFB25BB72}">
          <x14:colorSeries rgb="FF376092"/>
          <x14:colorNegative rgb="FFD00000"/>
          <x14:colorAxis rgb="FF000000"/>
          <x14:colorMarkers rgb="FFD00000"/>
          <x14:colorFirst rgb="FFD00000"/>
          <x14:colorLast rgb="FFD00000"/>
          <x14:colorHigh rgb="FFD00000"/>
          <x14:colorLow rgb="FFD00000"/>
          <x14:sparklines>
            <x14:sparkline>
              <xm:f>'Revenue Model-Segment'!F8:W8</xm:f>
              <xm:sqref>Y8</xm:sqref>
            </x14:sparkline>
          </x14:sparklines>
        </x14:sparklineGroup>
        <x14:sparklineGroup displayEmptyCellsAs="gap" xr2:uid="{B6225905-1E79-4B37-882B-2F9DA318CA67}">
          <x14:colorSeries rgb="FF376092"/>
          <x14:colorNegative rgb="FFD00000"/>
          <x14:colorAxis rgb="FF000000"/>
          <x14:colorMarkers rgb="FFD00000"/>
          <x14:colorFirst rgb="FFD00000"/>
          <x14:colorLast rgb="FFD00000"/>
          <x14:colorHigh rgb="FFD00000"/>
          <x14:colorLow rgb="FFD00000"/>
          <x14:sparklines>
            <x14:sparkline>
              <xm:f>'Revenue Model-Segment'!F9:W9</xm:f>
              <xm:sqref>Y9</xm:sqref>
            </x14:sparkline>
          </x14:sparklines>
        </x14:sparklineGroup>
        <x14:sparklineGroup displayEmptyCellsAs="gap" xr2:uid="{755BAABE-9717-4C2D-91CD-0EA447326D52}">
          <x14:colorSeries rgb="FF376092"/>
          <x14:colorNegative rgb="FFD00000"/>
          <x14:colorAxis rgb="FF000000"/>
          <x14:colorMarkers rgb="FFD00000"/>
          <x14:colorFirst rgb="FFD00000"/>
          <x14:colorLast rgb="FFD00000"/>
          <x14:colorHigh rgb="FFD00000"/>
          <x14:colorLow rgb="FFD00000"/>
          <x14:sparklines>
            <x14:sparkline>
              <xm:f>'Revenue Model-Segment'!F10:W10</xm:f>
              <xm:sqref>Y10</xm:sqref>
            </x14:sparkline>
          </x14:sparklines>
        </x14:sparklineGroup>
        <x14:sparklineGroup displayEmptyCellsAs="gap" xr2:uid="{F0AB3F52-4DC9-4BA6-9BDD-1FDC288C3757}">
          <x14:colorSeries rgb="FF376092"/>
          <x14:colorNegative rgb="FFD00000"/>
          <x14:colorAxis rgb="FF000000"/>
          <x14:colorMarkers rgb="FFD00000"/>
          <x14:colorFirst rgb="FFD00000"/>
          <x14:colorLast rgb="FFD00000"/>
          <x14:colorHigh rgb="FFD00000"/>
          <x14:colorLow rgb="FFD00000"/>
          <x14:sparklines>
            <x14:sparkline>
              <xm:f>'Revenue Model-Segment'!F11:W11</xm:f>
              <xm:sqref>Y11</xm:sqref>
            </x14:sparkline>
          </x14:sparklines>
        </x14:sparklineGroup>
        <x14:sparklineGroup displayEmptyCellsAs="gap" xr2:uid="{C21E1161-7599-4A0D-BEDC-2748EA7307EF}">
          <x14:colorSeries rgb="FF376092"/>
          <x14:colorNegative rgb="FFD00000"/>
          <x14:colorAxis rgb="FF000000"/>
          <x14:colorMarkers rgb="FFD00000"/>
          <x14:colorFirst rgb="FFD00000"/>
          <x14:colorLast rgb="FFD00000"/>
          <x14:colorHigh rgb="FFD00000"/>
          <x14:colorLow rgb="FFD00000"/>
          <x14:sparklines>
            <x14:sparkline>
              <xm:f>'Revenue Model-Segment'!F12:W12</xm:f>
              <xm:sqref>Y12</xm:sqref>
            </x14:sparkline>
          </x14:sparklines>
        </x14:sparklineGroup>
        <x14:sparklineGroup displayEmptyCellsAs="gap" xr2:uid="{D541658A-143C-4F71-92AC-C4EF5E51A865}">
          <x14:colorSeries rgb="FF376092"/>
          <x14:colorNegative rgb="FFD00000"/>
          <x14:colorAxis rgb="FF000000"/>
          <x14:colorMarkers rgb="FFD00000"/>
          <x14:colorFirst rgb="FFD00000"/>
          <x14:colorLast rgb="FFD00000"/>
          <x14:colorHigh rgb="FFD00000"/>
          <x14:colorLow rgb="FFD00000"/>
          <x14:sparklines>
            <x14:sparkline>
              <xm:f>'Revenue Model-Segment'!F15:W15</xm:f>
              <xm:sqref>Y15</xm:sqref>
            </x14:sparkline>
            <x14:sparkline>
              <xm:f>'Revenue Model-Segment'!F16:W16</xm:f>
              <xm:sqref>Y16</xm:sqref>
            </x14:sparkline>
            <x14:sparkline>
              <xm:f>'Revenue Model-Segment'!F17:W17</xm:f>
              <xm:sqref>Y17</xm:sqref>
            </x14:sparkline>
            <x14:sparkline>
              <xm:f>'Revenue Model-Segment'!F18:W18</xm:f>
              <xm:sqref>Y18</xm:sqref>
            </x14:sparkline>
            <x14:sparkline>
              <xm:f>'Revenue Model-Segment'!F19:W19</xm:f>
              <xm:sqref>Y19</xm:sqref>
            </x14:sparkline>
            <x14:sparkline>
              <xm:f>'Revenue Model-Segment'!F20:W20</xm:f>
              <xm:sqref>Y20</xm:sqref>
            </x14:sparkline>
            <x14:sparkline>
              <xm:f>'Revenue Model-Segment'!F21:W21</xm:f>
              <xm:sqref>Y21</xm:sqref>
            </x14:sparkline>
            <x14:sparkline>
              <xm:f>'Revenue Model-Segment'!F22:W22</xm:f>
              <xm:sqref>Y22</xm:sqref>
            </x14:sparkline>
          </x14:sparklines>
        </x14:sparklineGroup>
        <x14:sparklineGroup displayEmptyCellsAs="gap" xr2:uid="{B3C0B808-23B2-4A7E-939A-2D7D730BAD50}">
          <x14:colorSeries rgb="FF376092"/>
          <x14:colorNegative rgb="FFD00000"/>
          <x14:colorAxis rgb="FF000000"/>
          <x14:colorMarkers rgb="FFD00000"/>
          <x14:colorFirst rgb="FFD00000"/>
          <x14:colorLast rgb="FFD00000"/>
          <x14:colorHigh rgb="FFD00000"/>
          <x14:colorLow rgb="FFD00000"/>
          <x14:sparklines>
            <x14:sparkline>
              <xm:f>'Revenue Model-Segment'!F25:W25</xm:f>
              <xm:sqref>Y25</xm:sqref>
            </x14:sparkline>
            <x14:sparkline>
              <xm:f>'Revenue Model-Segment'!F26:W26</xm:f>
              <xm:sqref>Y26</xm:sqref>
            </x14:sparkline>
            <x14:sparkline>
              <xm:f>'Revenue Model-Segment'!F27:W27</xm:f>
              <xm:sqref>Y27</xm:sqref>
            </x14:sparkline>
            <x14:sparkline>
              <xm:f>'Revenue Model-Segment'!F28:W28</xm:f>
              <xm:sqref>Y28</xm:sqref>
            </x14:sparkline>
            <x14:sparkline>
              <xm:f>'Revenue Model-Segment'!F29:W29</xm:f>
              <xm:sqref>Y29</xm:sqref>
            </x14:sparkline>
            <x14:sparkline>
              <xm:f>'Revenue Model-Segment'!F30:W30</xm:f>
              <xm:sqref>Y30</xm:sqref>
            </x14:sparkline>
            <x14:sparkline>
              <xm:f>'Revenue Model-Segment'!F31:W31</xm:f>
              <xm:sqref>Y31</xm:sqref>
            </x14:sparkline>
            <x14:sparkline>
              <xm:f>'Revenue Model-Segment'!F32:W32</xm:f>
              <xm:sqref>Y32</xm:sqref>
            </x14:sparkline>
          </x14:sparklines>
        </x14:sparklineGroup>
        <x14:sparklineGroup displayEmptyCellsAs="gap" xr2:uid="{77EAC8B4-8A79-4576-B5C8-A412CD00F165}">
          <x14:colorSeries rgb="FF376092"/>
          <x14:colorNegative rgb="FFD00000"/>
          <x14:colorAxis rgb="FF000000"/>
          <x14:colorMarkers rgb="FFD00000"/>
          <x14:colorFirst rgb="FFD00000"/>
          <x14:colorLast rgb="FFD00000"/>
          <x14:colorHigh rgb="FFD00000"/>
          <x14:colorLow rgb="FFD00000"/>
          <x14:sparklines>
            <x14:sparkline>
              <xm:f>'Revenue Model-Segment'!F35:W35</xm:f>
              <xm:sqref>Y35</xm:sqref>
            </x14:sparkline>
            <x14:sparkline>
              <xm:f>'Revenue Model-Segment'!F36:W36</xm:f>
              <xm:sqref>Y36</xm:sqref>
            </x14:sparkline>
            <x14:sparkline>
              <xm:f>'Revenue Model-Segment'!F37:W37</xm:f>
              <xm:sqref>Y37</xm:sqref>
            </x14:sparkline>
            <x14:sparkline>
              <xm:f>'Revenue Model-Segment'!F38:W38</xm:f>
              <xm:sqref>Y38</xm:sqref>
            </x14:sparkline>
            <x14:sparkline>
              <xm:f>'Revenue Model-Segment'!F39:W39</xm:f>
              <xm:sqref>Y39</xm:sqref>
            </x14:sparkline>
            <x14:sparkline>
              <xm:f>'Revenue Model-Segment'!F40:W40</xm:f>
              <xm:sqref>Y40</xm:sqref>
            </x14:sparkline>
            <x14:sparkline>
              <xm:f>'Revenue Model-Segment'!F41:W41</xm:f>
              <xm:sqref>Y41</xm:sqref>
            </x14:sparkline>
            <x14:sparkline>
              <xm:f>'Revenue Model-Segment'!F42:W42</xm:f>
              <xm:sqref>Y42</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49181-01D2-4078-9501-6280189B51F7}">
  <dimension ref="B1:AM42"/>
  <sheetViews>
    <sheetView showGridLines="0" workbookViewId="0">
      <pane xSplit="2" ySplit="2" topLeftCell="E41" activePane="bottomRight" state="frozen"/>
      <selection pane="topRight" activeCell="C1" sqref="C1"/>
      <selection pane="bottomLeft" activeCell="A3" sqref="A3"/>
      <selection pane="bottomRight" activeCell="K51" sqref="K51"/>
    </sheetView>
  </sheetViews>
  <sheetFormatPr defaultRowHeight="14.4" x14ac:dyDescent="0.3"/>
  <cols>
    <col min="1" max="1" width="2.33203125" customWidth="1"/>
    <col min="2" max="2" width="25.5546875" customWidth="1"/>
    <col min="10" max="10" width="8.33203125" customWidth="1"/>
    <col min="12" max="12" width="8.33203125" customWidth="1"/>
  </cols>
  <sheetData>
    <row r="1" spans="2:39" ht="15" thickBot="1" x14ac:dyDescent="0.35"/>
    <row r="2" spans="2:39" x14ac:dyDescent="0.3">
      <c r="B2" s="20" t="s">
        <v>22</v>
      </c>
      <c r="C2" s="31" t="s">
        <v>25</v>
      </c>
      <c r="D2" s="33" t="s">
        <v>26</v>
      </c>
      <c r="E2" s="32" t="s">
        <v>0</v>
      </c>
      <c r="F2" s="31" t="s">
        <v>27</v>
      </c>
      <c r="G2" s="31" t="s">
        <v>28</v>
      </c>
      <c r="H2" s="247" t="s">
        <v>29</v>
      </c>
      <c r="I2" s="31" t="s">
        <v>30</v>
      </c>
      <c r="J2" s="247" t="s">
        <v>31</v>
      </c>
      <c r="K2" s="31" t="s">
        <v>32</v>
      </c>
      <c r="L2" s="247" t="s">
        <v>44</v>
      </c>
      <c r="M2" s="175" t="s">
        <v>45</v>
      </c>
      <c r="N2" s="255" t="s">
        <v>47</v>
      </c>
      <c r="O2" s="175" t="s">
        <v>48</v>
      </c>
      <c r="P2" s="255" t="s">
        <v>50</v>
      </c>
      <c r="Q2" s="175" t="s">
        <v>51</v>
      </c>
      <c r="R2" s="255" t="s">
        <v>53</v>
      </c>
      <c r="S2" s="175" t="s">
        <v>54</v>
      </c>
      <c r="T2" s="255" t="s">
        <v>56</v>
      </c>
      <c r="U2" s="175" t="s">
        <v>57</v>
      </c>
      <c r="V2" s="255" t="s">
        <v>59</v>
      </c>
      <c r="W2" s="258" t="s">
        <v>60</v>
      </c>
      <c r="AC2" s="32" t="s">
        <v>1</v>
      </c>
      <c r="AD2" s="32" t="s">
        <v>2</v>
      </c>
      <c r="AE2" s="32" t="s">
        <v>33</v>
      </c>
      <c r="AF2" s="177" t="s">
        <v>46</v>
      </c>
      <c r="AG2" s="177" t="s">
        <v>49</v>
      </c>
      <c r="AH2" s="177" t="s">
        <v>52</v>
      </c>
      <c r="AI2" s="177" t="s">
        <v>55</v>
      </c>
      <c r="AJ2" s="177" t="s">
        <v>58</v>
      </c>
      <c r="AK2" s="178" t="s">
        <v>61</v>
      </c>
    </row>
    <row r="3" spans="2:39" x14ac:dyDescent="0.3">
      <c r="B3" s="21"/>
      <c r="E3" s="17"/>
      <c r="H3" s="248"/>
      <c r="J3" s="248"/>
      <c r="L3" s="248"/>
      <c r="N3" s="248"/>
      <c r="P3" s="248"/>
      <c r="R3" s="248"/>
      <c r="T3" s="248"/>
      <c r="V3" s="248"/>
      <c r="W3" s="2"/>
      <c r="AC3" s="17"/>
      <c r="AD3" s="17"/>
      <c r="AE3" s="17"/>
      <c r="AF3" s="17"/>
      <c r="AG3" s="17"/>
      <c r="AH3" s="17"/>
      <c r="AI3" s="17"/>
      <c r="AJ3" s="17"/>
      <c r="AK3" s="22"/>
    </row>
    <row r="4" spans="2:39" x14ac:dyDescent="0.3">
      <c r="B4" s="23" t="s">
        <v>211</v>
      </c>
      <c r="E4" s="17"/>
      <c r="H4" s="248"/>
      <c r="J4" s="248"/>
      <c r="L4" s="248"/>
      <c r="N4" s="248"/>
      <c r="P4" s="248"/>
      <c r="R4" s="248"/>
      <c r="T4" s="248"/>
      <c r="V4" s="248"/>
      <c r="W4" s="2"/>
      <c r="AC4" s="17"/>
      <c r="AD4" s="17"/>
      <c r="AE4" s="17"/>
      <c r="AF4" s="17"/>
      <c r="AG4" s="17"/>
      <c r="AH4" s="17"/>
      <c r="AI4" s="17"/>
      <c r="AJ4" s="17"/>
      <c r="AK4" s="22"/>
    </row>
    <row r="5" spans="2:39" x14ac:dyDescent="0.3">
      <c r="B5" s="21" t="s">
        <v>35</v>
      </c>
      <c r="C5" s="34"/>
      <c r="D5" s="34"/>
      <c r="E5" s="35"/>
      <c r="F5" s="34">
        <v>123</v>
      </c>
      <c r="G5" s="34">
        <f>AC5-F5</f>
        <v>56</v>
      </c>
      <c r="H5" s="249">
        <v>59</v>
      </c>
      <c r="I5" s="34">
        <f>AD5-H5</f>
        <v>-49</v>
      </c>
      <c r="J5" s="249">
        <v>-41</v>
      </c>
      <c r="K5" s="34">
        <f>AE5-J5</f>
        <v>8</v>
      </c>
      <c r="L5" s="249">
        <v>-50</v>
      </c>
      <c r="M5" s="36">
        <f>K5*(1+M6)</f>
        <v>8.32</v>
      </c>
      <c r="N5" s="256">
        <f>L5*(1+N6)</f>
        <v>-52</v>
      </c>
      <c r="O5" s="36">
        <f>M5*(1+O6)</f>
        <v>8.6528000000000009</v>
      </c>
      <c r="P5" s="256">
        <f>N5*(1+P6)</f>
        <v>-54.08</v>
      </c>
      <c r="Q5" s="36">
        <f>O5*(1+Q6)</f>
        <v>8.9989120000000007</v>
      </c>
      <c r="R5" s="256">
        <f>P5*(1+R6)</f>
        <v>-56.243200000000002</v>
      </c>
      <c r="S5" s="36">
        <f>Q5*(1+S6)</f>
        <v>9.3588684800000017</v>
      </c>
      <c r="T5" s="256">
        <f>R5*(1+T6)</f>
        <v>-58.492928000000006</v>
      </c>
      <c r="U5" s="36">
        <f>S5*(1+U6)</f>
        <v>9.7332232192000028</v>
      </c>
      <c r="V5" s="256">
        <f>T5*(1+V6)</f>
        <v>-60.832645120000009</v>
      </c>
      <c r="W5" s="259">
        <f>U5*(1+W6)</f>
        <v>10.122552147968003</v>
      </c>
      <c r="AC5" s="35">
        <v>179</v>
      </c>
      <c r="AD5" s="35">
        <v>10</v>
      </c>
      <c r="AE5" s="35">
        <v>-33</v>
      </c>
      <c r="AF5" s="37">
        <f>L5+M5</f>
        <v>-41.68</v>
      </c>
      <c r="AG5" s="37">
        <f>N5+O5</f>
        <v>-43.347200000000001</v>
      </c>
      <c r="AH5" s="37">
        <f>P5+Q5</f>
        <v>-45.081087999999994</v>
      </c>
      <c r="AI5" s="37">
        <f>R5+S5</f>
        <v>-46.884331520000003</v>
      </c>
      <c r="AJ5" s="37">
        <f>T5+U5</f>
        <v>-48.759704780800007</v>
      </c>
      <c r="AK5" s="37">
        <f>V5+W5</f>
        <v>-50.710092972032008</v>
      </c>
    </row>
    <row r="6" spans="2:39" s="19" customFormat="1" x14ac:dyDescent="0.3">
      <c r="B6" s="24" t="s">
        <v>38</v>
      </c>
      <c r="C6" s="38" t="str">
        <f>IFERROR(C5/#REF!-1, "-")</f>
        <v>-</v>
      </c>
      <c r="D6" s="38" t="str">
        <f>IFERROR(D5/#REF!-1, "-")</f>
        <v>-</v>
      </c>
      <c r="E6" s="39" t="str">
        <f>IFERROR(E5/#REF!-1, "-")</f>
        <v>-</v>
      </c>
      <c r="F6" s="38">
        <f t="shared" ref="F6" si="0">F5/C11</f>
        <v>0.13531353135313531</v>
      </c>
      <c r="G6" s="38">
        <f t="shared" ref="G6" si="1">G5/D11</f>
        <v>7.0886075949367092E-2</v>
      </c>
      <c r="H6" s="250">
        <f>H5/F11</f>
        <v>5.5140186915887852E-2</v>
      </c>
      <c r="I6" s="38">
        <f>I5/G11</f>
        <v>-4.9544994944388271E-2</v>
      </c>
      <c r="J6" s="250">
        <f>J5/H11</f>
        <v>-3.1202435312024351E-2</v>
      </c>
      <c r="K6" s="38">
        <f>K5/I11</f>
        <v>8.8397790055248626E-3</v>
      </c>
      <c r="L6" s="250">
        <f>L5/J11</f>
        <v>-4.0584415584415584E-2</v>
      </c>
      <c r="M6" s="40">
        <v>0.04</v>
      </c>
      <c r="N6" s="257">
        <v>0.04</v>
      </c>
      <c r="O6" s="40">
        <v>0.04</v>
      </c>
      <c r="P6" s="257">
        <v>0.04</v>
      </c>
      <c r="Q6" s="40">
        <v>0.04</v>
      </c>
      <c r="R6" s="257">
        <v>0.04</v>
      </c>
      <c r="S6" s="40">
        <v>0.04</v>
      </c>
      <c r="T6" s="257">
        <v>0.04</v>
      </c>
      <c r="U6" s="40">
        <v>0.04</v>
      </c>
      <c r="V6" s="257">
        <v>0.04</v>
      </c>
      <c r="W6" s="260">
        <v>0.04</v>
      </c>
      <c r="Y6"/>
      <c r="AC6" s="39">
        <f>AC5/E11</f>
        <v>0.1053560918187169</v>
      </c>
      <c r="AD6" s="39">
        <f>AD5/AC11</f>
        <v>4.8567265662943174E-3</v>
      </c>
      <c r="AE6" s="39">
        <f>AE5/AD11</f>
        <v>-1.4864864864864866E-2</v>
      </c>
      <c r="AF6" s="39">
        <f>AF5/AE5-1</f>
        <v>0.26303030303030295</v>
      </c>
      <c r="AG6" s="39">
        <f>AG5/AF5-1</f>
        <v>4.0000000000000036E-2</v>
      </c>
      <c r="AH6" s="39">
        <f>AH5/AG5-1</f>
        <v>3.9999999999999813E-2</v>
      </c>
      <c r="AI6" s="39">
        <f>AI5/AH5-1</f>
        <v>4.0000000000000258E-2</v>
      </c>
      <c r="AJ6" s="39">
        <f>AJ5/AI5-1</f>
        <v>4.0000000000000036E-2</v>
      </c>
      <c r="AK6" s="39">
        <f>AK5/AJ5-1</f>
        <v>4.0000000000000036E-2</v>
      </c>
      <c r="AM6"/>
    </row>
    <row r="7" spans="2:39" x14ac:dyDescent="0.3">
      <c r="B7" s="21" t="s">
        <v>36</v>
      </c>
      <c r="C7" s="34"/>
      <c r="D7" s="34"/>
      <c r="E7" s="35"/>
      <c r="F7" s="34">
        <v>27</v>
      </c>
      <c r="G7" s="34">
        <f>AC7-F7</f>
        <v>135</v>
      </c>
      <c r="H7" s="249">
        <v>168</v>
      </c>
      <c r="I7" s="34">
        <f>AD7-H7</f>
        <v>-68</v>
      </c>
      <c r="J7" s="249">
        <v>-127</v>
      </c>
      <c r="K7" s="34">
        <f>AE7-J7</f>
        <v>-44</v>
      </c>
      <c r="L7" s="249">
        <v>-48</v>
      </c>
      <c r="M7" s="36">
        <f>K7*(1+M8)</f>
        <v>-45.760000000000005</v>
      </c>
      <c r="N7" s="256">
        <f>L7*(1+N8)</f>
        <v>-49.92</v>
      </c>
      <c r="O7" s="36">
        <f>M7*(1+O8)</f>
        <v>-47.59040000000001</v>
      </c>
      <c r="P7" s="256">
        <f>N7*(1+P8)</f>
        <v>-51.916800000000002</v>
      </c>
      <c r="Q7" s="36">
        <f>O7*(1+Q8)</f>
        <v>-49.494016000000009</v>
      </c>
      <c r="R7" s="256">
        <f>P7*(1+R8)</f>
        <v>-53.993472000000004</v>
      </c>
      <c r="S7" s="36">
        <f>Q7*(1+S8)</f>
        <v>-51.473776640000011</v>
      </c>
      <c r="T7" s="256">
        <f>R7*(1+T8)</f>
        <v>-56.153210880000003</v>
      </c>
      <c r="U7" s="36">
        <f>S7*(1+U8)</f>
        <v>-53.53272770560001</v>
      </c>
      <c r="V7" s="256">
        <f>T7*(1+V8)</f>
        <v>-58.399339315200002</v>
      </c>
      <c r="W7" s="259">
        <f>U7*(1+W8)</f>
        <v>-55.67403681382401</v>
      </c>
      <c r="AC7" s="35">
        <v>162</v>
      </c>
      <c r="AD7" s="35">
        <v>100</v>
      </c>
      <c r="AE7" s="35">
        <v>-171</v>
      </c>
      <c r="AF7" s="37">
        <f>L7+M7</f>
        <v>-93.76</v>
      </c>
      <c r="AG7" s="37">
        <f>N7+O7</f>
        <v>-97.510400000000004</v>
      </c>
      <c r="AH7" s="37">
        <f>P7+Q7</f>
        <v>-101.41081600000001</v>
      </c>
      <c r="AI7" s="37">
        <f>R7+S7</f>
        <v>-105.46724864000001</v>
      </c>
      <c r="AJ7" s="37">
        <f>T7+U7</f>
        <v>-109.68593858560001</v>
      </c>
      <c r="AK7" s="37">
        <f>V7+W7</f>
        <v>-114.07337612902401</v>
      </c>
    </row>
    <row r="8" spans="2:39" s="19" customFormat="1" x14ac:dyDescent="0.3">
      <c r="B8" s="24" t="s">
        <v>39</v>
      </c>
      <c r="C8" s="38" t="str">
        <f>IFERROR(C7/#REF!-1, "-")</f>
        <v>-</v>
      </c>
      <c r="D8" s="38" t="str">
        <f>IFERROR(D7/#REF!-1, "-")</f>
        <v>-</v>
      </c>
      <c r="E8" s="39" t="str">
        <f>IFERROR(E7/#REF!-1, "-")</f>
        <v>-</v>
      </c>
      <c r="F8" s="38">
        <f t="shared" ref="F8" si="2">F7/C11</f>
        <v>2.9702970297029702E-2</v>
      </c>
      <c r="G8" s="38">
        <f t="shared" ref="G8" si="3">G7/D11</f>
        <v>0.17088607594936708</v>
      </c>
      <c r="H8" s="250">
        <f>H7/F11</f>
        <v>0.15700934579439252</v>
      </c>
      <c r="I8" s="38">
        <f>I7/G11</f>
        <v>-6.8756319514661268E-2</v>
      </c>
      <c r="J8" s="250">
        <f>J7/H11</f>
        <v>-9.6651445966514454E-2</v>
      </c>
      <c r="K8" s="38">
        <f>K7/I11</f>
        <v>-4.861878453038674E-2</v>
      </c>
      <c r="L8" s="250">
        <f>L7/J11</f>
        <v>-3.896103896103896E-2</v>
      </c>
      <c r="M8" s="40">
        <v>0.04</v>
      </c>
      <c r="N8" s="257">
        <v>0.04</v>
      </c>
      <c r="O8" s="40">
        <v>0.04</v>
      </c>
      <c r="P8" s="257">
        <v>0.04</v>
      </c>
      <c r="Q8" s="40">
        <v>0.04</v>
      </c>
      <c r="R8" s="257">
        <v>0.04</v>
      </c>
      <c r="S8" s="40">
        <v>0.04</v>
      </c>
      <c r="T8" s="257">
        <v>0.04</v>
      </c>
      <c r="U8" s="40">
        <v>0.04</v>
      </c>
      <c r="V8" s="257">
        <v>0.04</v>
      </c>
      <c r="W8" s="260">
        <v>0.04</v>
      </c>
      <c r="Y8"/>
      <c r="AC8" s="39">
        <f>AC7/E11</f>
        <v>9.5350206003531487E-2</v>
      </c>
      <c r="AD8" s="39">
        <f>AD7/AC11</f>
        <v>4.8567265662943178E-2</v>
      </c>
      <c r="AE8" s="39">
        <f>AE7/AD11</f>
        <v>-7.7027027027027031E-2</v>
      </c>
      <c r="AF8" s="39">
        <f>AF7/AE7-1</f>
        <v>-0.45169590643274848</v>
      </c>
      <c r="AG8" s="39">
        <f>AG7/AF7-1</f>
        <v>4.0000000000000036E-2</v>
      </c>
      <c r="AH8" s="39">
        <f>AH7/AG7-1</f>
        <v>4.0000000000000036E-2</v>
      </c>
      <c r="AI8" s="39">
        <f>AI7/AH7-1</f>
        <v>4.0000000000000036E-2</v>
      </c>
      <c r="AJ8" s="39">
        <f>AJ7/AI7-1</f>
        <v>4.0000000000000036E-2</v>
      </c>
      <c r="AK8" s="39">
        <f>AK7/AJ7-1</f>
        <v>4.0000000000000036E-2</v>
      </c>
      <c r="AM8"/>
    </row>
    <row r="9" spans="2:39" x14ac:dyDescent="0.3">
      <c r="B9" s="21" t="s">
        <v>37</v>
      </c>
      <c r="C9" s="34"/>
      <c r="D9" s="34"/>
      <c r="E9" s="35"/>
      <c r="F9" s="34">
        <v>11</v>
      </c>
      <c r="G9" s="34">
        <f>AC9-F9</f>
        <v>8</v>
      </c>
      <c r="H9" s="249">
        <v>18</v>
      </c>
      <c r="I9" s="34">
        <f>AD9-H9</f>
        <v>33</v>
      </c>
      <c r="J9" s="249">
        <v>86</v>
      </c>
      <c r="K9" s="34">
        <f>AE9-J9</f>
        <v>60</v>
      </c>
      <c r="L9" s="249">
        <v>20</v>
      </c>
      <c r="M9" s="36">
        <f>K9*(1+M10)</f>
        <v>62.400000000000006</v>
      </c>
      <c r="N9" s="256">
        <f>L9*(1+N10)</f>
        <v>20.8</v>
      </c>
      <c r="O9" s="36">
        <f>M9*(1+O10)</f>
        <v>64.896000000000015</v>
      </c>
      <c r="P9" s="256">
        <f>N9*(1+P10)</f>
        <v>21.632000000000001</v>
      </c>
      <c r="Q9" s="36">
        <f>O9*(1+Q10)</f>
        <v>67.491840000000025</v>
      </c>
      <c r="R9" s="256">
        <f>P9*(1+R10)</f>
        <v>22.497280000000003</v>
      </c>
      <c r="S9" s="36">
        <f>Q9*(1+S10)</f>
        <v>70.191513600000022</v>
      </c>
      <c r="T9" s="256">
        <f>R9*(1+T10)</f>
        <v>23.397171200000006</v>
      </c>
      <c r="U9" s="36">
        <f>S9*(1+U10)</f>
        <v>72.999174144000023</v>
      </c>
      <c r="V9" s="256">
        <f>T9*(1+V10)</f>
        <v>24.333058048000009</v>
      </c>
      <c r="W9" s="259">
        <f>U9*(1+W10)</f>
        <v>75.91914110976002</v>
      </c>
      <c r="AC9" s="35">
        <v>19</v>
      </c>
      <c r="AD9" s="35">
        <v>51</v>
      </c>
      <c r="AE9" s="35">
        <v>146</v>
      </c>
      <c r="AF9" s="37">
        <f>L9+M9</f>
        <v>82.4</v>
      </c>
      <c r="AG9" s="37">
        <f>N9+O9</f>
        <v>85.696000000000012</v>
      </c>
      <c r="AH9" s="37">
        <f>P9+Q9</f>
        <v>89.12384000000003</v>
      </c>
      <c r="AI9" s="37">
        <f>R9+S9</f>
        <v>92.688793600000025</v>
      </c>
      <c r="AJ9" s="37">
        <f>T9+U9</f>
        <v>96.396345344000025</v>
      </c>
      <c r="AK9" s="37">
        <f>V9+W9</f>
        <v>100.25219915776003</v>
      </c>
    </row>
    <row r="10" spans="2:39" s="19" customFormat="1" x14ac:dyDescent="0.3">
      <c r="B10" s="24" t="s">
        <v>40</v>
      </c>
      <c r="C10" s="38" t="str">
        <f>IFERROR(C9/#REF!-1, "-")</f>
        <v>-</v>
      </c>
      <c r="D10" s="38" t="str">
        <f>IFERROR(D9/#REF!-1, "-")</f>
        <v>-</v>
      </c>
      <c r="E10" s="39" t="str">
        <f>IFERROR(E9/#REF!-1, "-")</f>
        <v>-</v>
      </c>
      <c r="F10" s="38">
        <f t="shared" ref="F10" si="4">F9/C11</f>
        <v>1.2101210121012101E-2</v>
      </c>
      <c r="G10" s="38">
        <f t="shared" ref="G10" si="5">G9/D11</f>
        <v>1.0126582278481013E-2</v>
      </c>
      <c r="H10" s="250">
        <f>H9/F11</f>
        <v>1.6822429906542057E-2</v>
      </c>
      <c r="I10" s="38">
        <f>I9/G11</f>
        <v>3.3367037411526794E-2</v>
      </c>
      <c r="J10" s="250">
        <f>J9/H11</f>
        <v>6.5449010654490103E-2</v>
      </c>
      <c r="K10" s="38">
        <f>K9/I11</f>
        <v>6.6298342541436461E-2</v>
      </c>
      <c r="L10" s="250">
        <f>L9/J11</f>
        <v>1.6233766233766232E-2</v>
      </c>
      <c r="M10" s="40">
        <v>0.04</v>
      </c>
      <c r="N10" s="257">
        <v>0.04</v>
      </c>
      <c r="O10" s="40">
        <v>0.04</v>
      </c>
      <c r="P10" s="257">
        <v>0.04</v>
      </c>
      <c r="Q10" s="40">
        <v>0.04</v>
      </c>
      <c r="R10" s="257">
        <v>0.04</v>
      </c>
      <c r="S10" s="40">
        <v>0.04</v>
      </c>
      <c r="T10" s="257">
        <v>0.04</v>
      </c>
      <c r="U10" s="40">
        <v>0.04</v>
      </c>
      <c r="V10" s="257">
        <v>0.04</v>
      </c>
      <c r="W10" s="260">
        <v>0.04</v>
      </c>
      <c r="Y10"/>
      <c r="AC10" s="39">
        <f>AC9/E11</f>
        <v>1.1183048852266038E-2</v>
      </c>
      <c r="AD10" s="39">
        <f>AD9/AC11</f>
        <v>2.476930548810102E-2</v>
      </c>
      <c r="AE10" s="39">
        <f>AE9/AD11</f>
        <v>6.576576576576576E-2</v>
      </c>
      <c r="AF10" s="39">
        <f>IFERROR(AF9/AE9-1, "-")</f>
        <v>-0.43561643835616437</v>
      </c>
      <c r="AG10" s="39">
        <f>IFERROR(AG9/AF9-1, "-")</f>
        <v>4.0000000000000036E-2</v>
      </c>
      <c r="AH10" s="39">
        <f>IFERROR(AH9/AG9-1, "-")</f>
        <v>4.0000000000000258E-2</v>
      </c>
      <c r="AI10" s="39">
        <f>IFERROR(AI9/AH9-1, "-")</f>
        <v>4.0000000000000036E-2</v>
      </c>
      <c r="AJ10" s="39">
        <f>IFERROR(AJ9/AI9-1, "-")</f>
        <v>4.0000000000000036E-2</v>
      </c>
      <c r="AK10" s="39">
        <f>IFERROR(AK9/AJ9-1, "-")</f>
        <v>4.0000000000000036E-2</v>
      </c>
      <c r="AM10"/>
    </row>
    <row r="11" spans="2:39" x14ac:dyDescent="0.3">
      <c r="B11" s="23" t="s">
        <v>216</v>
      </c>
      <c r="C11" s="41">
        <v>909</v>
      </c>
      <c r="D11" s="41">
        <f>E11-C11</f>
        <v>790</v>
      </c>
      <c r="E11" s="42">
        <v>1699</v>
      </c>
      <c r="F11" s="41">
        <f>C11+F5+F7+F9</f>
        <v>1070</v>
      </c>
      <c r="G11" s="41">
        <f>D11+G5+G7+G9</f>
        <v>989</v>
      </c>
      <c r="H11" s="251">
        <f>F11+H5+H7+H9-1</f>
        <v>1314</v>
      </c>
      <c r="I11" s="41">
        <f>G11+I5+I7+I9</f>
        <v>905</v>
      </c>
      <c r="J11" s="251">
        <f>H11+J5+J7+J9</f>
        <v>1232</v>
      </c>
      <c r="K11" s="41">
        <f>I11+K5+K7+K9</f>
        <v>929</v>
      </c>
      <c r="L11" s="251">
        <f>J11+L5+L7+L9</f>
        <v>1154</v>
      </c>
      <c r="M11" s="41">
        <f>K11+M5+M7+M9</f>
        <v>953.96</v>
      </c>
      <c r="N11" s="251">
        <f>L11+N5+N7+N9</f>
        <v>1072.8799999999999</v>
      </c>
      <c r="O11" s="41">
        <f>M11+O5+O7+O9</f>
        <v>979.91840000000002</v>
      </c>
      <c r="P11" s="251">
        <f>N11+P5+P7+P9</f>
        <v>988.51519999999982</v>
      </c>
      <c r="Q11" s="41">
        <f>O11+Q5+Q7+Q9</f>
        <v>1006.9151360000001</v>
      </c>
      <c r="R11" s="251">
        <f>P11+R5+R7+R9</f>
        <v>900.77580799999987</v>
      </c>
      <c r="S11" s="41">
        <f>Q11+S5+S7+S9</f>
        <v>1034.9917414400002</v>
      </c>
      <c r="T11" s="251">
        <f>R11+T5+T7+T9</f>
        <v>809.52684031999991</v>
      </c>
      <c r="U11" s="41">
        <f>S11+U5+U7+U9</f>
        <v>1064.1914110976002</v>
      </c>
      <c r="V11" s="251">
        <f>T11+V5+V7+V9</f>
        <v>714.62791393279986</v>
      </c>
      <c r="W11" s="261">
        <f>U11+W5+W7+W9</f>
        <v>1094.5590675415042</v>
      </c>
      <c r="AC11" s="42">
        <f>E11+AC5+AC7+AC9</f>
        <v>2059</v>
      </c>
      <c r="AD11" s="42">
        <f>AC11+AD5+AD7+AD9</f>
        <v>2220</v>
      </c>
      <c r="AE11" s="42">
        <f>AD11+AE5+AE7+AE9</f>
        <v>2162</v>
      </c>
      <c r="AF11" s="42">
        <f>AE11+AF5+AF7+AF9</f>
        <v>2108.96</v>
      </c>
      <c r="AG11" s="42">
        <f>AF11+AG5+AG7+AG9</f>
        <v>2053.7983999999997</v>
      </c>
      <c r="AH11" s="42">
        <f>AG11+AH5+AH7+AH9</f>
        <v>1996.4303359999997</v>
      </c>
      <c r="AI11" s="42">
        <f>AH11+AI5+AI7+AI9</f>
        <v>1936.7675494399998</v>
      </c>
      <c r="AJ11" s="42">
        <f>AI11+AJ5+AJ7+AJ9</f>
        <v>1874.7182514175997</v>
      </c>
      <c r="AK11" s="42">
        <f>AJ11+AK5+AK7+AK9</f>
        <v>1810.1869814743038</v>
      </c>
    </row>
    <row r="12" spans="2:39" s="19" customFormat="1" x14ac:dyDescent="0.3">
      <c r="B12" s="24" t="s">
        <v>42</v>
      </c>
      <c r="C12" s="38" t="str">
        <f>IFERROR(C11/#REF!-1, "-")</f>
        <v>-</v>
      </c>
      <c r="D12" s="38" t="str">
        <f>IFERROR(D11/#REF!-1, "-")</f>
        <v>-</v>
      </c>
      <c r="E12" s="39" t="str">
        <f>IFERROR(E11/#REF!-1, "-")</f>
        <v>-</v>
      </c>
      <c r="F12" s="38">
        <f t="shared" ref="F12:G12" si="6">IFERROR(F11/C11-1, "-")</f>
        <v>0.17711771177117708</v>
      </c>
      <c r="G12" s="38">
        <f t="shared" si="6"/>
        <v>0.2518987341772152</v>
      </c>
      <c r="H12" s="250">
        <f>IFERROR(H11/F11-1, "-")</f>
        <v>0.22803738317757016</v>
      </c>
      <c r="I12" s="38">
        <f>IFERROR(I11/G11-1, "-")</f>
        <v>-8.4934277047522766E-2</v>
      </c>
      <c r="J12" s="250">
        <f>IFERROR(J11/H11-1, "-")</f>
        <v>-6.2404870624048758E-2</v>
      </c>
      <c r="K12" s="38">
        <f>IFERROR(K11/I11-1, "-")</f>
        <v>2.6519337016574607E-2</v>
      </c>
      <c r="L12" s="250">
        <f>IFERROR(L11/J11-1, "-")</f>
        <v>-6.3311688311688319E-2</v>
      </c>
      <c r="M12" s="38">
        <f>IFERROR(M11/K11-1, "-")</f>
        <v>2.6867599569429634E-2</v>
      </c>
      <c r="N12" s="250">
        <f>IFERROR(N11/L11-1, "-")</f>
        <v>-7.0294627383015729E-2</v>
      </c>
      <c r="O12" s="38">
        <f>IFERROR(O11/M11-1, "-")</f>
        <v>2.7211203824059726E-2</v>
      </c>
      <c r="P12" s="250">
        <f>IFERROR(P11/N11-1, "-")</f>
        <v>-7.8633957199314097E-2</v>
      </c>
      <c r="Q12" s="38">
        <f>IFERROR(Q11/O11-1, "-")</f>
        <v>2.7549983753749396E-2</v>
      </c>
      <c r="R12" s="250">
        <f>IFERROR(R11/P11-1, "-")</f>
        <v>-8.8758768706844293E-2</v>
      </c>
      <c r="S12" s="38">
        <f>IFERROR(S11/Q11-1, "-")</f>
        <v>2.7883785272645012E-2</v>
      </c>
      <c r="T12" s="250">
        <f>IFERROR(T11/R11-1, "-")</f>
        <v>-0.10130042000417483</v>
      </c>
      <c r="U12" s="38">
        <f>IFERROR(U11/S11-1, "-")</f>
        <v>2.8212466330382435E-2</v>
      </c>
      <c r="V12" s="250">
        <f>IFERROR(V11/T11-1, "-")</f>
        <v>-0.117227646645647</v>
      </c>
      <c r="W12" s="262">
        <f>IFERROR(W11/U11-1, "-")</f>
        <v>2.8535896951642492E-2</v>
      </c>
      <c r="Y12"/>
      <c r="AC12" s="39">
        <f>IFERROR(AC11/E11-1, "-")</f>
        <v>0.21188934667451442</v>
      </c>
      <c r="AD12" s="39">
        <f>IFERROR(AD11/AC11-1, "-")</f>
        <v>7.8193297717338517E-2</v>
      </c>
      <c r="AE12" s="39">
        <f>IFERROR(AE11/AD11-1, "-")</f>
        <v>-2.6126126126126081E-2</v>
      </c>
      <c r="AF12" s="39">
        <f>IFERROR(AF11/AE11-1, "-")</f>
        <v>-2.4532839962997155E-2</v>
      </c>
      <c r="AG12" s="39">
        <f>IFERROR(AG11/AF11-1, "-")</f>
        <v>-2.6155830361884735E-2</v>
      </c>
      <c r="AH12" s="39">
        <f>IFERROR(AH11/AG11-1, "-")</f>
        <v>-2.7932665640405641E-2</v>
      </c>
      <c r="AI12" s="39">
        <f>IFERROR(AI11/AH11-1, "-")</f>
        <v>-2.9884732506889722E-2</v>
      </c>
      <c r="AJ12" s="39">
        <f>IFERROR(AJ11/AI11-1, "-")</f>
        <v>-3.2037555586028388E-2</v>
      </c>
      <c r="AK12" s="39">
        <f>IFERROR(AK11/AJ11-1, "-")</f>
        <v>-3.4421849733686338E-2</v>
      </c>
      <c r="AM12"/>
    </row>
    <row r="13" spans="2:39" x14ac:dyDescent="0.3">
      <c r="B13" s="21"/>
      <c r="C13" s="43"/>
      <c r="D13" s="43"/>
      <c r="E13" s="44"/>
      <c r="F13" s="43"/>
      <c r="G13" s="43"/>
      <c r="H13" s="252"/>
      <c r="I13" s="43"/>
      <c r="J13" s="252"/>
      <c r="K13" s="43"/>
      <c r="L13" s="252"/>
      <c r="M13" s="43"/>
      <c r="N13" s="252"/>
      <c r="O13" s="43"/>
      <c r="P13" s="252"/>
      <c r="Q13" s="43"/>
      <c r="R13" s="252"/>
      <c r="S13" s="43"/>
      <c r="T13" s="252"/>
      <c r="U13" s="43"/>
      <c r="V13" s="252"/>
      <c r="W13" s="263"/>
      <c r="AC13" s="44"/>
      <c r="AD13" s="44"/>
      <c r="AE13" s="44"/>
      <c r="AF13" s="44"/>
      <c r="AG13" s="44"/>
      <c r="AH13" s="44"/>
      <c r="AI13" s="44"/>
      <c r="AJ13" s="44"/>
      <c r="AK13" s="45"/>
    </row>
    <row r="14" spans="2:39" x14ac:dyDescent="0.3">
      <c r="B14" s="23" t="s">
        <v>213</v>
      </c>
      <c r="C14" s="43"/>
      <c r="D14" s="43"/>
      <c r="E14" s="44"/>
      <c r="F14" s="43"/>
      <c r="G14" s="43"/>
      <c r="H14" s="252"/>
      <c r="I14" s="43"/>
      <c r="J14" s="252"/>
      <c r="K14" s="43"/>
      <c r="L14" s="252"/>
      <c r="M14" s="43"/>
      <c r="N14" s="252"/>
      <c r="O14" s="43"/>
      <c r="P14" s="252"/>
      <c r="Q14" s="43"/>
      <c r="R14" s="252"/>
      <c r="S14" s="43"/>
      <c r="T14" s="252"/>
      <c r="U14" s="43"/>
      <c r="V14" s="252"/>
      <c r="W14" s="263"/>
      <c r="AC14" s="44"/>
      <c r="AD14" s="44"/>
      <c r="AE14" s="44"/>
      <c r="AF14" s="44"/>
      <c r="AG14" s="44"/>
      <c r="AH14" s="44"/>
      <c r="AI14" s="44"/>
      <c r="AJ14" s="44"/>
      <c r="AK14" s="45"/>
    </row>
    <row r="15" spans="2:39" x14ac:dyDescent="0.3">
      <c r="B15" s="21" t="s">
        <v>35</v>
      </c>
      <c r="C15" s="34"/>
      <c r="D15" s="34"/>
      <c r="E15" s="35"/>
      <c r="F15" s="34">
        <v>198</v>
      </c>
      <c r="G15" s="34">
        <f>AC15-F15</f>
        <v>185</v>
      </c>
      <c r="H15" s="249">
        <v>285</v>
      </c>
      <c r="I15" s="34">
        <f>AD15-H15</f>
        <v>216</v>
      </c>
      <c r="J15" s="249">
        <v>62</v>
      </c>
      <c r="K15" s="34">
        <f>AE15-J15</f>
        <v>93</v>
      </c>
      <c r="L15" s="249">
        <v>-98</v>
      </c>
      <c r="M15" s="36">
        <f>K15*(1+M16)</f>
        <v>96.72</v>
      </c>
      <c r="N15" s="256">
        <f>L15*(1+N16)</f>
        <v>-101.92</v>
      </c>
      <c r="O15" s="36">
        <f>M15*(1+O16)</f>
        <v>100.58880000000001</v>
      </c>
      <c r="P15" s="256">
        <f>N15*(1+P16)</f>
        <v>-105.99680000000001</v>
      </c>
      <c r="Q15" s="36">
        <f>O15*(1+Q16)</f>
        <v>104.61235200000002</v>
      </c>
      <c r="R15" s="256">
        <f>P15*(1+R16)</f>
        <v>-110.23667200000001</v>
      </c>
      <c r="S15" s="36">
        <f>Q15*(1+S16)</f>
        <v>108.79684608000002</v>
      </c>
      <c r="T15" s="256">
        <f>R15*(1+T16)</f>
        <v>-114.64613888000002</v>
      </c>
      <c r="U15" s="36">
        <f>S15*(1+U16)</f>
        <v>113.14871992320003</v>
      </c>
      <c r="V15" s="256">
        <f>T15*(1+V16)</f>
        <v>-119.23198443520003</v>
      </c>
      <c r="W15" s="259">
        <f>U15*(1+W16)</f>
        <v>117.67466872012804</v>
      </c>
      <c r="AC15" s="35">
        <v>383</v>
      </c>
      <c r="AD15" s="35">
        <v>501</v>
      </c>
      <c r="AE15" s="35">
        <v>155</v>
      </c>
      <c r="AF15" s="37">
        <f>L15+M15</f>
        <v>-1.2800000000000011</v>
      </c>
      <c r="AG15" s="37">
        <f>N15+O15</f>
        <v>-1.3311999999999955</v>
      </c>
      <c r="AH15" s="37">
        <f>P15+Q15</f>
        <v>-1.3844479999999919</v>
      </c>
      <c r="AI15" s="37">
        <f>R15+S15</f>
        <v>-1.4398259199999899</v>
      </c>
      <c r="AJ15" s="37">
        <f>T15+U15</f>
        <v>-1.49741895679999</v>
      </c>
      <c r="AK15" s="37">
        <f>V15+W15</f>
        <v>-1.5573157150719936</v>
      </c>
    </row>
    <row r="16" spans="2:39" s="19" customFormat="1" x14ac:dyDescent="0.3">
      <c r="B16" s="24" t="s">
        <v>38</v>
      </c>
      <c r="C16" s="38" t="str">
        <f>IFERROR(C15/#REF!-1, "-")</f>
        <v>-</v>
      </c>
      <c r="D16" s="38" t="str">
        <f>IFERROR(D15/#REF!-1, "-")</f>
        <v>-</v>
      </c>
      <c r="E16" s="39" t="str">
        <f>IFERROR(E15/#REF!-1, "-")</f>
        <v>-</v>
      </c>
      <c r="F16" s="38">
        <f t="shared" ref="F16" si="7">F15/C21</f>
        <v>0.16071428571428573</v>
      </c>
      <c r="G16" s="38">
        <f t="shared" ref="G16" si="8">G15/D21</f>
        <v>0.22342995169082125</v>
      </c>
      <c r="H16" s="250">
        <f>H15/F21</f>
        <v>0.19547325102880658</v>
      </c>
      <c r="I16" s="38">
        <f>I15/G21</f>
        <v>0.20829315332690454</v>
      </c>
      <c r="J16" s="250">
        <f>J15/H21</f>
        <v>3.3935413245758071E-2</v>
      </c>
      <c r="K16" s="38">
        <f>K15/I21</f>
        <v>8.1507449605609114E-2</v>
      </c>
      <c r="L16" s="250">
        <f>L15/J21</f>
        <v>-5.7680988816951148E-2</v>
      </c>
      <c r="M16" s="40">
        <v>0.04</v>
      </c>
      <c r="N16" s="257">
        <v>0.04</v>
      </c>
      <c r="O16" s="40">
        <v>0.04</v>
      </c>
      <c r="P16" s="257">
        <v>0.04</v>
      </c>
      <c r="Q16" s="40">
        <v>0.04</v>
      </c>
      <c r="R16" s="257">
        <v>0.04</v>
      </c>
      <c r="S16" s="40">
        <v>0.04</v>
      </c>
      <c r="T16" s="257">
        <v>0.04</v>
      </c>
      <c r="U16" s="40">
        <v>0.04</v>
      </c>
      <c r="V16" s="257">
        <v>0.04</v>
      </c>
      <c r="W16" s="260">
        <v>0.04</v>
      </c>
      <c r="Y16"/>
      <c r="AC16" s="39">
        <f>AC15/E21</f>
        <v>0.18592233009708739</v>
      </c>
      <c r="AD16" s="39">
        <f>AD15/AC21</f>
        <v>0.20072115384615385</v>
      </c>
      <c r="AE16" s="39">
        <f>AE15/AD21</f>
        <v>5.2206130010104414E-2</v>
      </c>
      <c r="AF16" s="39">
        <f>AF15/AE15-1</f>
        <v>-1.008258064516129</v>
      </c>
      <c r="AG16" s="39">
        <f>AG15/AF15-1</f>
        <v>3.9999999999995595E-2</v>
      </c>
      <c r="AH16" s="39">
        <f>AH15/AG15-1</f>
        <v>3.9999999999997371E-2</v>
      </c>
      <c r="AI16" s="39">
        <f>AI15/AH15-1</f>
        <v>3.9999999999998703E-2</v>
      </c>
      <c r="AJ16" s="39">
        <f>AJ15/AI15-1</f>
        <v>4.000000000000048E-2</v>
      </c>
      <c r="AK16" s="39">
        <f>AK15/AJ15-1</f>
        <v>4.00000000000027E-2</v>
      </c>
      <c r="AM16"/>
    </row>
    <row r="17" spans="2:39" x14ac:dyDescent="0.3">
      <c r="B17" s="21" t="s">
        <v>36</v>
      </c>
      <c r="C17" s="34"/>
      <c r="D17" s="34"/>
      <c r="E17" s="35"/>
      <c r="F17" s="34">
        <v>29</v>
      </c>
      <c r="G17" s="34">
        <f>AC17-F17</f>
        <v>24</v>
      </c>
      <c r="H17" s="249">
        <v>36</v>
      </c>
      <c r="I17" s="34">
        <f>AD17-H17</f>
        <v>-138</v>
      </c>
      <c r="J17" s="249">
        <v>-279</v>
      </c>
      <c r="K17" s="34">
        <f>AE17-J17</f>
        <v>-119</v>
      </c>
      <c r="L17" s="249">
        <v>-83</v>
      </c>
      <c r="M17" s="36">
        <f>K17*(1+M18)</f>
        <v>-123.76</v>
      </c>
      <c r="N17" s="256">
        <f>L17*(1+N18)</f>
        <v>-86.320000000000007</v>
      </c>
      <c r="O17" s="36">
        <f>M17*(1+O18)</f>
        <v>-128.71040000000002</v>
      </c>
      <c r="P17" s="256">
        <f>N17*(1+P18)</f>
        <v>-89.772800000000004</v>
      </c>
      <c r="Q17" s="36">
        <f>O17*(1+Q18)</f>
        <v>-133.85881600000002</v>
      </c>
      <c r="R17" s="256">
        <f>P17*(1+R18)</f>
        <v>-93.363712000000007</v>
      </c>
      <c r="S17" s="36">
        <f>Q17*(1+S18)</f>
        <v>-139.21316864000002</v>
      </c>
      <c r="T17" s="256">
        <f>R17*(1+T18)</f>
        <v>-97.098260480000008</v>
      </c>
      <c r="U17" s="36">
        <f>S17*(1+U18)</f>
        <v>-144.78169538560002</v>
      </c>
      <c r="V17" s="256">
        <f>T17*(1+V18)</f>
        <v>-100.98219089920001</v>
      </c>
      <c r="W17" s="259">
        <f>U17*(1+W18)</f>
        <v>-150.57296320102401</v>
      </c>
      <c r="AC17" s="35">
        <v>53</v>
      </c>
      <c r="AD17" s="35">
        <v>-102</v>
      </c>
      <c r="AE17" s="35">
        <v>-398</v>
      </c>
      <c r="AF17" s="37">
        <f>L17+M17</f>
        <v>-206.76</v>
      </c>
      <c r="AG17" s="37">
        <f>N17+O17</f>
        <v>-215.03040000000004</v>
      </c>
      <c r="AH17" s="37">
        <f>P17+Q17</f>
        <v>-223.63161600000001</v>
      </c>
      <c r="AI17" s="37">
        <f>R17+S17</f>
        <v>-232.57688064000001</v>
      </c>
      <c r="AJ17" s="37">
        <f>T17+U17</f>
        <v>-241.87995586560004</v>
      </c>
      <c r="AK17" s="37">
        <f>V17+W17</f>
        <v>-251.555154100224</v>
      </c>
    </row>
    <row r="18" spans="2:39" s="19" customFormat="1" x14ac:dyDescent="0.3">
      <c r="B18" s="24" t="s">
        <v>39</v>
      </c>
      <c r="C18" s="38" t="str">
        <f>IFERROR(C17/#REF!-1, "-")</f>
        <v>-</v>
      </c>
      <c r="D18" s="38" t="str">
        <f>IFERROR(D17/#REF!-1, "-")</f>
        <v>-</v>
      </c>
      <c r="E18" s="39" t="str">
        <f>IFERROR(E17/#REF!-1, "-")</f>
        <v>-</v>
      </c>
      <c r="F18" s="38">
        <f t="shared" ref="F18" si="9">F17/C21</f>
        <v>2.353896103896104E-2</v>
      </c>
      <c r="G18" s="38">
        <f t="shared" ref="G18" si="10">G17/D21</f>
        <v>2.8985507246376812E-2</v>
      </c>
      <c r="H18" s="250">
        <f>H17/F21</f>
        <v>2.4691358024691357E-2</v>
      </c>
      <c r="I18" s="38">
        <f>I17/G21</f>
        <v>-0.13307618129218901</v>
      </c>
      <c r="J18" s="250">
        <f>J17/H21</f>
        <v>-0.15270935960591134</v>
      </c>
      <c r="K18" s="38">
        <f>K17/I21</f>
        <v>-0.10429447852760736</v>
      </c>
      <c r="L18" s="250">
        <f>L17/J21</f>
        <v>-4.8852266038846383E-2</v>
      </c>
      <c r="M18" s="40">
        <v>0.04</v>
      </c>
      <c r="N18" s="257">
        <v>0.04</v>
      </c>
      <c r="O18" s="40">
        <v>0.04</v>
      </c>
      <c r="P18" s="257">
        <v>0.04</v>
      </c>
      <c r="Q18" s="40">
        <v>0.04</v>
      </c>
      <c r="R18" s="257">
        <v>0.04</v>
      </c>
      <c r="S18" s="40">
        <v>0.04</v>
      </c>
      <c r="T18" s="257">
        <v>0.04</v>
      </c>
      <c r="U18" s="40">
        <v>0.04</v>
      </c>
      <c r="V18" s="257">
        <v>0.04</v>
      </c>
      <c r="W18" s="260">
        <v>0.04</v>
      </c>
      <c r="Y18"/>
      <c r="AC18" s="39">
        <f>AC17/E21</f>
        <v>2.5728155339805825E-2</v>
      </c>
      <c r="AD18" s="39">
        <f>AD17/AC21</f>
        <v>-4.0865384615384616E-2</v>
      </c>
      <c r="AE18" s="39">
        <f>AE17/AD21</f>
        <v>-0.13405186931626811</v>
      </c>
      <c r="AF18" s="39">
        <f>AF17/AE17-1</f>
        <v>-0.48050251256281407</v>
      </c>
      <c r="AG18" s="39">
        <f>AG17/AF17-1</f>
        <v>4.0000000000000258E-2</v>
      </c>
      <c r="AH18" s="39">
        <f>AH17/AG17-1</f>
        <v>3.9999999999999813E-2</v>
      </c>
      <c r="AI18" s="39">
        <f>AI17/AH17-1</f>
        <v>4.0000000000000036E-2</v>
      </c>
      <c r="AJ18" s="39">
        <f>AJ17/AI17-1</f>
        <v>4.0000000000000036E-2</v>
      </c>
      <c r="AK18" s="39">
        <f>AK17/AJ17-1</f>
        <v>3.9999999999999813E-2</v>
      </c>
      <c r="AM18"/>
    </row>
    <row r="19" spans="2:39" x14ac:dyDescent="0.3">
      <c r="B19" s="21" t="s">
        <v>37</v>
      </c>
      <c r="C19" s="34"/>
      <c r="D19" s="34"/>
      <c r="E19" s="35"/>
      <c r="F19" s="34">
        <v>0</v>
      </c>
      <c r="G19" s="34">
        <f>AC19-F19</f>
        <v>0</v>
      </c>
      <c r="H19" s="249">
        <v>48</v>
      </c>
      <c r="I19" s="34">
        <f>AD19-H19</f>
        <v>26</v>
      </c>
      <c r="J19" s="249">
        <v>89</v>
      </c>
      <c r="K19" s="34">
        <f>AE19-J19</f>
        <v>37</v>
      </c>
      <c r="L19" s="249">
        <v>5</v>
      </c>
      <c r="M19" s="36">
        <f>K19*(1+M20)</f>
        <v>38.480000000000004</v>
      </c>
      <c r="N19" s="256">
        <f>L19*(1+N20)</f>
        <v>5.2</v>
      </c>
      <c r="O19" s="36">
        <f>M19*(1+O20)</f>
        <v>40.019200000000005</v>
      </c>
      <c r="P19" s="256">
        <f>N19*(1+P20)</f>
        <v>5.4080000000000004</v>
      </c>
      <c r="Q19" s="36">
        <f>O19*(1+Q20)</f>
        <v>41.619968000000007</v>
      </c>
      <c r="R19" s="256">
        <f>P19*(1+R20)</f>
        <v>5.6243200000000009</v>
      </c>
      <c r="S19" s="36">
        <f>Q19*(1+S20)</f>
        <v>43.284766720000007</v>
      </c>
      <c r="T19" s="256">
        <f>R19*(1+T20)</f>
        <v>5.8492928000000015</v>
      </c>
      <c r="U19" s="36">
        <f>S19*(1+U20)</f>
        <v>45.016157388800011</v>
      </c>
      <c r="V19" s="256">
        <f>T19*(1+V20)</f>
        <v>6.0832645120000022</v>
      </c>
      <c r="W19" s="259">
        <f>U19*(1+W20)</f>
        <v>46.81680368435201</v>
      </c>
      <c r="AC19" s="35">
        <v>0</v>
      </c>
      <c r="AD19" s="35">
        <v>74</v>
      </c>
      <c r="AE19" s="35">
        <v>126</v>
      </c>
      <c r="AF19" s="37">
        <f>L19+M19</f>
        <v>43.480000000000004</v>
      </c>
      <c r="AG19" s="37">
        <f>N19+O19</f>
        <v>45.219200000000008</v>
      </c>
      <c r="AH19" s="37">
        <f>P19+Q19</f>
        <v>47.027968000000008</v>
      </c>
      <c r="AI19" s="37">
        <f>R19+S19</f>
        <v>48.909086720000005</v>
      </c>
      <c r="AJ19" s="37">
        <f>T19+U19</f>
        <v>50.865450188800011</v>
      </c>
      <c r="AK19" s="37">
        <f>V19+W19</f>
        <v>52.900068196352009</v>
      </c>
    </row>
    <row r="20" spans="2:39" s="19" customFormat="1" x14ac:dyDescent="0.3">
      <c r="B20" s="24" t="s">
        <v>40</v>
      </c>
      <c r="C20" s="38" t="str">
        <f>IFERROR(C19/#REF!-1, "-")</f>
        <v>-</v>
      </c>
      <c r="D20" s="38" t="str">
        <f>IFERROR(D19/#REF!-1, "-")</f>
        <v>-</v>
      </c>
      <c r="E20" s="39" t="str">
        <f>IFERROR(E19/#REF!-1, "-")</f>
        <v>-</v>
      </c>
      <c r="F20" s="38">
        <f t="shared" ref="F20" si="11">F19/C21</f>
        <v>0</v>
      </c>
      <c r="G20" s="38">
        <f t="shared" ref="G20" si="12">G19/D21</f>
        <v>0</v>
      </c>
      <c r="H20" s="250">
        <f>H19/F21</f>
        <v>3.292181069958848E-2</v>
      </c>
      <c r="I20" s="38">
        <f>I19/G21</f>
        <v>2.5072324011571841E-2</v>
      </c>
      <c r="J20" s="250">
        <f>J19/H21</f>
        <v>4.8713738368910783E-2</v>
      </c>
      <c r="K20" s="38">
        <f>K19/I21</f>
        <v>3.2427695004382119E-2</v>
      </c>
      <c r="L20" s="250">
        <f>L19/J21</f>
        <v>2.942907592701589E-3</v>
      </c>
      <c r="M20" s="40">
        <v>0.04</v>
      </c>
      <c r="N20" s="257">
        <v>0.04</v>
      </c>
      <c r="O20" s="40">
        <v>0.04</v>
      </c>
      <c r="P20" s="257">
        <v>0.04</v>
      </c>
      <c r="Q20" s="40">
        <v>0.04</v>
      </c>
      <c r="R20" s="257">
        <v>0.04</v>
      </c>
      <c r="S20" s="40">
        <v>0.04</v>
      </c>
      <c r="T20" s="257">
        <v>0.04</v>
      </c>
      <c r="U20" s="40">
        <v>0.04</v>
      </c>
      <c r="V20" s="257">
        <v>0.04</v>
      </c>
      <c r="W20" s="260">
        <v>0.04</v>
      </c>
      <c r="Y20"/>
      <c r="AC20" s="39">
        <f>AC19/E21</f>
        <v>0</v>
      </c>
      <c r="AD20" s="39">
        <f>AD19/AC21</f>
        <v>2.9647435897435896E-2</v>
      </c>
      <c r="AE20" s="39">
        <f>AE19/AD21</f>
        <v>4.2438531492084874E-2</v>
      </c>
      <c r="AF20" s="39">
        <f>IFERROR(AF19/AE19-1, "-")</f>
        <v>-0.6549206349206349</v>
      </c>
      <c r="AG20" s="39">
        <f>IFERROR(AG19/AF19-1, "-")</f>
        <v>4.0000000000000036E-2</v>
      </c>
      <c r="AH20" s="39">
        <f>IFERROR(AH19/AG19-1, "-")</f>
        <v>4.0000000000000036E-2</v>
      </c>
      <c r="AI20" s="39">
        <f>IFERROR(AI19/AH19-1, "-")</f>
        <v>3.9999999999999813E-2</v>
      </c>
      <c r="AJ20" s="39">
        <f>IFERROR(AJ19/AI19-1, "-")</f>
        <v>4.0000000000000036E-2</v>
      </c>
      <c r="AK20" s="39">
        <f>IFERROR(AK19/AJ19-1, "-")</f>
        <v>4.0000000000000036E-2</v>
      </c>
      <c r="AM20"/>
    </row>
    <row r="21" spans="2:39" x14ac:dyDescent="0.3">
      <c r="B21" s="23" t="s">
        <v>214</v>
      </c>
      <c r="C21" s="41">
        <v>1232</v>
      </c>
      <c r="D21" s="41">
        <f>E21-C21</f>
        <v>828</v>
      </c>
      <c r="E21" s="42">
        <v>2060</v>
      </c>
      <c r="F21" s="41">
        <f>C21+F15+F17+F19-1</f>
        <v>1458</v>
      </c>
      <c r="G21" s="41">
        <f t="shared" ref="G21" si="13">D21+G15+G17+G19</f>
        <v>1037</v>
      </c>
      <c r="H21" s="251">
        <f>F21+H15+H17+H19</f>
        <v>1827</v>
      </c>
      <c r="I21" s="41">
        <f>G21+I15+I17+I19</f>
        <v>1141</v>
      </c>
      <c r="J21" s="251">
        <f>H21+J15+J17+J19</f>
        <v>1699</v>
      </c>
      <c r="K21" s="41">
        <f>I21+K15+K17+K19</f>
        <v>1152</v>
      </c>
      <c r="L21" s="251">
        <f>J21+L15+L17+L19</f>
        <v>1523</v>
      </c>
      <c r="M21" s="41">
        <f>K21+M15+M17+M19</f>
        <v>1163.44</v>
      </c>
      <c r="N21" s="251">
        <f>L21+N15+N17+N19</f>
        <v>1339.96</v>
      </c>
      <c r="O21" s="41">
        <f>M21+O15+O17+O19</f>
        <v>1175.3376000000001</v>
      </c>
      <c r="P21" s="251">
        <f>N21+P15+P17+P19</f>
        <v>1149.5984000000001</v>
      </c>
      <c r="Q21" s="41">
        <f>O21+Q15+Q17+Q19</f>
        <v>1187.7111040000002</v>
      </c>
      <c r="R21" s="251">
        <f>P21+R15+R17+R19</f>
        <v>951.62233600000013</v>
      </c>
      <c r="S21" s="41">
        <f>Q21+S15+S17+S19</f>
        <v>1200.5795481600003</v>
      </c>
      <c r="T21" s="251">
        <f>R21+T15+T17+T19</f>
        <v>745.72722944000009</v>
      </c>
      <c r="U21" s="41">
        <f>S21+U15+U17+U19</f>
        <v>1213.9627300864004</v>
      </c>
      <c r="V21" s="251">
        <f>T21+V15+V17+V19</f>
        <v>531.5963186176001</v>
      </c>
      <c r="W21" s="261">
        <f>U21+W15+W17+W19</f>
        <v>1227.8812392898562</v>
      </c>
      <c r="AC21" s="42">
        <f>E21+AC15+AC17+AC19</f>
        <v>2496</v>
      </c>
      <c r="AD21" s="42">
        <f>AC21+AD15+AD17+AD19</f>
        <v>2969</v>
      </c>
      <c r="AE21" s="42">
        <f>AD21+AE15+AE17+AE19</f>
        <v>2852</v>
      </c>
      <c r="AF21" s="42">
        <f>AE21+AF15+AF17+AF19</f>
        <v>2687.44</v>
      </c>
      <c r="AG21" s="42">
        <f>AF21+AG15+AG17+AG19</f>
        <v>2516.2975999999999</v>
      </c>
      <c r="AH21" s="42">
        <f>AG21+AH15+AH17+AH19</f>
        <v>2338.3095039999998</v>
      </c>
      <c r="AI21" s="42">
        <f>AH21+AI15+AI17+AI19</f>
        <v>2153.2018841599993</v>
      </c>
      <c r="AJ21" s="42">
        <f>AI21+AJ15+AJ17+AJ19</f>
        <v>1960.689959526399</v>
      </c>
      <c r="AK21" s="42">
        <f>AJ21+AK15+AK17+AK19</f>
        <v>1760.4775579074551</v>
      </c>
    </row>
    <row r="22" spans="2:39" s="19" customFormat="1" x14ac:dyDescent="0.3">
      <c r="B22" s="24" t="s">
        <v>42</v>
      </c>
      <c r="C22" s="38" t="str">
        <f>IFERROR(C21/#REF!-1, "-")</f>
        <v>-</v>
      </c>
      <c r="D22" s="38" t="str">
        <f>IFERROR(D21/#REF!-1, "-")</f>
        <v>-</v>
      </c>
      <c r="E22" s="39" t="str">
        <f>IFERROR(E21/#REF!-1, "-")</f>
        <v>-</v>
      </c>
      <c r="F22" s="38">
        <f t="shared" ref="F22:G22" si="14">IFERROR(F21/C21-1, "-")</f>
        <v>0.18344155844155852</v>
      </c>
      <c r="G22" s="38">
        <f t="shared" si="14"/>
        <v>0.25241545893719808</v>
      </c>
      <c r="H22" s="250">
        <f>IFERROR(H21/F21-1, "-")</f>
        <v>0.25308641975308643</v>
      </c>
      <c r="I22" s="38">
        <f>IFERROR(I21/G21-1, "-")</f>
        <v>0.10028929604628734</v>
      </c>
      <c r="J22" s="250">
        <f>IFERROR(J21/H21-1, "-")</f>
        <v>-7.0060207991242462E-2</v>
      </c>
      <c r="K22" s="38">
        <f>IFERROR(K21/I21-1, "-")</f>
        <v>9.6406660823837864E-3</v>
      </c>
      <c r="L22" s="250">
        <f>IFERROR(L21/J21-1, "-")</f>
        <v>-0.10359034726309591</v>
      </c>
      <c r="M22" s="38">
        <f>IFERROR(M21/K21-1, "-")</f>
        <v>9.9305555555555536E-3</v>
      </c>
      <c r="N22" s="250">
        <f>IFERROR(N21/L21-1, "-")</f>
        <v>-0.1201838476690742</v>
      </c>
      <c r="O22" s="38">
        <f>IFERROR(O21/M21-1, "-")</f>
        <v>1.0226225675582734E-2</v>
      </c>
      <c r="P22" s="250">
        <f>IFERROR(P21/N21-1, "-")</f>
        <v>-0.14206513627272455</v>
      </c>
      <c r="Q22" s="38">
        <f>IFERROR(Q21/O21-1, "-")</f>
        <v>1.0527616916195193E-2</v>
      </c>
      <c r="R22" s="250">
        <f>IFERROR(R21/P21-1, "-")</f>
        <v>-0.17221323898850238</v>
      </c>
      <c r="S22" s="38">
        <f>IFERROR(S21/Q21-1, "-")</f>
        <v>1.0834658459166979E-2</v>
      </c>
      <c r="T22" s="250">
        <f>IFERROR(T21/R21-1, "-")</f>
        <v>-0.21636220459625699</v>
      </c>
      <c r="U22" s="38">
        <f>IFERROR(U21/S21-1, "-")</f>
        <v>1.1147267956472362E-2</v>
      </c>
      <c r="V22" s="250">
        <f>IFERROR(V21/T21-1, "-")</f>
        <v>-0.28714374689415656</v>
      </c>
      <c r="W22" s="262">
        <f>IFERROR(W21/U21-1, "-")</f>
        <v>1.1465351331226836E-2</v>
      </c>
      <c r="Y22"/>
      <c r="AC22" s="39">
        <f>IFERROR(AC21/E21-1, "-")</f>
        <v>0.21165048543689324</v>
      </c>
      <c r="AD22" s="39">
        <f>IFERROR(AD21/AC21-1, "-")</f>
        <v>0.18950320512820507</v>
      </c>
      <c r="AE22" s="39">
        <f>IFERROR(AE21/AD21-1, "-")</f>
        <v>-3.9407207814078804E-2</v>
      </c>
      <c r="AF22" s="39">
        <f>IFERROR(AF21/AE21-1, "-")</f>
        <v>-5.7699859747545545E-2</v>
      </c>
      <c r="AG22" s="39">
        <f>IFERROR(AG21/AF21-1, "-")</f>
        <v>-6.3682314767957715E-2</v>
      </c>
      <c r="AH22" s="39">
        <f>IFERROR(AH21/AG21-1, "-")</f>
        <v>-7.0734119843376297E-2</v>
      </c>
      <c r="AI22" s="39">
        <f>IFERROR(AI21/AH21-1, "-")</f>
        <v>-7.9163010509664566E-2</v>
      </c>
      <c r="AJ22" s="39">
        <f>IFERROR(AJ21/AI21-1, "-")</f>
        <v>-8.9407280408684286E-2</v>
      </c>
      <c r="AK22" s="39">
        <f>IFERROR(AK21/AJ21-1, "-")</f>
        <v>-0.10211323858021126</v>
      </c>
      <c r="AM22"/>
    </row>
    <row r="23" spans="2:39" s="19" customFormat="1" x14ac:dyDescent="0.3">
      <c r="B23" s="24"/>
      <c r="C23" s="38"/>
      <c r="D23" s="38"/>
      <c r="E23" s="39"/>
      <c r="F23" s="38"/>
      <c r="G23" s="38"/>
      <c r="H23" s="250"/>
      <c r="I23" s="38"/>
      <c r="J23" s="250"/>
      <c r="K23" s="38"/>
      <c r="L23" s="250"/>
      <c r="M23" s="38"/>
      <c r="N23" s="250"/>
      <c r="O23" s="38"/>
      <c r="P23" s="250"/>
      <c r="Q23" s="38"/>
      <c r="R23" s="250"/>
      <c r="S23" s="38"/>
      <c r="T23" s="250"/>
      <c r="U23" s="38"/>
      <c r="V23" s="250"/>
      <c r="W23" s="262"/>
      <c r="AC23" s="39"/>
      <c r="AD23" s="39"/>
      <c r="AE23" s="39"/>
      <c r="AF23" s="39"/>
      <c r="AG23" s="39"/>
      <c r="AH23" s="39"/>
      <c r="AI23" s="39"/>
      <c r="AJ23" s="39"/>
      <c r="AK23" s="39"/>
    </row>
    <row r="24" spans="2:39" x14ac:dyDescent="0.3">
      <c r="B24" s="23" t="s">
        <v>212</v>
      </c>
      <c r="C24" s="43"/>
      <c r="D24" s="43"/>
      <c r="E24" s="44"/>
      <c r="F24" s="43"/>
      <c r="G24" s="43"/>
      <c r="H24" s="252"/>
      <c r="I24" s="43"/>
      <c r="J24" s="252"/>
      <c r="K24" s="43"/>
      <c r="L24" s="252"/>
      <c r="M24" s="43"/>
      <c r="N24" s="252"/>
      <c r="O24" s="43"/>
      <c r="P24" s="252"/>
      <c r="Q24" s="43"/>
      <c r="R24" s="252"/>
      <c r="S24" s="43"/>
      <c r="T24" s="252"/>
      <c r="U24" s="43"/>
      <c r="V24" s="252"/>
      <c r="W24" s="263"/>
      <c r="AC24" s="44"/>
      <c r="AD24" s="44"/>
      <c r="AE24" s="44"/>
      <c r="AF24" s="44"/>
      <c r="AG24" s="44"/>
      <c r="AH24" s="44"/>
      <c r="AI24" s="44"/>
      <c r="AJ24" s="44"/>
      <c r="AK24" s="44"/>
    </row>
    <row r="25" spans="2:39" x14ac:dyDescent="0.3">
      <c r="B25" s="21" t="s">
        <v>35</v>
      </c>
      <c r="C25" s="34"/>
      <c r="D25" s="34"/>
      <c r="E25" s="35"/>
      <c r="F25" s="34">
        <v>211</v>
      </c>
      <c r="G25" s="34">
        <f>AC25-F25</f>
        <v>131</v>
      </c>
      <c r="H25" s="249">
        <v>79</v>
      </c>
      <c r="I25" s="34">
        <f>AD25-H25</f>
        <v>56</v>
      </c>
      <c r="J25" s="249">
        <v>-67</v>
      </c>
      <c r="K25" s="34">
        <f>AE25-J25</f>
        <v>-17</v>
      </c>
      <c r="L25" s="249">
        <v>-30</v>
      </c>
      <c r="M25" s="36">
        <f>K25*(1+M26)</f>
        <v>-17.68</v>
      </c>
      <c r="N25" s="256">
        <f>L25*(1+N26)</f>
        <v>-31.200000000000003</v>
      </c>
      <c r="O25" s="36">
        <f>M25*(1+O26)</f>
        <v>-18.3872</v>
      </c>
      <c r="P25" s="256">
        <f>N25*(1+P26)</f>
        <v>-32.448000000000008</v>
      </c>
      <c r="Q25" s="36">
        <f>O25*(1+Q26)</f>
        <v>-19.122688</v>
      </c>
      <c r="R25" s="256">
        <f>P25*(1+R26)</f>
        <v>-33.745920000000012</v>
      </c>
      <c r="S25" s="36">
        <f>Q25*(1+S26)</f>
        <v>-19.887595520000001</v>
      </c>
      <c r="T25" s="256">
        <f>R25*(1+T26)</f>
        <v>-35.095756800000011</v>
      </c>
      <c r="U25" s="36">
        <f>S25*(1+U26)</f>
        <v>-20.683099340800002</v>
      </c>
      <c r="V25" s="256">
        <f>T25*(1+V26)</f>
        <v>-36.499587072000011</v>
      </c>
      <c r="W25" s="259">
        <f>U25*(1+W26)</f>
        <v>-21.510423314432003</v>
      </c>
      <c r="AC25" s="35">
        <v>342</v>
      </c>
      <c r="AD25" s="35">
        <v>135</v>
      </c>
      <c r="AE25" s="35">
        <v>-84</v>
      </c>
      <c r="AF25" s="37">
        <f>L25+M25</f>
        <v>-47.68</v>
      </c>
      <c r="AG25" s="37">
        <f>N25+O25</f>
        <v>-49.587200000000003</v>
      </c>
      <c r="AH25" s="37">
        <f>P25+Q25</f>
        <v>-51.570688000000004</v>
      </c>
      <c r="AI25" s="37">
        <f>R25+S25</f>
        <v>-53.633515520000017</v>
      </c>
      <c r="AJ25" s="37">
        <f>T25+U25</f>
        <v>-55.778856140800016</v>
      </c>
      <c r="AK25" s="37">
        <f>V25+W25</f>
        <v>-58.010010386432015</v>
      </c>
    </row>
    <row r="26" spans="2:39" s="19" customFormat="1" x14ac:dyDescent="0.3">
      <c r="B26" s="24" t="s">
        <v>38</v>
      </c>
      <c r="C26" s="38" t="str">
        <f>IFERROR(C25/#REF!-1, "-")</f>
        <v>-</v>
      </c>
      <c r="D26" s="38" t="str">
        <f>IFERROR(D25/#REF!-1, "-")</f>
        <v>-</v>
      </c>
      <c r="E26" s="39" t="str">
        <f>IFERROR(E25/#REF!-1, "-")</f>
        <v>-</v>
      </c>
      <c r="F26" s="38">
        <f t="shared" ref="F26" si="15">F25/C31</f>
        <v>0.23950056753688989</v>
      </c>
      <c r="G26" s="38">
        <f t="shared" ref="G26" si="16">G25/D31</f>
        <v>0.20061255742725881</v>
      </c>
      <c r="H26" s="250">
        <f>H25/F31</f>
        <v>7.1043165467625902E-2</v>
      </c>
      <c r="I26" s="38">
        <f>I25/G31</f>
        <v>6.9565217391304349E-2</v>
      </c>
      <c r="J26" s="250">
        <f>J25/H31</f>
        <v>-5.460472697636512E-2</v>
      </c>
      <c r="K26" s="38">
        <f>K25/I31</f>
        <v>-2.0481927710843374E-2</v>
      </c>
      <c r="L26" s="250">
        <f>L25/J31</f>
        <v>-2.6086956521739129E-2</v>
      </c>
      <c r="M26" s="40">
        <v>0.04</v>
      </c>
      <c r="N26" s="257">
        <v>0.04</v>
      </c>
      <c r="O26" s="40">
        <v>0.04</v>
      </c>
      <c r="P26" s="257">
        <v>0.04</v>
      </c>
      <c r="Q26" s="40">
        <v>0.04</v>
      </c>
      <c r="R26" s="257">
        <v>0.04</v>
      </c>
      <c r="S26" s="40">
        <v>0.04</v>
      </c>
      <c r="T26" s="257">
        <v>0.04</v>
      </c>
      <c r="U26" s="40">
        <v>0.04</v>
      </c>
      <c r="V26" s="257">
        <v>0.04</v>
      </c>
      <c r="W26" s="260">
        <v>0.04</v>
      </c>
      <c r="Y26"/>
      <c r="AC26" s="39">
        <f>AC25/E31</f>
        <v>0.22294654498044328</v>
      </c>
      <c r="AD26" s="39">
        <f>AD25/AC31</f>
        <v>7.038581856100104E-2</v>
      </c>
      <c r="AE26" s="39">
        <f>AE25/AD31</f>
        <v>-4.083616917841517E-2</v>
      </c>
      <c r="AF26" s="39">
        <f>AF25/AE25-1</f>
        <v>-0.43238095238095242</v>
      </c>
      <c r="AG26" s="39">
        <f>AG25/AF25-1</f>
        <v>4.0000000000000036E-2</v>
      </c>
      <c r="AH26" s="39">
        <f>AH25/AG25-1</f>
        <v>4.0000000000000036E-2</v>
      </c>
      <c r="AI26" s="39">
        <f>AI25/AH25-1</f>
        <v>4.0000000000000258E-2</v>
      </c>
      <c r="AJ26" s="39">
        <f>AJ25/AI25-1</f>
        <v>4.0000000000000036E-2</v>
      </c>
      <c r="AK26" s="39">
        <f>AK25/AJ25-1</f>
        <v>4.0000000000000036E-2</v>
      </c>
      <c r="AM26"/>
    </row>
    <row r="27" spans="2:39" x14ac:dyDescent="0.3">
      <c r="B27" s="21" t="s">
        <v>36</v>
      </c>
      <c r="C27" s="34"/>
      <c r="D27" s="34"/>
      <c r="E27" s="35"/>
      <c r="F27" s="34">
        <v>14</v>
      </c>
      <c r="G27" s="34">
        <f>AC27-F27</f>
        <v>21</v>
      </c>
      <c r="H27" s="249">
        <v>23</v>
      </c>
      <c r="I27" s="34">
        <f>AD27-H27</f>
        <v>-36</v>
      </c>
      <c r="J27" s="249">
        <v>-10</v>
      </c>
      <c r="K27" s="34">
        <f>AE27-J27</f>
        <v>7</v>
      </c>
      <c r="L27" s="249">
        <v>-11</v>
      </c>
      <c r="M27" s="36">
        <f>K27*(1+M28)</f>
        <v>7.28</v>
      </c>
      <c r="N27" s="256">
        <f>L27*(1+N28)</f>
        <v>-11.440000000000001</v>
      </c>
      <c r="O27" s="36">
        <f>M27*(1+O28)</f>
        <v>7.5712000000000002</v>
      </c>
      <c r="P27" s="256">
        <f>N27*(1+P28)</f>
        <v>-11.897600000000002</v>
      </c>
      <c r="Q27" s="36">
        <f>O27*(1+Q28)</f>
        <v>7.8740480000000002</v>
      </c>
      <c r="R27" s="256">
        <f>P27*(1+R28)</f>
        <v>-12.373504000000002</v>
      </c>
      <c r="S27" s="36">
        <f>Q27*(1+S28)</f>
        <v>8.1890099200000002</v>
      </c>
      <c r="T27" s="256">
        <f>R27*(1+T28)</f>
        <v>-12.868444160000003</v>
      </c>
      <c r="U27" s="36">
        <f>S27*(1+U28)</f>
        <v>8.5165703168000011</v>
      </c>
      <c r="V27" s="256">
        <f>T27*(1+V28)</f>
        <v>-13.383181926400002</v>
      </c>
      <c r="W27" s="259">
        <f>U27*(1+W28)</f>
        <v>8.8572331294720019</v>
      </c>
      <c r="AC27" s="35">
        <v>35</v>
      </c>
      <c r="AD27" s="35">
        <v>-13</v>
      </c>
      <c r="AE27" s="35">
        <v>-3</v>
      </c>
      <c r="AF27" s="37">
        <f>L27+M27</f>
        <v>-3.7199999999999998</v>
      </c>
      <c r="AG27" s="37">
        <f>N27+O27</f>
        <v>-3.8688000000000011</v>
      </c>
      <c r="AH27" s="37">
        <f>P27+Q27</f>
        <v>-4.0235520000000022</v>
      </c>
      <c r="AI27" s="37">
        <f>R27+S27</f>
        <v>-4.1844940800000021</v>
      </c>
      <c r="AJ27" s="37">
        <f>T27+U27</f>
        <v>-4.3518738432000017</v>
      </c>
      <c r="AK27" s="37">
        <f>V27+W27</f>
        <v>-4.5259487969280006</v>
      </c>
    </row>
    <row r="28" spans="2:39" s="19" customFormat="1" x14ac:dyDescent="0.3">
      <c r="B28" s="24" t="s">
        <v>39</v>
      </c>
      <c r="C28" s="38" t="str">
        <f>IFERROR(C27/#REF!-1, "-")</f>
        <v>-</v>
      </c>
      <c r="D28" s="38" t="str">
        <f>IFERROR(D27/#REF!-1, "-")</f>
        <v>-</v>
      </c>
      <c r="E28" s="39" t="str">
        <f>IFERROR(E27/#REF!-1, "-")</f>
        <v>-</v>
      </c>
      <c r="F28" s="38">
        <f t="shared" ref="F28" si="17">F27/C31</f>
        <v>1.5891032917139614E-2</v>
      </c>
      <c r="G28" s="38">
        <f t="shared" ref="G28" si="18">G27/D31</f>
        <v>3.2159264931087291E-2</v>
      </c>
      <c r="H28" s="250">
        <f>H27/F31</f>
        <v>2.0683453237410072E-2</v>
      </c>
      <c r="I28" s="38">
        <f>I27/G31</f>
        <v>-4.472049689440994E-2</v>
      </c>
      <c r="J28" s="250">
        <f>J27/H31</f>
        <v>-8.1499592502037484E-3</v>
      </c>
      <c r="K28" s="38">
        <f>K27/I31</f>
        <v>8.4337349397590362E-3</v>
      </c>
      <c r="L28" s="250">
        <f>L27/J31</f>
        <v>-9.5652173913043474E-3</v>
      </c>
      <c r="M28" s="40">
        <v>0.04</v>
      </c>
      <c r="N28" s="257">
        <v>0.04</v>
      </c>
      <c r="O28" s="40">
        <v>0.04</v>
      </c>
      <c r="P28" s="257">
        <v>0.04</v>
      </c>
      <c r="Q28" s="40">
        <v>0.04</v>
      </c>
      <c r="R28" s="257">
        <v>0.04</v>
      </c>
      <c r="S28" s="40">
        <v>0.04</v>
      </c>
      <c r="T28" s="257">
        <v>0.04</v>
      </c>
      <c r="U28" s="40">
        <v>0.04</v>
      </c>
      <c r="V28" s="257">
        <v>0.04</v>
      </c>
      <c r="W28" s="260">
        <v>0.04</v>
      </c>
      <c r="Y28"/>
      <c r="AC28" s="39">
        <f>AC27/E31</f>
        <v>2.2816166883963495E-2</v>
      </c>
      <c r="AD28" s="39">
        <f>AD27/AC31</f>
        <v>-6.7778936392075082E-3</v>
      </c>
      <c r="AE28" s="39">
        <f>AE27/AD31</f>
        <v>-1.4584346135148275E-3</v>
      </c>
      <c r="AF28" s="39">
        <f>AF27/AE27-1</f>
        <v>0.24</v>
      </c>
      <c r="AG28" s="39">
        <f>AG27/AF27-1</f>
        <v>4.000000000000048E-2</v>
      </c>
      <c r="AH28" s="39">
        <f>AH27/AG27-1</f>
        <v>4.0000000000000258E-2</v>
      </c>
      <c r="AI28" s="39">
        <f>AI27/AH27-1</f>
        <v>4.0000000000000036E-2</v>
      </c>
      <c r="AJ28" s="39">
        <f>AJ27/AI27-1</f>
        <v>3.9999999999999813E-2</v>
      </c>
      <c r="AK28" s="39">
        <f>AK27/AJ27-1</f>
        <v>3.9999999999999813E-2</v>
      </c>
      <c r="AM28"/>
    </row>
    <row r="29" spans="2:39" x14ac:dyDescent="0.3">
      <c r="B29" s="21" t="s">
        <v>37</v>
      </c>
      <c r="C29" s="34"/>
      <c r="D29" s="34"/>
      <c r="E29" s="35"/>
      <c r="F29" s="34">
        <v>7</v>
      </c>
      <c r="G29" s="34">
        <f>AC29-F29</f>
        <v>0</v>
      </c>
      <c r="H29" s="249">
        <v>12</v>
      </c>
      <c r="I29" s="34">
        <f>AD29-H29</f>
        <v>5</v>
      </c>
      <c r="J29" s="249">
        <v>1</v>
      </c>
      <c r="K29" s="34">
        <f>AE29-J29</f>
        <v>-9</v>
      </c>
      <c r="L29" s="249">
        <v>-14</v>
      </c>
      <c r="M29" s="36">
        <f>K29*(1+M30)</f>
        <v>-9.36</v>
      </c>
      <c r="N29" s="256">
        <f>L29*(1+N30)</f>
        <v>-14.56</v>
      </c>
      <c r="O29" s="36">
        <f>M29*(1+O30)</f>
        <v>-9.7343999999999991</v>
      </c>
      <c r="P29" s="256">
        <f>N29*(1+P30)</f>
        <v>-15.1424</v>
      </c>
      <c r="Q29" s="36">
        <f>O29*(1+Q30)</f>
        <v>-10.123775999999999</v>
      </c>
      <c r="R29" s="256">
        <f>P29*(1+R30)</f>
        <v>-15.748096</v>
      </c>
      <c r="S29" s="36">
        <f>Q29*(1+S30)</f>
        <v>-10.52872704</v>
      </c>
      <c r="T29" s="256">
        <f>R29*(1+T30)</f>
        <v>-16.37801984</v>
      </c>
      <c r="U29" s="36">
        <f>S29*(1+U30)</f>
        <v>-10.949876121600001</v>
      </c>
      <c r="V29" s="256">
        <f>T29*(1+V30)</f>
        <v>-17.033140633600002</v>
      </c>
      <c r="W29" s="259">
        <f>U29*(1+W30)</f>
        <v>-11.387871166464</v>
      </c>
      <c r="AC29" s="35">
        <v>7</v>
      </c>
      <c r="AD29" s="35">
        <v>17</v>
      </c>
      <c r="AE29" s="35">
        <v>-8</v>
      </c>
      <c r="AF29" s="37">
        <f>L29+M29</f>
        <v>-23.36</v>
      </c>
      <c r="AG29" s="37">
        <f>N29+O29</f>
        <v>-24.2944</v>
      </c>
      <c r="AH29" s="37">
        <f>P29+Q29</f>
        <v>-25.266176000000002</v>
      </c>
      <c r="AI29" s="37">
        <f>R29+S29</f>
        <v>-26.27682304</v>
      </c>
      <c r="AJ29" s="37">
        <f>T29+U29</f>
        <v>-27.327895961599999</v>
      </c>
      <c r="AK29" s="37">
        <f>V29+W29</f>
        <v>-28.421011800064001</v>
      </c>
    </row>
    <row r="30" spans="2:39" s="19" customFormat="1" x14ac:dyDescent="0.3">
      <c r="B30" s="24" t="s">
        <v>40</v>
      </c>
      <c r="C30" s="38" t="str">
        <f>IFERROR(C29/#REF!-1, "-")</f>
        <v>-</v>
      </c>
      <c r="D30" s="38" t="str">
        <f>IFERROR(D29/#REF!-1, "-")</f>
        <v>-</v>
      </c>
      <c r="E30" s="39" t="str">
        <f>IFERROR(E29/#REF!-1, "-")</f>
        <v>-</v>
      </c>
      <c r="F30" s="38">
        <f t="shared" ref="F30" si="19">F29/C31</f>
        <v>7.9455164585698068E-3</v>
      </c>
      <c r="G30" s="38">
        <f t="shared" ref="G30" si="20">G29/D31</f>
        <v>0</v>
      </c>
      <c r="H30" s="250">
        <f>H29/F31</f>
        <v>1.0791366906474821E-2</v>
      </c>
      <c r="I30" s="38">
        <f>I29/G31</f>
        <v>6.2111801242236021E-3</v>
      </c>
      <c r="J30" s="250">
        <f>J29/H31</f>
        <v>8.1499592502037486E-4</v>
      </c>
      <c r="K30" s="38">
        <f>K29/I31</f>
        <v>-1.0843373493975903E-2</v>
      </c>
      <c r="L30" s="250">
        <f>L29/J31</f>
        <v>-1.2173913043478261E-2</v>
      </c>
      <c r="M30" s="40">
        <v>0.04</v>
      </c>
      <c r="N30" s="257">
        <v>0.04</v>
      </c>
      <c r="O30" s="40">
        <v>0.04</v>
      </c>
      <c r="P30" s="257">
        <v>0.04</v>
      </c>
      <c r="Q30" s="40">
        <v>0.04</v>
      </c>
      <c r="R30" s="257">
        <v>0.04</v>
      </c>
      <c r="S30" s="40">
        <v>0.04</v>
      </c>
      <c r="T30" s="257">
        <v>0.04</v>
      </c>
      <c r="U30" s="40">
        <v>0.04</v>
      </c>
      <c r="V30" s="257">
        <v>0.04</v>
      </c>
      <c r="W30" s="260">
        <v>0.04</v>
      </c>
      <c r="Y30"/>
      <c r="AC30" s="39">
        <f>AC29/E31</f>
        <v>4.5632333767926985E-3</v>
      </c>
      <c r="AD30" s="39">
        <f>AD29/AC31</f>
        <v>8.863399374348279E-3</v>
      </c>
      <c r="AE30" s="39">
        <f>AE29/AD31</f>
        <v>-3.889158969372873E-3</v>
      </c>
      <c r="AF30" s="39">
        <f>IFERROR(AF29/AE29-1, "-")</f>
        <v>1.92</v>
      </c>
      <c r="AG30" s="39">
        <f>IFERROR(AG29/AF29-1, "-")</f>
        <v>4.0000000000000036E-2</v>
      </c>
      <c r="AH30" s="39">
        <f>IFERROR(AH29/AG29-1, "-")</f>
        <v>4.0000000000000036E-2</v>
      </c>
      <c r="AI30" s="39">
        <f>IFERROR(AI29/AH29-1, "-")</f>
        <v>4.0000000000000036E-2</v>
      </c>
      <c r="AJ30" s="39">
        <f>IFERROR(AJ29/AI29-1, "-")</f>
        <v>4.0000000000000036E-2</v>
      </c>
      <c r="AK30" s="39">
        <f>IFERROR(AK29/AJ29-1, "-")</f>
        <v>4.0000000000000036E-2</v>
      </c>
      <c r="AM30"/>
    </row>
    <row r="31" spans="2:39" x14ac:dyDescent="0.3">
      <c r="B31" s="23" t="s">
        <v>215</v>
      </c>
      <c r="C31" s="41">
        <v>881</v>
      </c>
      <c r="D31" s="41">
        <f>E31-C31</f>
        <v>653</v>
      </c>
      <c r="E31" s="42">
        <v>1534</v>
      </c>
      <c r="F31" s="41">
        <f>C31+F25+F27+F29-1</f>
        <v>1112</v>
      </c>
      <c r="G31" s="41">
        <f>D31+G25+G27+G29</f>
        <v>805</v>
      </c>
      <c r="H31" s="251">
        <f>F31+H25+H27+H29+1</f>
        <v>1227</v>
      </c>
      <c r="I31" s="41">
        <f>G31+I25+I27+I29</f>
        <v>830</v>
      </c>
      <c r="J31" s="251">
        <f>H31+J25+J27+J29-1</f>
        <v>1150</v>
      </c>
      <c r="K31" s="41">
        <f>I31+K25+K27+K29</f>
        <v>811</v>
      </c>
      <c r="L31" s="251">
        <f>J31+L25+L27+L29</f>
        <v>1095</v>
      </c>
      <c r="M31" s="41">
        <f>K31+M25+M27+M29</f>
        <v>791.24</v>
      </c>
      <c r="N31" s="251">
        <f>L31+N25+N27+N29</f>
        <v>1037.8</v>
      </c>
      <c r="O31" s="41">
        <f>M31+O25+O27+O29</f>
        <v>770.68959999999993</v>
      </c>
      <c r="P31" s="251">
        <f>N31+P25+P27+P29</f>
        <v>978.31200000000001</v>
      </c>
      <c r="Q31" s="41">
        <f>O31+Q25+Q27+Q29</f>
        <v>749.31718399999988</v>
      </c>
      <c r="R31" s="251">
        <f>P31+R25+R27+R29</f>
        <v>916.44448</v>
      </c>
      <c r="S31" s="41">
        <f>Q31+S25+S27+S29</f>
        <v>727.08987135999985</v>
      </c>
      <c r="T31" s="251">
        <f>R31+T25+T27+T29</f>
        <v>852.10225920000005</v>
      </c>
      <c r="U31" s="41">
        <f>S31+U25+U27+U29</f>
        <v>703.97346621439976</v>
      </c>
      <c r="V31" s="251">
        <f>T31+V25+V27+V29</f>
        <v>785.18634956799997</v>
      </c>
      <c r="W31" s="261">
        <f>U31+W25+W27+W29</f>
        <v>679.93240486297566</v>
      </c>
      <c r="AC31" s="42">
        <f>E31+AC25+AC27+AC29</f>
        <v>1918</v>
      </c>
      <c r="AD31" s="42">
        <f>AC31+AD25+AD27+AD29</f>
        <v>2057</v>
      </c>
      <c r="AE31" s="42">
        <f>AD31+AE25+AE27+AE29</f>
        <v>1962</v>
      </c>
      <c r="AF31" s="42">
        <f>AE31+AF25+AF27+AF29</f>
        <v>1887.24</v>
      </c>
      <c r="AG31" s="42">
        <f>AF31+AG25+AG27+AG29</f>
        <v>1809.4896000000001</v>
      </c>
      <c r="AH31" s="42">
        <f>AG31+AH25+AH27+AH29</f>
        <v>1728.6291839999999</v>
      </c>
      <c r="AI31" s="42">
        <f>AH31+AI25+AI27+AI29</f>
        <v>1644.5343513600001</v>
      </c>
      <c r="AJ31" s="42">
        <f>AI31+AJ25+AJ27+AJ29</f>
        <v>1557.0757254144</v>
      </c>
      <c r="AK31" s="42">
        <f>AJ31+AK25+AK27+AK29</f>
        <v>1466.118754430976</v>
      </c>
    </row>
    <row r="32" spans="2:39" s="19" customFormat="1" x14ac:dyDescent="0.3">
      <c r="B32" s="24" t="s">
        <v>42</v>
      </c>
      <c r="C32" s="38" t="str">
        <f>IFERROR(C31/#REF!-1, "-")</f>
        <v>-</v>
      </c>
      <c r="D32" s="38" t="str">
        <f>IFERROR(D31/#REF!-1, "-")</f>
        <v>-</v>
      </c>
      <c r="E32" s="39" t="str">
        <f>IFERROR(E31/#REF!-1, "-")</f>
        <v>-</v>
      </c>
      <c r="F32" s="38">
        <f t="shared" ref="F32:G32" si="21">IFERROR(F31/C31-1, "-")</f>
        <v>0.2622020431328036</v>
      </c>
      <c r="G32" s="38">
        <f t="shared" si="21"/>
        <v>0.23277182235834615</v>
      </c>
      <c r="H32" s="250">
        <f>IFERROR(H31/F31-1, "-")</f>
        <v>0.10341726618705027</v>
      </c>
      <c r="I32" s="38">
        <f>IFERROR(I31/G31-1, "-")</f>
        <v>3.105590062111796E-2</v>
      </c>
      <c r="J32" s="250">
        <f>IFERROR(J31/H31-1, "-")</f>
        <v>-6.2754686226568879E-2</v>
      </c>
      <c r="K32" s="38">
        <f>IFERROR(K31/I31-1, "-")</f>
        <v>-2.2891566265060281E-2</v>
      </c>
      <c r="L32" s="250">
        <f>IFERROR(L31/J31-1, "-")</f>
        <v>-4.7826086956521685E-2</v>
      </c>
      <c r="M32" s="38">
        <f>IFERROR(M31/K31-1, "-")</f>
        <v>-2.4364981504315653E-2</v>
      </c>
      <c r="N32" s="250">
        <f>IFERROR(N31/L31-1, "-")</f>
        <v>-5.2237442922374422E-2</v>
      </c>
      <c r="O32" s="38">
        <f>IFERROR(O31/M31-1, "-")</f>
        <v>-2.5972397755421928E-2</v>
      </c>
      <c r="P32" s="250">
        <f>IFERROR(P31/N31-1, "-")</f>
        <v>-5.7321256504143325E-2</v>
      </c>
      <c r="Q32" s="38">
        <f>IFERROR(Q31/O31-1, "-")</f>
        <v>-2.7731548472952117E-2</v>
      </c>
      <c r="R32" s="250">
        <f>IFERROR(R31/P31-1, "-")</f>
        <v>-6.3239048483510363E-2</v>
      </c>
      <c r="S32" s="38">
        <f>IFERROR(S31/Q31-1, "-")</f>
        <v>-2.9663423066512817E-2</v>
      </c>
      <c r="T32" s="250">
        <f>IFERROR(T31/R31-1, "-")</f>
        <v>-7.0208531126730089E-2</v>
      </c>
      <c r="U32" s="38">
        <f>IFERROR(U31/S31-1, "-")</f>
        <v>-3.1793050702743963E-2</v>
      </c>
      <c r="V32" s="250">
        <f>IFERROR(V31/T31-1, "-")</f>
        <v>-7.8530374622905463E-2</v>
      </c>
      <c r="W32" s="262">
        <f>IFERROR(W31/U31-1, "-")</f>
        <v>-3.4150522008598361E-2</v>
      </c>
      <c r="Y32"/>
      <c r="AC32" s="39">
        <f>IFERROR(AC31/E31-1, "-")</f>
        <v>0.25032594524119944</v>
      </c>
      <c r="AD32" s="39">
        <f>IFERROR(AD31/AC31-1, "-")</f>
        <v>7.2471324296141892E-2</v>
      </c>
      <c r="AE32" s="39">
        <f>IFERROR(AE31/AD31-1, "-")</f>
        <v>-4.6183762761302871E-2</v>
      </c>
      <c r="AF32" s="39">
        <f>IFERROR(AF31/AE31-1, "-")</f>
        <v>-3.81039755351682E-2</v>
      </c>
      <c r="AG32" s="39">
        <f>IFERROR(AG31/AF31-1, "-")</f>
        <v>-4.1197939848667819E-2</v>
      </c>
      <c r="AH32" s="39">
        <f>IFERROR(AH31/AG31-1, "-")</f>
        <v>-4.4686864185348285E-2</v>
      </c>
      <c r="AI32" s="39">
        <f>IFERROR(AI31/AH31-1, "-")</f>
        <v>-4.8648277732652123E-2</v>
      </c>
      <c r="AJ32" s="39">
        <f>IFERROR(AJ31/AI31-1, "-")</f>
        <v>-5.3181391968658676E-2</v>
      </c>
      <c r="AK32" s="39">
        <f>IFERROR(AK31/AJ31-1, "-")</f>
        <v>-5.8415252064389356E-2</v>
      </c>
      <c r="AM32"/>
    </row>
    <row r="33" spans="2:39" x14ac:dyDescent="0.3">
      <c r="B33" s="26"/>
      <c r="C33" s="43"/>
      <c r="D33" s="43"/>
      <c r="E33" s="44"/>
      <c r="F33" s="43"/>
      <c r="G33" s="43"/>
      <c r="H33" s="252"/>
      <c r="I33" s="43"/>
      <c r="J33" s="252"/>
      <c r="K33" s="43"/>
      <c r="L33" s="252"/>
      <c r="M33" s="43"/>
      <c r="N33" s="252"/>
      <c r="O33" s="43"/>
      <c r="P33" s="252"/>
      <c r="Q33" s="43"/>
      <c r="R33" s="252"/>
      <c r="S33" s="43"/>
      <c r="T33" s="252"/>
      <c r="U33" s="43"/>
      <c r="V33" s="252"/>
      <c r="W33" s="263"/>
      <c r="AC33" s="44"/>
      <c r="AD33" s="44"/>
      <c r="AE33" s="44"/>
      <c r="AF33" s="44"/>
      <c r="AG33" s="44"/>
      <c r="AH33" s="44"/>
      <c r="AI33" s="44"/>
      <c r="AJ33" s="44"/>
      <c r="AK33" s="45"/>
    </row>
    <row r="34" spans="2:39" x14ac:dyDescent="0.3">
      <c r="B34" s="23" t="s">
        <v>43</v>
      </c>
      <c r="C34" s="43"/>
      <c r="D34" s="43"/>
      <c r="E34" s="44"/>
      <c r="F34" s="43"/>
      <c r="G34" s="43"/>
      <c r="H34" s="252"/>
      <c r="I34" s="43"/>
      <c r="J34" s="252"/>
      <c r="K34" s="43"/>
      <c r="L34" s="252"/>
      <c r="M34" s="43"/>
      <c r="N34" s="252"/>
      <c r="O34" s="43"/>
      <c r="P34" s="252"/>
      <c r="Q34" s="43"/>
      <c r="R34" s="252"/>
      <c r="S34" s="43"/>
      <c r="T34" s="252"/>
      <c r="U34" s="43"/>
      <c r="V34" s="252"/>
      <c r="W34" s="263"/>
      <c r="AC34" s="44"/>
      <c r="AD34" s="44"/>
      <c r="AE34" s="44"/>
      <c r="AF34" s="44"/>
      <c r="AG34" s="44"/>
      <c r="AH34" s="44"/>
      <c r="AI34" s="44"/>
      <c r="AJ34" s="44"/>
      <c r="AK34" s="45"/>
    </row>
    <row r="35" spans="2:39" x14ac:dyDescent="0.3">
      <c r="B35" s="21" t="s">
        <v>35</v>
      </c>
      <c r="C35" s="41"/>
      <c r="D35" s="41"/>
      <c r="E35" s="42"/>
      <c r="F35" s="43">
        <f>F5+F15+F25</f>
        <v>532</v>
      </c>
      <c r="G35" s="34">
        <f>AC35-F35</f>
        <v>372</v>
      </c>
      <c r="H35" s="252">
        <f>H5+H15+H25</f>
        <v>423</v>
      </c>
      <c r="I35" s="34">
        <f>AD35-H35</f>
        <v>223</v>
      </c>
      <c r="J35" s="252">
        <f>J5+J15+J25</f>
        <v>-46</v>
      </c>
      <c r="K35" s="34">
        <f>AE35-J35</f>
        <v>84</v>
      </c>
      <c r="L35" s="252">
        <f>L5+L15+L25</f>
        <v>-178</v>
      </c>
      <c r="M35" s="34">
        <f>AF35-L35</f>
        <v>87.36</v>
      </c>
      <c r="N35" s="251">
        <f>N5+N15+N25</f>
        <v>-185.12</v>
      </c>
      <c r="O35" s="34">
        <f>AG35-N35</f>
        <v>90.854399999999998</v>
      </c>
      <c r="P35" s="251">
        <f>P5+P15+P25</f>
        <v>-192.5248</v>
      </c>
      <c r="Q35" s="34">
        <f>AH35-P35</f>
        <v>94.488576000000009</v>
      </c>
      <c r="R35" s="251">
        <f>R5+R15+R25</f>
        <v>-200.22579200000001</v>
      </c>
      <c r="S35" s="34">
        <f>AI35-R35</f>
        <v>98.268119040000002</v>
      </c>
      <c r="T35" s="251">
        <f>T5+T15+T25</f>
        <v>-208.23482368000003</v>
      </c>
      <c r="U35" s="34">
        <f>AJ35-T35</f>
        <v>102.19884380160002</v>
      </c>
      <c r="V35" s="251">
        <f>V5+V15+V25</f>
        <v>-216.56421662720004</v>
      </c>
      <c r="W35" s="264">
        <f>AK35-V35</f>
        <v>106.28679755366403</v>
      </c>
      <c r="AC35" s="42">
        <f>AC5+AC15+AC25</f>
        <v>904</v>
      </c>
      <c r="AD35" s="42">
        <f>AD5+AD15+AD25</f>
        <v>646</v>
      </c>
      <c r="AE35" s="42">
        <f>AE5+AE15+AE25</f>
        <v>38</v>
      </c>
      <c r="AF35" s="42">
        <f>AF5+AF15+AF25</f>
        <v>-90.64</v>
      </c>
      <c r="AG35" s="42">
        <f>AG5+AG15+AG25</f>
        <v>-94.265600000000006</v>
      </c>
      <c r="AH35" s="42">
        <f>AH5+AH15+AH25</f>
        <v>-98.03622399999999</v>
      </c>
      <c r="AI35" s="42">
        <f>AI5+AI15+AI25</f>
        <v>-101.95767296000001</v>
      </c>
      <c r="AJ35" s="42">
        <f>AJ5+AJ15+AJ25</f>
        <v>-106.03597987840001</v>
      </c>
      <c r="AK35" s="42">
        <f>AK5+AK15+AK25</f>
        <v>-110.27741907353601</v>
      </c>
    </row>
    <row r="36" spans="2:39" x14ac:dyDescent="0.3">
      <c r="B36" s="24" t="s">
        <v>38</v>
      </c>
      <c r="C36" s="41"/>
      <c r="D36" s="41"/>
      <c r="E36" s="42"/>
      <c r="F36" s="38">
        <f t="shared" ref="F36" si="22">F35/C41</f>
        <v>0.17604235605559232</v>
      </c>
      <c r="G36" s="38">
        <f t="shared" ref="G36" si="23">G35/D41</f>
        <v>0.16380449141347425</v>
      </c>
      <c r="H36" s="250">
        <f>H35/F41</f>
        <v>0.11614497528830313</v>
      </c>
      <c r="I36" s="38">
        <f>I35/G41</f>
        <v>7.8770752384316495E-2</v>
      </c>
      <c r="J36" s="250">
        <f>J35/H41</f>
        <v>-1.0526315789473684E-2</v>
      </c>
      <c r="K36" s="38">
        <f>K35/I41</f>
        <v>2.9207232267037551E-2</v>
      </c>
      <c r="L36" s="250">
        <f>L35/J41</f>
        <v>-4.3595395542493268E-2</v>
      </c>
      <c r="M36" s="207">
        <f>M35/K41</f>
        <v>3.0207468879668048E-2</v>
      </c>
      <c r="N36" s="253">
        <f>N35/L41</f>
        <v>-4.9064404982772328E-2</v>
      </c>
      <c r="O36" s="207">
        <f>O35/M41</f>
        <v>3.1236041586445894E-2</v>
      </c>
      <c r="P36" s="253">
        <f>P35/N41</f>
        <v>-5.5777775202512425E-2</v>
      </c>
      <c r="Q36" s="207">
        <f>Q35/O41</f>
        <v>3.2293346807268052E-2</v>
      </c>
      <c r="R36" s="253">
        <f>R35/P41</f>
        <v>-6.4227929609611212E-2</v>
      </c>
      <c r="S36" s="207">
        <f>S35/Q41</f>
        <v>3.3379757993610142E-2</v>
      </c>
      <c r="T36" s="253">
        <f>T35/R41</f>
        <v>-7.5179297869018585E-2</v>
      </c>
      <c r="U36" s="207">
        <f>U35/S41</f>
        <v>3.4495623444324025E-2</v>
      </c>
      <c r="V36" s="253">
        <f>V35/T41</f>
        <v>-8.992199950773852E-2</v>
      </c>
      <c r="W36" s="265">
        <f>W35/U41</f>
        <v>3.5641264072662646E-2</v>
      </c>
      <c r="AC36" s="39">
        <f>AC35/E41</f>
        <v>0.17079161156244096</v>
      </c>
      <c r="AD36" s="39">
        <f>AD35/AC41</f>
        <v>9.9799165765487405E-2</v>
      </c>
      <c r="AE36" s="39">
        <f>AE35/AD41</f>
        <v>5.2442727021805137E-3</v>
      </c>
      <c r="AF36" s="208">
        <f>AF35/AE41</f>
        <v>-1.2994982078853046E-2</v>
      </c>
      <c r="AG36" s="208">
        <f>AG35/AF41</f>
        <v>-1.4106041923551171E-2</v>
      </c>
      <c r="AH36" s="208">
        <f>AH35/AG41</f>
        <v>-1.5369586636887022E-2</v>
      </c>
      <c r="AI36" s="208">
        <f>AI35/AH41</f>
        <v>-1.6818123831849403E-2</v>
      </c>
      <c r="AJ36" s="208">
        <f>AJ35/AI41</f>
        <v>-1.8494097824885238E-2</v>
      </c>
      <c r="AK36" s="208">
        <f>AK35/AJ41</f>
        <v>-2.0454001231434867E-2</v>
      </c>
    </row>
    <row r="37" spans="2:39" x14ac:dyDescent="0.3">
      <c r="B37" s="21" t="s">
        <v>36</v>
      </c>
      <c r="C37" s="41"/>
      <c r="D37" s="41"/>
      <c r="E37" s="42"/>
      <c r="F37" s="43">
        <f>F7+F17+F27</f>
        <v>70</v>
      </c>
      <c r="G37" s="34">
        <f>AC37-F37</f>
        <v>180</v>
      </c>
      <c r="H37" s="252">
        <f>H7+H17+H27</f>
        <v>227</v>
      </c>
      <c r="I37" s="34">
        <f>AD37-H37</f>
        <v>-242</v>
      </c>
      <c r="J37" s="252">
        <f>J7+J17+J27</f>
        <v>-416</v>
      </c>
      <c r="K37" s="34">
        <f>AE37-J37</f>
        <v>-156</v>
      </c>
      <c r="L37" s="252">
        <f>L7+L17+L27</f>
        <v>-142</v>
      </c>
      <c r="M37" s="34">
        <f>AF37-L37</f>
        <v>-162.24</v>
      </c>
      <c r="N37" s="251">
        <f>N7+N17+N27</f>
        <v>-147.68</v>
      </c>
      <c r="O37" s="34">
        <f>AG37-N37</f>
        <v>-168.72960000000006</v>
      </c>
      <c r="P37" s="251">
        <f>P7+P17+P27</f>
        <v>-153.58720000000002</v>
      </c>
      <c r="Q37" s="34">
        <f>AH37-P37</f>
        <v>-175.47878399999999</v>
      </c>
      <c r="R37" s="251">
        <f>R7+R17+R27</f>
        <v>-159.73068800000001</v>
      </c>
      <c r="S37" s="34">
        <f>AI37-R37</f>
        <v>-182.49793535999996</v>
      </c>
      <c r="T37" s="251">
        <f>T7+T17+T27</f>
        <v>-166.11991552000001</v>
      </c>
      <c r="U37" s="34">
        <f>AJ37-T37</f>
        <v>-189.79785277440004</v>
      </c>
      <c r="V37" s="251">
        <f>V7+V17+V27</f>
        <v>-172.76471214080001</v>
      </c>
      <c r="W37" s="264">
        <f>AK37-V37</f>
        <v>-197.38976688537596</v>
      </c>
      <c r="AC37" s="42">
        <f>AC7+AC17+AC27</f>
        <v>250</v>
      </c>
      <c r="AD37" s="42">
        <f>AD7+AD17+AD27</f>
        <v>-15</v>
      </c>
      <c r="AE37" s="42">
        <f>AE7+AE17+AE27</f>
        <v>-572</v>
      </c>
      <c r="AF37" s="42">
        <f>AF7+AF17+AF27</f>
        <v>-304.24</v>
      </c>
      <c r="AG37" s="42">
        <f>AG7+AG17+AG27</f>
        <v>-316.40960000000007</v>
      </c>
      <c r="AH37" s="42">
        <f>AH7+AH17+AH27</f>
        <v>-329.06598400000001</v>
      </c>
      <c r="AI37" s="42">
        <f>AI7+AI17+AI27</f>
        <v>-342.22862335999997</v>
      </c>
      <c r="AJ37" s="42">
        <f>AJ7+AJ17+AJ27</f>
        <v>-355.91776829440005</v>
      </c>
      <c r="AK37" s="42">
        <f>AK7+AK17+AK27</f>
        <v>-370.15447902617598</v>
      </c>
    </row>
    <row r="38" spans="2:39" x14ac:dyDescent="0.3">
      <c r="B38" s="24" t="s">
        <v>39</v>
      </c>
      <c r="C38" s="41"/>
      <c r="D38" s="41"/>
      <c r="E38" s="42"/>
      <c r="F38" s="38">
        <f t="shared" ref="F38" si="24">F37/C41</f>
        <v>2.3163467902051621E-2</v>
      </c>
      <c r="G38" s="38">
        <f t="shared" ref="G38" si="25">G37/D41</f>
        <v>7.9260237780713338E-2</v>
      </c>
      <c r="H38" s="250">
        <f>H37/F41</f>
        <v>6.2328390993959364E-2</v>
      </c>
      <c r="I38" s="38">
        <f>I37/G41</f>
        <v>-8.5482161780289653E-2</v>
      </c>
      <c r="J38" s="250">
        <f>J37/H41</f>
        <v>-9.5194508009153314E-2</v>
      </c>
      <c r="K38" s="38">
        <f>K37/I41</f>
        <v>-5.4242002781641166E-2</v>
      </c>
      <c r="L38" s="250">
        <f>L37/J41</f>
        <v>-3.4778349253000246E-2</v>
      </c>
      <c r="M38" s="207">
        <f>M37/K41</f>
        <v>-5.6099585062240664E-2</v>
      </c>
      <c r="N38" s="253">
        <f>N37/L41</f>
        <v>-3.9141266896368938E-2</v>
      </c>
      <c r="O38" s="207">
        <f>O37/M41</f>
        <v>-5.8009791517685254E-2</v>
      </c>
      <c r="P38" s="253">
        <f>P37/N41</f>
        <v>-4.449687684694812E-2</v>
      </c>
      <c r="Q38" s="207">
        <f>Q37/O41</f>
        <v>-5.997335835635495E-2</v>
      </c>
      <c r="R38" s="253">
        <f>R37/P41</f>
        <v>-5.1238011261599957E-2</v>
      </c>
      <c r="S38" s="207">
        <f>S37/Q41</f>
        <v>-6.1990979130990241E-2</v>
      </c>
      <c r="T38" s="253">
        <f>T37/R41</f>
        <v>-5.9974496052812569E-2</v>
      </c>
      <c r="U38" s="207">
        <f>U37/S41</f>
        <v>-6.4063300682316041E-2</v>
      </c>
      <c r="V38" s="253">
        <f>V37/T41</f>
        <v>-7.1735527697184651E-2</v>
      </c>
      <c r="W38" s="265">
        <f>W37/U41</f>
        <v>-6.6190918992087747E-2</v>
      </c>
      <c r="AC38" s="39">
        <f>AC37/E41</f>
        <v>4.7232193463064426E-2</v>
      </c>
      <c r="AD38" s="39">
        <f>AD37/AC41</f>
        <v>-2.3173180905298935E-3</v>
      </c>
      <c r="AE38" s="39">
        <f>AE37/AD41</f>
        <v>-7.894010488545404E-2</v>
      </c>
      <c r="AF38" s="208">
        <f>AF37/AE41</f>
        <v>-4.3618637992831541E-2</v>
      </c>
      <c r="AG38" s="208">
        <f>AG37/AF41</f>
        <v>-4.7347994205882711E-2</v>
      </c>
      <c r="AH38" s="208">
        <f>AH37/AG41</f>
        <v>-5.1589177387538702E-2</v>
      </c>
      <c r="AI38" s="208">
        <f>AI37/AH41</f>
        <v>-5.6451301793930507E-2</v>
      </c>
      <c r="AJ38" s="208">
        <f>AJ37/AI41</f>
        <v>-6.207683497620349E-2</v>
      </c>
      <c r="AK38" s="208">
        <f>AK37/AJ41</f>
        <v>-6.8655398661206346E-2</v>
      </c>
    </row>
    <row r="39" spans="2:39" x14ac:dyDescent="0.3">
      <c r="B39" s="21" t="s">
        <v>37</v>
      </c>
      <c r="C39" s="41"/>
      <c r="D39" s="41"/>
      <c r="E39" s="42"/>
      <c r="F39" s="43">
        <f>F9+F19+F29</f>
        <v>18</v>
      </c>
      <c r="G39" s="34">
        <f>AC39-F39</f>
        <v>8</v>
      </c>
      <c r="H39" s="252">
        <f>H9+H19+H29</f>
        <v>78</v>
      </c>
      <c r="I39" s="34">
        <f>AD39-H39</f>
        <v>64</v>
      </c>
      <c r="J39" s="252">
        <f>J9+J19+J29</f>
        <v>176</v>
      </c>
      <c r="K39" s="34">
        <f>AE39-J39</f>
        <v>88</v>
      </c>
      <c r="L39" s="252">
        <f>L9+L19+L29</f>
        <v>11</v>
      </c>
      <c r="M39" s="34">
        <f>AF39-L39</f>
        <v>91.52000000000001</v>
      </c>
      <c r="N39" s="251">
        <f>N9+N19+N29</f>
        <v>11.44</v>
      </c>
      <c r="O39" s="34">
        <f>AG39-N39</f>
        <v>95.180800000000033</v>
      </c>
      <c r="P39" s="251">
        <f>P9+P19+P29</f>
        <v>11.897600000000002</v>
      </c>
      <c r="Q39" s="34">
        <f>AH39-P39</f>
        <v>98.988032000000047</v>
      </c>
      <c r="R39" s="251">
        <f>R9+R19+R29</f>
        <v>12.373504000000004</v>
      </c>
      <c r="S39" s="34">
        <f>AI39-R39</f>
        <v>102.94755328000002</v>
      </c>
      <c r="T39" s="251">
        <f>T9+T19+T29</f>
        <v>12.868444160000006</v>
      </c>
      <c r="U39" s="34">
        <f>AJ39-T39</f>
        <v>107.06545541120001</v>
      </c>
      <c r="V39" s="251">
        <f>V9+V19+V29</f>
        <v>13.38318192640001</v>
      </c>
      <c r="W39" s="264">
        <f>AK39-V39</f>
        <v>111.34807362764802</v>
      </c>
      <c r="AC39" s="42">
        <f>AC9+AC19+AC29</f>
        <v>26</v>
      </c>
      <c r="AD39" s="42">
        <f>AD9+AD19+AD29</f>
        <v>142</v>
      </c>
      <c r="AE39" s="42">
        <f>AE9+AE19+AE29</f>
        <v>264</v>
      </c>
      <c r="AF39" s="42">
        <f>AF9+AF19+AF29</f>
        <v>102.52000000000001</v>
      </c>
      <c r="AG39" s="42">
        <f>AG9+AG19+AG29</f>
        <v>106.62080000000003</v>
      </c>
      <c r="AH39" s="42">
        <f>AH9+AH19+AH29</f>
        <v>110.88563200000004</v>
      </c>
      <c r="AI39" s="42">
        <f>AI9+AI19+AI29</f>
        <v>115.32105728000003</v>
      </c>
      <c r="AJ39" s="42">
        <f>AJ9+AJ19+AJ29</f>
        <v>119.93389957120002</v>
      </c>
      <c r="AK39" s="42">
        <f>AK9+AK19+AK29</f>
        <v>124.73125555404803</v>
      </c>
    </row>
    <row r="40" spans="2:39" x14ac:dyDescent="0.3">
      <c r="B40" s="24" t="s">
        <v>40</v>
      </c>
      <c r="C40" s="41"/>
      <c r="D40" s="41"/>
      <c r="E40" s="42"/>
      <c r="F40" s="38">
        <f t="shared" ref="F40" si="26">F39/C41</f>
        <v>5.9563203176704171E-3</v>
      </c>
      <c r="G40" s="38">
        <f t="shared" ref="G40" si="27">G39/D41</f>
        <v>3.5226772346983706E-3</v>
      </c>
      <c r="H40" s="250">
        <f>H39/F41</f>
        <v>2.1416803953871501E-2</v>
      </c>
      <c r="I40" s="38">
        <f>I39/G41</f>
        <v>2.2606852702225361E-2</v>
      </c>
      <c r="J40" s="250">
        <f>J39/H41</f>
        <v>4.0274599542334096E-2</v>
      </c>
      <c r="K40" s="38">
        <f>K39/I41</f>
        <v>3.0598052851182198E-2</v>
      </c>
      <c r="L40" s="250">
        <f>L39/J41</f>
        <v>2.6940974773450896E-3</v>
      </c>
      <c r="M40" s="207">
        <f>M39/K41</f>
        <v>3.1645919778699863E-2</v>
      </c>
      <c r="N40" s="253">
        <f>N39/L41</f>
        <v>3.0320699708454809E-3</v>
      </c>
      <c r="O40" s="207">
        <f>O39/M41</f>
        <v>3.2723472138181428E-2</v>
      </c>
      <c r="P40" s="253">
        <f>P39/N41</f>
        <v>3.4469411642002066E-3</v>
      </c>
      <c r="Q40" s="207">
        <f>Q39/O41</f>
        <v>3.3831125226661783E-2</v>
      </c>
      <c r="R40" s="253">
        <f>R39/P41</f>
        <v>3.9691417174478848E-3</v>
      </c>
      <c r="S40" s="207">
        <f>S39/Q41</f>
        <v>3.4969270279020151E-2</v>
      </c>
      <c r="T40" s="253">
        <f>T39/R41</f>
        <v>4.6459116660629478E-3</v>
      </c>
      <c r="U40" s="207">
        <f>U39/S41</f>
        <v>3.6138272179768019E-2</v>
      </c>
      <c r="V40" s="253">
        <f>V39/T41</f>
        <v>5.5569774976692377E-3</v>
      </c>
      <c r="W40" s="265">
        <f>W39/U41</f>
        <v>3.7338467123741816E-2</v>
      </c>
      <c r="AC40" s="39">
        <f>AC39/E41</f>
        <v>4.9121481201587006E-3</v>
      </c>
      <c r="AD40" s="39">
        <f>AD39/AC41</f>
        <v>2.1937277923682989E-2</v>
      </c>
      <c r="AE40" s="39">
        <f>AE39/AD41</f>
        <v>3.6433894562517249E-2</v>
      </c>
      <c r="AF40" s="208">
        <f>AF39/AE41</f>
        <v>1.4698207885304661E-2</v>
      </c>
      <c r="AG40" s="208">
        <f>AG39/AF41</f>
        <v>1.5954892078579728E-2</v>
      </c>
      <c r="AH40" s="208">
        <f>AH39/AG41</f>
        <v>1.7384047021333386E-2</v>
      </c>
      <c r="AI40" s="208">
        <f>AI39/AH41</f>
        <v>1.902244103311122E-2</v>
      </c>
      <c r="AJ40" s="208">
        <f>AJ39/AI41</f>
        <v>2.0918081520379904E-2</v>
      </c>
      <c r="AK40" s="208">
        <f>AK39/AJ41</f>
        <v>2.313486547050643E-2</v>
      </c>
    </row>
    <row r="41" spans="2:39" x14ac:dyDescent="0.3">
      <c r="B41" s="23" t="s">
        <v>41</v>
      </c>
      <c r="C41" s="41">
        <f>C11+C31+C21</f>
        <v>3022</v>
      </c>
      <c r="D41" s="41">
        <f>D11+D31+D21</f>
        <v>2271</v>
      </c>
      <c r="E41" s="42">
        <f>E11+E31+E21</f>
        <v>5293</v>
      </c>
      <c r="F41" s="41">
        <f>C41+F35+F37+F39</f>
        <v>3642</v>
      </c>
      <c r="G41" s="41">
        <f>G11+G31+G21</f>
        <v>2831</v>
      </c>
      <c r="H41" s="251">
        <f>F41+H35+H37+H39</f>
        <v>4370</v>
      </c>
      <c r="I41" s="41">
        <f>I11+I31+I21</f>
        <v>2876</v>
      </c>
      <c r="J41" s="251">
        <f>H41+J35+J37+J39-1</f>
        <v>4083</v>
      </c>
      <c r="K41" s="41">
        <f>K11+K31+K21</f>
        <v>2892</v>
      </c>
      <c r="L41" s="251">
        <f>J41+L35+L37+L39-1</f>
        <v>3773</v>
      </c>
      <c r="M41" s="41">
        <f>M11+M31+M21</f>
        <v>2908.6400000000003</v>
      </c>
      <c r="N41" s="251">
        <f>L41+N35+N37+N39</f>
        <v>3451.6400000000003</v>
      </c>
      <c r="O41" s="41">
        <f>O11+O31+O21</f>
        <v>2925.9456</v>
      </c>
      <c r="P41" s="251">
        <f>N41+P35+P37+P39</f>
        <v>3117.4256</v>
      </c>
      <c r="Q41" s="41">
        <f>Q11+Q31+Q21</f>
        <v>2943.9434240000001</v>
      </c>
      <c r="R41" s="251">
        <f>P41+R35+R37+R39</f>
        <v>2769.8426239999999</v>
      </c>
      <c r="S41" s="41">
        <f>S11+S31+S21</f>
        <v>2962.6611609600004</v>
      </c>
      <c r="T41" s="251">
        <f>R41+T35+T37+T39</f>
        <v>2408.3563289599997</v>
      </c>
      <c r="U41" s="41">
        <f>U11+U31+U21</f>
        <v>2982.1276073984004</v>
      </c>
      <c r="V41" s="251">
        <f>T41+V35+V37+V39</f>
        <v>2032.4105821183998</v>
      </c>
      <c r="W41" s="261">
        <f>W11+W31+W21</f>
        <v>3002.372711694336</v>
      </c>
      <c r="AC41" s="42">
        <f>E41+AC35+AC37+AC39</f>
        <v>6473</v>
      </c>
      <c r="AD41" s="42">
        <f>AC41+AD35+AD37+AD39</f>
        <v>7246</v>
      </c>
      <c r="AE41" s="42">
        <f>AD41+AE35+AE37+AE39-1</f>
        <v>6975</v>
      </c>
      <c r="AF41" s="42">
        <f>AE41+AF35+AF37+AF39</f>
        <v>6682.64</v>
      </c>
      <c r="AG41" s="42">
        <f>AF41+AG35+AG37+AG39</f>
        <v>6378.5856000000003</v>
      </c>
      <c r="AH41" s="42">
        <f>AG41+AH35+AH37+AH39</f>
        <v>6062.3690240000005</v>
      </c>
      <c r="AI41" s="42">
        <f>AH41+AI35+AI37+AI39</f>
        <v>5733.5037849600003</v>
      </c>
      <c r="AJ41" s="42">
        <f>AI41+AJ35+AJ37+AJ39</f>
        <v>5391.4839363583997</v>
      </c>
      <c r="AK41" s="42">
        <f>AJ41+AK35+AK37+AK39</f>
        <v>5035.7832938127358</v>
      </c>
    </row>
    <row r="42" spans="2:39" s="19" customFormat="1" ht="15" thickBot="1" x14ac:dyDescent="0.35">
      <c r="B42" s="27" t="s">
        <v>42</v>
      </c>
      <c r="C42" s="46" t="str">
        <f>IFERROR(C41/#REF!-1, "-")</f>
        <v>-</v>
      </c>
      <c r="D42" s="46" t="str">
        <f>IFERROR(D41/#REF!-1, "-")</f>
        <v>-</v>
      </c>
      <c r="E42" s="47" t="str">
        <f>IFERROR(E41/#REF!-1, "-")</f>
        <v>-</v>
      </c>
      <c r="F42" s="46">
        <f t="shared" ref="F42:G42" si="28">IFERROR(F41/C41-1, "-")</f>
        <v>0.20516214427531443</v>
      </c>
      <c r="G42" s="46">
        <f t="shared" si="28"/>
        <v>0.24658740642888599</v>
      </c>
      <c r="H42" s="254">
        <f>IFERROR(H41/F41-1, "-")</f>
        <v>0.19989017023613398</v>
      </c>
      <c r="I42" s="46">
        <f>IFERROR(I41/G41-1, "-")</f>
        <v>1.5895443306252144E-2</v>
      </c>
      <c r="J42" s="254">
        <f>IFERROR(J41/H41-1, "-")</f>
        <v>-6.5675057208237964E-2</v>
      </c>
      <c r="K42" s="46">
        <f>IFERROR(K41/I41-1, "-")</f>
        <v>5.5632823365785455E-3</v>
      </c>
      <c r="L42" s="254">
        <f>IFERROR(L41/J41-1, "-")</f>
        <v>-7.5924565270634292E-2</v>
      </c>
      <c r="M42" s="46">
        <f>IFERROR(M41/K41-1, "-")</f>
        <v>5.753803596127316E-3</v>
      </c>
      <c r="N42" s="254">
        <f>IFERROR(N41/L41-1, "-")</f>
        <v>-8.5173601908295704E-2</v>
      </c>
      <c r="O42" s="46">
        <f>IFERROR(O41/M41-1, "-")</f>
        <v>5.9497222069420097E-3</v>
      </c>
      <c r="P42" s="254">
        <f>IFERROR(P41/N41-1, "-")</f>
        <v>-9.6827710885260432E-2</v>
      </c>
      <c r="Q42" s="46">
        <f>IFERROR(Q41/O41-1, "-")</f>
        <v>6.1511136775749264E-3</v>
      </c>
      <c r="R42" s="254">
        <f>IFERROR(R41/P41-1, "-")</f>
        <v>-0.11149679915376332</v>
      </c>
      <c r="S42" s="46">
        <f>IFERROR(S41/Q41-1, "-")</f>
        <v>6.3580491416401763E-3</v>
      </c>
      <c r="T42" s="254">
        <f>IFERROR(T41/R41-1, "-")</f>
        <v>-0.13050788225576826</v>
      </c>
      <c r="U42" s="46">
        <f>IFERROR(U41/S41-1, "-")</f>
        <v>6.5705949417760312E-3</v>
      </c>
      <c r="V42" s="254">
        <f>IFERROR(V41/T41-1, "-")</f>
        <v>-0.15610054970725384</v>
      </c>
      <c r="W42" s="266">
        <f>IFERROR(W41/U41-1, "-")</f>
        <v>6.7888122043164856E-3</v>
      </c>
      <c r="Y42"/>
      <c r="AC42" s="47">
        <f>IFERROR(AC41/E41-1, "-")</f>
        <v>0.22293595314566406</v>
      </c>
      <c r="AD42" s="47">
        <f>IFERROR(AD41/AC41-1, "-")</f>
        <v>0.11941912559864054</v>
      </c>
      <c r="AE42" s="47">
        <f>IFERROR(AE41/AD41-1, "-")</f>
        <v>-3.7399944797129492E-2</v>
      </c>
      <c r="AF42" s="47">
        <f>IFERROR(AF41/AE41-1, "-")</f>
        <v>-4.1915412186379841E-2</v>
      </c>
      <c r="AG42" s="47">
        <f>IFERROR(AG41/AF41-1, "-")</f>
        <v>-4.5499144050854201E-2</v>
      </c>
      <c r="AH42" s="47">
        <f>IFERROR(AH41/AG41-1, "-")</f>
        <v>-4.957471700309235E-2</v>
      </c>
      <c r="AI42" s="47">
        <f>IFERROR(AI41/AH41-1, "-")</f>
        <v>-5.4246984592668746E-2</v>
      </c>
      <c r="AJ42" s="47">
        <f>IFERROR(AJ41/AI41-1, "-")</f>
        <v>-5.9652851280708963E-2</v>
      </c>
      <c r="AK42" s="47">
        <f>IFERROR(AK41/AJ41-1, "-")</f>
        <v>-6.5974534422134745E-2</v>
      </c>
      <c r="AM42"/>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E6778F28-C0ED-4B49-9630-CD7963FAACC6}">
          <x14:colorSeries rgb="FF376092"/>
          <x14:colorNegative rgb="FFD00000"/>
          <x14:colorAxis rgb="FF000000"/>
          <x14:colorMarkers rgb="FFD00000"/>
          <x14:colorFirst rgb="FFD00000"/>
          <x14:colorLast rgb="FFD00000"/>
          <x14:colorHigh rgb="FFD00000"/>
          <x14:colorLow rgb="FFD00000"/>
          <x14:sparklines>
            <x14:sparkline>
              <xm:f>'Gross Margin'!AC35:AK35</xm:f>
              <xm:sqref>AM35</xm:sqref>
            </x14:sparkline>
            <x14:sparkline>
              <xm:f>'Gross Margin'!AC36:AK36</xm:f>
              <xm:sqref>AM36</xm:sqref>
            </x14:sparkline>
            <x14:sparkline>
              <xm:f>'Gross Margin'!AC37:AK37</xm:f>
              <xm:sqref>AM37</xm:sqref>
            </x14:sparkline>
            <x14:sparkline>
              <xm:f>'Gross Margin'!AC38:AK38</xm:f>
              <xm:sqref>AM38</xm:sqref>
            </x14:sparkline>
            <x14:sparkline>
              <xm:f>'Gross Margin'!AC39:AK39</xm:f>
              <xm:sqref>AM39</xm:sqref>
            </x14:sparkline>
            <x14:sparkline>
              <xm:f>'Gross Margin'!AC40:AK40</xm:f>
              <xm:sqref>AM40</xm:sqref>
            </x14:sparkline>
            <x14:sparkline>
              <xm:f>'Gross Margin'!AC41:AK41</xm:f>
              <xm:sqref>AM41</xm:sqref>
            </x14:sparkline>
            <x14:sparkline>
              <xm:f>'Gross Margin'!AC42:AK42</xm:f>
              <xm:sqref>AM42</xm:sqref>
            </x14:sparkline>
          </x14:sparklines>
        </x14:sparklineGroup>
        <x14:sparklineGroup displayEmptyCellsAs="gap" xr2:uid="{97D57549-6DF0-43A0-AD57-B9461B32CE37}">
          <x14:colorSeries rgb="FF376092"/>
          <x14:colorNegative rgb="FFD00000"/>
          <x14:colorAxis rgb="FF000000"/>
          <x14:colorMarkers rgb="FFD00000"/>
          <x14:colorFirst rgb="FFD00000"/>
          <x14:colorLast rgb="FFD00000"/>
          <x14:colorHigh rgb="FFD00000"/>
          <x14:colorLow rgb="FFD00000"/>
          <x14:sparklines>
            <x14:sparkline>
              <xm:f>'Gross Margin'!AC25:AK25</xm:f>
              <xm:sqref>AM25</xm:sqref>
            </x14:sparkline>
            <x14:sparkline>
              <xm:f>'Gross Margin'!AC26:AK26</xm:f>
              <xm:sqref>AM26</xm:sqref>
            </x14:sparkline>
            <x14:sparkline>
              <xm:f>'Gross Margin'!AC27:AK27</xm:f>
              <xm:sqref>AM27</xm:sqref>
            </x14:sparkline>
            <x14:sparkline>
              <xm:f>'Gross Margin'!AC28:AK28</xm:f>
              <xm:sqref>AM28</xm:sqref>
            </x14:sparkline>
            <x14:sparkline>
              <xm:f>'Gross Margin'!AC29:AK29</xm:f>
              <xm:sqref>AM29</xm:sqref>
            </x14:sparkline>
            <x14:sparkline>
              <xm:f>'Gross Margin'!AC30:AK30</xm:f>
              <xm:sqref>AM30</xm:sqref>
            </x14:sparkline>
            <x14:sparkline>
              <xm:f>'Gross Margin'!AC31:AK31</xm:f>
              <xm:sqref>AM31</xm:sqref>
            </x14:sparkline>
            <x14:sparkline>
              <xm:f>'Gross Margin'!AC32:AK32</xm:f>
              <xm:sqref>AM32</xm:sqref>
            </x14:sparkline>
          </x14:sparklines>
        </x14:sparklineGroup>
        <x14:sparklineGroup displayEmptyCellsAs="gap" xr2:uid="{AB705BF4-CA1D-4AB4-AAE4-DB3D9D4A0C0D}">
          <x14:colorSeries rgb="FF376092"/>
          <x14:colorNegative rgb="FFD00000"/>
          <x14:colorAxis rgb="FF000000"/>
          <x14:colorMarkers rgb="FFD00000"/>
          <x14:colorFirst rgb="FFD00000"/>
          <x14:colorLast rgb="FFD00000"/>
          <x14:colorHigh rgb="FFD00000"/>
          <x14:colorLow rgb="FFD00000"/>
          <x14:sparklines>
            <x14:sparkline>
              <xm:f>'Gross Margin'!AC5:AK5</xm:f>
              <xm:sqref>AM5</xm:sqref>
            </x14:sparkline>
            <x14:sparkline>
              <xm:f>'Gross Margin'!AC6:AK6</xm:f>
              <xm:sqref>AM6</xm:sqref>
            </x14:sparkline>
            <x14:sparkline>
              <xm:f>'Gross Margin'!AC7:AK7</xm:f>
              <xm:sqref>AM7</xm:sqref>
            </x14:sparkline>
            <x14:sparkline>
              <xm:f>'Gross Margin'!AC8:AK8</xm:f>
              <xm:sqref>AM8</xm:sqref>
            </x14:sparkline>
            <x14:sparkline>
              <xm:f>'Gross Margin'!AC9:AK9</xm:f>
              <xm:sqref>AM9</xm:sqref>
            </x14:sparkline>
            <x14:sparkline>
              <xm:f>'Gross Margin'!AC10:AK10</xm:f>
              <xm:sqref>AM10</xm:sqref>
            </x14:sparkline>
            <x14:sparkline>
              <xm:f>'Gross Margin'!AC11:AK11</xm:f>
              <xm:sqref>AM11</xm:sqref>
            </x14:sparkline>
            <x14:sparkline>
              <xm:f>'Gross Margin'!AC12:AK12</xm:f>
              <xm:sqref>AM12</xm:sqref>
            </x14:sparkline>
          </x14:sparklines>
        </x14:sparklineGroup>
        <x14:sparklineGroup displayEmptyCellsAs="gap" xr2:uid="{ED433E3C-F296-4817-B34D-4986066DA77F}">
          <x14:colorSeries rgb="FF376092"/>
          <x14:colorNegative rgb="FFD00000"/>
          <x14:colorAxis rgb="FF000000"/>
          <x14:colorMarkers rgb="FFD00000"/>
          <x14:colorFirst rgb="FFD00000"/>
          <x14:colorLast rgb="FFD00000"/>
          <x14:colorHigh rgb="FFD00000"/>
          <x14:colorLow rgb="FFD00000"/>
          <x14:sparklines>
            <x14:sparkline>
              <xm:f>'Gross Margin'!AC15:AK15</xm:f>
              <xm:sqref>AM15</xm:sqref>
            </x14:sparkline>
            <x14:sparkline>
              <xm:f>'Gross Margin'!AC16:AK16</xm:f>
              <xm:sqref>AM16</xm:sqref>
            </x14:sparkline>
            <x14:sparkline>
              <xm:f>'Gross Margin'!AC17:AK17</xm:f>
              <xm:sqref>AM17</xm:sqref>
            </x14:sparkline>
            <x14:sparkline>
              <xm:f>'Gross Margin'!AC18:AK18</xm:f>
              <xm:sqref>AM18</xm:sqref>
            </x14:sparkline>
            <x14:sparkline>
              <xm:f>'Gross Margin'!AC19:AK19</xm:f>
              <xm:sqref>AM19</xm:sqref>
            </x14:sparkline>
            <x14:sparkline>
              <xm:f>'Gross Margin'!AC20:AK20</xm:f>
              <xm:sqref>AM20</xm:sqref>
            </x14:sparkline>
            <x14:sparkline>
              <xm:f>'Gross Margin'!AC21:AK21</xm:f>
              <xm:sqref>AM21</xm:sqref>
            </x14:sparkline>
            <x14:sparkline>
              <xm:f>'Gross Margin'!AC22:AK22</xm:f>
              <xm:sqref>AM22</xm:sqref>
            </x14:sparkline>
          </x14:sparklines>
        </x14:sparklineGroup>
        <x14:sparklineGroup displayEmptyCellsAs="gap" xr2:uid="{65E6C514-A47A-45DA-8636-B8AE668CAE3E}">
          <x14:colorSeries rgb="FF376092"/>
          <x14:colorNegative rgb="FFD00000"/>
          <x14:colorAxis rgb="FF000000"/>
          <x14:colorMarkers rgb="FFD00000"/>
          <x14:colorFirst rgb="FFD00000"/>
          <x14:colorLast rgb="FFD00000"/>
          <x14:colorHigh rgb="FFD00000"/>
          <x14:colorLow rgb="FFD00000"/>
          <x14:sparklines>
            <x14:sparkline>
              <xm:f>'Gross Margin'!F35:W35</xm:f>
              <xm:sqref>Y35</xm:sqref>
            </x14:sparkline>
            <x14:sparkline>
              <xm:f>'Gross Margin'!F36:W36</xm:f>
              <xm:sqref>Y36</xm:sqref>
            </x14:sparkline>
            <x14:sparkline>
              <xm:f>'Gross Margin'!F37:W37</xm:f>
              <xm:sqref>Y37</xm:sqref>
            </x14:sparkline>
            <x14:sparkline>
              <xm:f>'Gross Margin'!F38:W38</xm:f>
              <xm:sqref>Y38</xm:sqref>
            </x14:sparkline>
            <x14:sparkline>
              <xm:f>'Gross Margin'!F39:W39</xm:f>
              <xm:sqref>Y39</xm:sqref>
            </x14:sparkline>
            <x14:sparkline>
              <xm:f>'Gross Margin'!F40:W40</xm:f>
              <xm:sqref>Y40</xm:sqref>
            </x14:sparkline>
            <x14:sparkline>
              <xm:f>'Gross Margin'!F41:W41</xm:f>
              <xm:sqref>Y41</xm:sqref>
            </x14:sparkline>
            <x14:sparkline>
              <xm:f>'Gross Margin'!F42:W42</xm:f>
              <xm:sqref>Y42</xm:sqref>
            </x14:sparkline>
          </x14:sparklines>
        </x14:sparklineGroup>
        <x14:sparklineGroup displayEmptyCellsAs="gap" xr2:uid="{047B2D29-1357-4CFA-8840-EDBDAFC708ED}">
          <x14:colorSeries rgb="FF376092"/>
          <x14:colorNegative rgb="FFD00000"/>
          <x14:colorAxis rgb="FF000000"/>
          <x14:colorMarkers rgb="FFD00000"/>
          <x14:colorFirst rgb="FFD00000"/>
          <x14:colorLast rgb="FFD00000"/>
          <x14:colorHigh rgb="FFD00000"/>
          <x14:colorLow rgb="FFD00000"/>
          <x14:sparklines>
            <x14:sparkline>
              <xm:f>'Gross Margin'!F25:W25</xm:f>
              <xm:sqref>Y25</xm:sqref>
            </x14:sparkline>
            <x14:sparkline>
              <xm:f>'Gross Margin'!F26:W26</xm:f>
              <xm:sqref>Y26</xm:sqref>
            </x14:sparkline>
            <x14:sparkline>
              <xm:f>'Gross Margin'!F27:W27</xm:f>
              <xm:sqref>Y27</xm:sqref>
            </x14:sparkline>
            <x14:sparkline>
              <xm:f>'Gross Margin'!F28:W28</xm:f>
              <xm:sqref>Y28</xm:sqref>
            </x14:sparkline>
            <x14:sparkline>
              <xm:f>'Gross Margin'!F29:W29</xm:f>
              <xm:sqref>Y29</xm:sqref>
            </x14:sparkline>
            <x14:sparkline>
              <xm:f>'Gross Margin'!F30:W30</xm:f>
              <xm:sqref>Y30</xm:sqref>
            </x14:sparkline>
            <x14:sparkline>
              <xm:f>'Gross Margin'!F31:W31</xm:f>
              <xm:sqref>Y31</xm:sqref>
            </x14:sparkline>
            <x14:sparkline>
              <xm:f>'Gross Margin'!F32:W32</xm:f>
              <xm:sqref>Y32</xm:sqref>
            </x14:sparkline>
          </x14:sparklines>
        </x14:sparklineGroup>
        <x14:sparklineGroup displayEmptyCellsAs="gap" xr2:uid="{07364912-2733-46F6-A7A4-EA99E188FD46}">
          <x14:colorSeries rgb="FF376092"/>
          <x14:colorNegative rgb="FFD00000"/>
          <x14:colorAxis rgb="FF000000"/>
          <x14:colorMarkers rgb="FFD00000"/>
          <x14:colorFirst rgb="FFD00000"/>
          <x14:colorLast rgb="FFD00000"/>
          <x14:colorHigh rgb="FFD00000"/>
          <x14:colorLow rgb="FFD00000"/>
          <x14:sparklines>
            <x14:sparkline>
              <xm:f>'Gross Margin'!F5:W5</xm:f>
              <xm:sqref>Y5</xm:sqref>
            </x14:sparkline>
            <x14:sparkline>
              <xm:f>'Gross Margin'!F6:W6</xm:f>
              <xm:sqref>Y6</xm:sqref>
            </x14:sparkline>
            <x14:sparkline>
              <xm:f>'Gross Margin'!F7:W7</xm:f>
              <xm:sqref>Y7</xm:sqref>
            </x14:sparkline>
            <x14:sparkline>
              <xm:f>'Gross Margin'!F8:W8</xm:f>
              <xm:sqref>Y8</xm:sqref>
            </x14:sparkline>
            <x14:sparkline>
              <xm:f>'Gross Margin'!F9:W9</xm:f>
              <xm:sqref>Y9</xm:sqref>
            </x14:sparkline>
            <x14:sparkline>
              <xm:f>'Gross Margin'!F10:W10</xm:f>
              <xm:sqref>Y10</xm:sqref>
            </x14:sparkline>
            <x14:sparkline>
              <xm:f>'Gross Margin'!F11:W11</xm:f>
              <xm:sqref>Y11</xm:sqref>
            </x14:sparkline>
            <x14:sparkline>
              <xm:f>'Gross Margin'!F12:W12</xm:f>
              <xm:sqref>Y12</xm:sqref>
            </x14:sparkline>
          </x14:sparklines>
        </x14:sparklineGroup>
        <x14:sparklineGroup displayEmptyCellsAs="gap" xr2:uid="{FD37E532-E009-4B57-88C7-5A93AC96AAC0}">
          <x14:colorSeries rgb="FF376092"/>
          <x14:colorNegative rgb="FFD00000"/>
          <x14:colorAxis rgb="FF000000"/>
          <x14:colorMarkers rgb="FFD00000"/>
          <x14:colorFirst rgb="FFD00000"/>
          <x14:colorLast rgb="FFD00000"/>
          <x14:colorHigh rgb="FFD00000"/>
          <x14:colorLow rgb="FFD00000"/>
          <x14:sparklines>
            <x14:sparkline>
              <xm:f>'Gross Margin'!F15:W15</xm:f>
              <xm:sqref>Y15</xm:sqref>
            </x14:sparkline>
            <x14:sparkline>
              <xm:f>'Gross Margin'!F16:W16</xm:f>
              <xm:sqref>Y16</xm:sqref>
            </x14:sparkline>
            <x14:sparkline>
              <xm:f>'Gross Margin'!F17:W17</xm:f>
              <xm:sqref>Y17</xm:sqref>
            </x14:sparkline>
            <x14:sparkline>
              <xm:f>'Gross Margin'!F18:W18</xm:f>
              <xm:sqref>Y18</xm:sqref>
            </x14:sparkline>
            <x14:sparkline>
              <xm:f>'Gross Margin'!F19:W19</xm:f>
              <xm:sqref>Y19</xm:sqref>
            </x14:sparkline>
            <x14:sparkline>
              <xm:f>'Gross Margin'!F20:W20</xm:f>
              <xm:sqref>Y20</xm:sqref>
            </x14:sparkline>
            <x14:sparkline>
              <xm:f>'Gross Margin'!F21:W21</xm:f>
              <xm:sqref>Y21</xm:sqref>
            </x14:sparkline>
            <x14:sparkline>
              <xm:f>'Gross Margin'!F22:W22</xm:f>
              <xm:sqref>Y22</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07B38-81D2-444C-9118-9FCFEB4D7912}">
  <dimension ref="B1:AM42"/>
  <sheetViews>
    <sheetView showGridLines="0" tabSelected="1" workbookViewId="0">
      <pane xSplit="2" ySplit="2" topLeftCell="K3" activePane="bottomRight" state="frozen"/>
      <selection pane="topRight" activeCell="C1" sqref="C1"/>
      <selection pane="bottomLeft" activeCell="A3" sqref="A3"/>
      <selection pane="bottomRight" activeCell="M11" sqref="M11"/>
    </sheetView>
  </sheetViews>
  <sheetFormatPr defaultRowHeight="14.4" x14ac:dyDescent="0.3"/>
  <cols>
    <col min="1" max="1" width="2.33203125" customWidth="1"/>
    <col min="2" max="2" width="25.5546875" customWidth="1"/>
    <col min="10" max="10" width="8.33203125" customWidth="1"/>
    <col min="12" max="12" width="8.33203125" customWidth="1"/>
  </cols>
  <sheetData>
    <row r="1" spans="2:39" ht="15" thickBot="1" x14ac:dyDescent="0.35"/>
    <row r="2" spans="2:39" x14ac:dyDescent="0.3">
      <c r="B2" s="20" t="s">
        <v>22</v>
      </c>
      <c r="C2" s="31" t="s">
        <v>25</v>
      </c>
      <c r="D2" s="33" t="s">
        <v>26</v>
      </c>
      <c r="E2" s="32" t="s">
        <v>0</v>
      </c>
      <c r="F2" s="31" t="s">
        <v>27</v>
      </c>
      <c r="G2" s="267" t="s">
        <v>28</v>
      </c>
      <c r="H2" s="31" t="s">
        <v>29</v>
      </c>
      <c r="I2" s="267" t="s">
        <v>30</v>
      </c>
      <c r="J2" s="31" t="s">
        <v>31</v>
      </c>
      <c r="K2" s="267" t="s">
        <v>32</v>
      </c>
      <c r="L2" s="31" t="s">
        <v>44</v>
      </c>
      <c r="M2" s="258" t="s">
        <v>45</v>
      </c>
      <c r="N2" s="175" t="s">
        <v>47</v>
      </c>
      <c r="O2" s="258" t="s">
        <v>48</v>
      </c>
      <c r="P2" s="175" t="s">
        <v>50</v>
      </c>
      <c r="Q2" s="258" t="s">
        <v>51</v>
      </c>
      <c r="R2" s="175" t="s">
        <v>53</v>
      </c>
      <c r="S2" s="258" t="s">
        <v>54</v>
      </c>
      <c r="T2" s="175" t="s">
        <v>56</v>
      </c>
      <c r="U2" s="258" t="s">
        <v>57</v>
      </c>
      <c r="V2" s="175" t="s">
        <v>59</v>
      </c>
      <c r="W2" s="258" t="s">
        <v>60</v>
      </c>
      <c r="AC2" s="32" t="s">
        <v>1</v>
      </c>
      <c r="AD2" s="32" t="s">
        <v>2</v>
      </c>
      <c r="AE2" s="32" t="s">
        <v>33</v>
      </c>
      <c r="AF2" s="177" t="s">
        <v>46</v>
      </c>
      <c r="AG2" s="177" t="s">
        <v>49</v>
      </c>
      <c r="AH2" s="177" t="s">
        <v>52</v>
      </c>
      <c r="AI2" s="177" t="s">
        <v>55</v>
      </c>
      <c r="AJ2" s="177" t="s">
        <v>58</v>
      </c>
      <c r="AK2" s="178" t="s">
        <v>61</v>
      </c>
    </row>
    <row r="3" spans="2:39" x14ac:dyDescent="0.3">
      <c r="B3" s="21"/>
      <c r="E3" s="17"/>
      <c r="G3" s="2"/>
      <c r="I3" s="2"/>
      <c r="K3" s="2"/>
      <c r="M3" s="2"/>
      <c r="O3" s="2"/>
      <c r="Q3" s="2"/>
      <c r="S3" s="2"/>
      <c r="U3" s="2"/>
      <c r="W3" s="2"/>
      <c r="AC3" s="17"/>
      <c r="AD3" s="17"/>
      <c r="AE3" s="17"/>
      <c r="AF3" s="17"/>
      <c r="AG3" s="17"/>
      <c r="AH3" s="17"/>
      <c r="AI3" s="17"/>
      <c r="AJ3" s="17"/>
      <c r="AK3" s="22"/>
    </row>
    <row r="4" spans="2:39" x14ac:dyDescent="0.3">
      <c r="B4" s="23" t="s">
        <v>211</v>
      </c>
      <c r="E4" s="17"/>
      <c r="G4" s="2"/>
      <c r="I4" s="2"/>
      <c r="K4" s="2"/>
      <c r="M4" s="2"/>
      <c r="O4" s="2"/>
      <c r="Q4" s="2"/>
      <c r="S4" s="2"/>
      <c r="U4" s="2"/>
      <c r="W4" s="2"/>
      <c r="AC4" s="17"/>
      <c r="AD4" s="17"/>
      <c r="AE4" s="17"/>
      <c r="AF4" s="17"/>
      <c r="AG4" s="17"/>
      <c r="AH4" s="17"/>
      <c r="AI4" s="17"/>
      <c r="AJ4" s="17"/>
      <c r="AK4" s="22"/>
    </row>
    <row r="5" spans="2:39" x14ac:dyDescent="0.3">
      <c r="B5" s="21" t="s">
        <v>35</v>
      </c>
      <c r="C5" s="34"/>
      <c r="D5" s="34"/>
      <c r="E5" s="35"/>
      <c r="F5" s="34">
        <v>-7</v>
      </c>
      <c r="G5" s="264">
        <f>AC5-F5</f>
        <v>-58</v>
      </c>
      <c r="H5" s="34">
        <v>-45</v>
      </c>
      <c r="I5" s="264">
        <f>AD5-H5</f>
        <v>-12</v>
      </c>
      <c r="J5" s="34">
        <v>-13</v>
      </c>
      <c r="K5" s="264">
        <f>AE5-J5</f>
        <v>70</v>
      </c>
      <c r="L5" s="34">
        <v>46</v>
      </c>
      <c r="M5" s="259">
        <f>K5*(1+M6)</f>
        <v>74.900000000000006</v>
      </c>
      <c r="N5" s="36">
        <f>L5*(1+N6)</f>
        <v>49.220000000000006</v>
      </c>
      <c r="O5" s="259">
        <f>M5*(1+O6)</f>
        <v>80.143000000000015</v>
      </c>
      <c r="P5" s="36">
        <f>N5*(1+P6)</f>
        <v>52.665400000000012</v>
      </c>
      <c r="Q5" s="259">
        <f>O5*(1+Q6)</f>
        <v>85.753010000000017</v>
      </c>
      <c r="R5" s="36">
        <f>P5*(1+R6)</f>
        <v>56.351978000000017</v>
      </c>
      <c r="S5" s="259">
        <f>Q5*(1+S6)</f>
        <v>91.755720700000026</v>
      </c>
      <c r="T5" s="36">
        <f>R5*(1+T6)</f>
        <v>60.296616460000024</v>
      </c>
      <c r="U5" s="259">
        <f>S5*(1+U6)</f>
        <v>98.178621149000037</v>
      </c>
      <c r="V5" s="36">
        <f>T5*(1+V6)</f>
        <v>64.517379612200031</v>
      </c>
      <c r="W5" s="259">
        <f>U5*(1+W6)</f>
        <v>105.05112462943005</v>
      </c>
      <c r="AC5" s="35">
        <v>-65</v>
      </c>
      <c r="AD5" s="35">
        <v>-57</v>
      </c>
      <c r="AE5" s="35">
        <v>57</v>
      </c>
      <c r="AF5" s="37">
        <f>L5+M5</f>
        <v>120.9</v>
      </c>
      <c r="AG5" s="37">
        <f>N5+O5</f>
        <v>129.36300000000003</v>
      </c>
      <c r="AH5" s="37">
        <f>P5+Q5</f>
        <v>138.41841000000002</v>
      </c>
      <c r="AI5" s="37">
        <f>R5+S5</f>
        <v>148.10769870000004</v>
      </c>
      <c r="AJ5" s="37">
        <f>T5+U5</f>
        <v>158.47523760900006</v>
      </c>
      <c r="AK5" s="37">
        <f>V5+W5</f>
        <v>169.56850424163008</v>
      </c>
    </row>
    <row r="6" spans="2:39" s="19" customFormat="1" x14ac:dyDescent="0.3">
      <c r="B6" s="24" t="s">
        <v>38</v>
      </c>
      <c r="C6" s="38" t="str">
        <f>IFERROR(C5/#REF!-1, "-")</f>
        <v>-</v>
      </c>
      <c r="D6" s="38" t="str">
        <f>IFERROR(D5/#REF!-1, "-")</f>
        <v>-</v>
      </c>
      <c r="E6" s="39" t="str">
        <f>IFERROR(E5/#REF!-1, "-")</f>
        <v>-</v>
      </c>
      <c r="F6" s="38">
        <f t="shared" ref="F6" si="0">F5/C11</f>
        <v>2.8000000000000001E-2</v>
      </c>
      <c r="G6" s="262">
        <f t="shared" ref="G6" si="1">G5/D11</f>
        <v>0.26363636363636361</v>
      </c>
      <c r="H6" s="38">
        <f>H5/F11</f>
        <v>0.17045454545454544</v>
      </c>
      <c r="I6" s="262">
        <f>I5/G11</f>
        <v>3.9473684210526314E-2</v>
      </c>
      <c r="J6" s="38">
        <f>J5/H11</f>
        <v>3.7249283667621778E-2</v>
      </c>
      <c r="K6" s="262">
        <f>K5/I11</f>
        <v>-0.20771513353115728</v>
      </c>
      <c r="L6" s="38">
        <f>L5/J11</f>
        <v>-0.12299465240641712</v>
      </c>
      <c r="M6" s="260">
        <v>7.0000000000000007E-2</v>
      </c>
      <c r="N6" s="40">
        <v>7.0000000000000007E-2</v>
      </c>
      <c r="O6" s="260">
        <v>7.0000000000000007E-2</v>
      </c>
      <c r="P6" s="40">
        <v>7.0000000000000007E-2</v>
      </c>
      <c r="Q6" s="260">
        <v>7.0000000000000007E-2</v>
      </c>
      <c r="R6" s="40">
        <v>7.0000000000000007E-2</v>
      </c>
      <c r="S6" s="260">
        <v>7.0000000000000007E-2</v>
      </c>
      <c r="T6" s="40">
        <v>7.0000000000000007E-2</v>
      </c>
      <c r="U6" s="260">
        <v>7.0000000000000007E-2</v>
      </c>
      <c r="V6" s="40">
        <v>7.0000000000000007E-2</v>
      </c>
      <c r="W6" s="260">
        <v>7.0000000000000007E-2</v>
      </c>
      <c r="Y6"/>
      <c r="AC6" s="39">
        <f>AC5/E11</f>
        <v>0.13829787234042554</v>
      </c>
      <c r="AD6" s="39">
        <f>AD5/AC11</f>
        <v>0.1</v>
      </c>
      <c r="AE6" s="39">
        <f>AE5/AD11</f>
        <v>-8.284883720930232E-2</v>
      </c>
      <c r="AF6" s="39">
        <f>AF5/AE5-1</f>
        <v>1.1210526315789475</v>
      </c>
      <c r="AG6" s="39">
        <f>AG5/AF5-1</f>
        <v>7.0000000000000284E-2</v>
      </c>
      <c r="AH6" s="39">
        <f>AH5/AG5-1</f>
        <v>6.999999999999984E-2</v>
      </c>
      <c r="AI6" s="39">
        <f>AI5/AH5-1</f>
        <v>7.0000000000000062E-2</v>
      </c>
      <c r="AJ6" s="39">
        <f>AJ5/AI5-1</f>
        <v>7.0000000000000062E-2</v>
      </c>
      <c r="AK6" s="39">
        <f>AK5/AJ5-1</f>
        <v>7.0000000000000062E-2</v>
      </c>
      <c r="AM6"/>
    </row>
    <row r="7" spans="2:39" x14ac:dyDescent="0.3">
      <c r="B7" s="21" t="s">
        <v>36</v>
      </c>
      <c r="C7" s="34"/>
      <c r="D7" s="34"/>
      <c r="E7" s="35"/>
      <c r="F7" s="34">
        <v>-5</v>
      </c>
      <c r="G7" s="264">
        <f>AC7-F7</f>
        <v>-23</v>
      </c>
      <c r="H7" s="34">
        <v>-37</v>
      </c>
      <c r="I7" s="264">
        <f>AD7-H7</f>
        <v>-1</v>
      </c>
      <c r="J7" s="34">
        <v>23</v>
      </c>
      <c r="K7" s="264">
        <f>AE7-J7</f>
        <v>2</v>
      </c>
      <c r="L7" s="34">
        <v>10</v>
      </c>
      <c r="M7" s="259">
        <f>K7*(1+M8)</f>
        <v>2.14</v>
      </c>
      <c r="N7" s="36">
        <f>L7*(1+N8)</f>
        <v>10.700000000000001</v>
      </c>
      <c r="O7" s="259">
        <f>M7*(1+O8)</f>
        <v>2.2898000000000001</v>
      </c>
      <c r="P7" s="36">
        <f>N7*(1+P8)</f>
        <v>11.449000000000002</v>
      </c>
      <c r="Q7" s="259">
        <f>O7*(1+Q8)</f>
        <v>2.4500860000000002</v>
      </c>
      <c r="R7" s="36">
        <f>P7*(1+R8)</f>
        <v>12.250430000000003</v>
      </c>
      <c r="S7" s="259">
        <f>Q7*(1+S8)</f>
        <v>2.6215920200000005</v>
      </c>
      <c r="T7" s="36">
        <f>R7*(1+T8)</f>
        <v>13.107960100000005</v>
      </c>
      <c r="U7" s="259">
        <f>S7*(1+U8)</f>
        <v>2.8051034614000008</v>
      </c>
      <c r="V7" s="36">
        <f>T7*(1+V8)</f>
        <v>14.025517307000007</v>
      </c>
      <c r="W7" s="259">
        <f>U7*(1+W8)</f>
        <v>3.001460703698001</v>
      </c>
      <c r="AC7" s="35">
        <v>-28</v>
      </c>
      <c r="AD7" s="35">
        <v>-38</v>
      </c>
      <c r="AE7" s="35">
        <v>25</v>
      </c>
      <c r="AF7" s="37">
        <f>L7+M7</f>
        <v>12.14</v>
      </c>
      <c r="AG7" s="37">
        <f>N7+O7</f>
        <v>12.989800000000001</v>
      </c>
      <c r="AH7" s="37">
        <f>P7+Q7</f>
        <v>13.899086000000002</v>
      </c>
      <c r="AI7" s="37">
        <f>R7+S7</f>
        <v>14.872022020000003</v>
      </c>
      <c r="AJ7" s="37">
        <f>T7+U7</f>
        <v>15.913063561400005</v>
      </c>
      <c r="AK7" s="37">
        <f>V7+W7</f>
        <v>17.026978010698009</v>
      </c>
    </row>
    <row r="8" spans="2:39" s="19" customFormat="1" x14ac:dyDescent="0.3">
      <c r="B8" s="24" t="s">
        <v>39</v>
      </c>
      <c r="C8" s="38" t="str">
        <f>IFERROR(C7/#REF!-1, "-")</f>
        <v>-</v>
      </c>
      <c r="D8" s="38" t="str">
        <f>IFERROR(D7/#REF!-1, "-")</f>
        <v>-</v>
      </c>
      <c r="E8" s="39" t="str">
        <f>IFERROR(E7/#REF!-1, "-")</f>
        <v>-</v>
      </c>
      <c r="F8" s="38">
        <f t="shared" ref="F8" si="2">F7/C11</f>
        <v>0.02</v>
      </c>
      <c r="G8" s="262">
        <f t="shared" ref="G8" si="3">G7/D11</f>
        <v>0.10454545454545454</v>
      </c>
      <c r="H8" s="38">
        <f>H7/F11</f>
        <v>0.14015151515151514</v>
      </c>
      <c r="I8" s="262">
        <f>I7/G11</f>
        <v>3.2894736842105261E-3</v>
      </c>
      <c r="J8" s="38">
        <f>J7/H11</f>
        <v>-6.5902578796561598E-2</v>
      </c>
      <c r="K8" s="262">
        <f>K7/I11</f>
        <v>-5.9347181008902079E-3</v>
      </c>
      <c r="L8" s="38">
        <f>L7/J11</f>
        <v>-2.6737967914438502E-2</v>
      </c>
      <c r="M8" s="260">
        <v>7.0000000000000007E-2</v>
      </c>
      <c r="N8" s="40">
        <v>7.0000000000000007E-2</v>
      </c>
      <c r="O8" s="260">
        <v>7.0000000000000007E-2</v>
      </c>
      <c r="P8" s="40">
        <v>7.0000000000000007E-2</v>
      </c>
      <c r="Q8" s="260">
        <v>7.0000000000000007E-2</v>
      </c>
      <c r="R8" s="40">
        <v>7.0000000000000007E-2</v>
      </c>
      <c r="S8" s="260">
        <v>7.0000000000000007E-2</v>
      </c>
      <c r="T8" s="40">
        <v>7.0000000000000007E-2</v>
      </c>
      <c r="U8" s="260">
        <v>7.0000000000000007E-2</v>
      </c>
      <c r="V8" s="40">
        <v>7.0000000000000007E-2</v>
      </c>
      <c r="W8" s="260">
        <v>7.0000000000000007E-2</v>
      </c>
      <c r="Y8"/>
      <c r="AC8" s="39">
        <f>AC7/E11</f>
        <v>5.9574468085106386E-2</v>
      </c>
      <c r="AD8" s="39">
        <f>AD7/AC11</f>
        <v>6.6666666666666666E-2</v>
      </c>
      <c r="AE8" s="39">
        <f>AE7/AD11</f>
        <v>-3.6337209302325583E-2</v>
      </c>
      <c r="AF8" s="39">
        <f>AF7/AE7-1</f>
        <v>-0.51439999999999997</v>
      </c>
      <c r="AG8" s="39">
        <f>AG7/AF7-1</f>
        <v>7.0000000000000062E-2</v>
      </c>
      <c r="AH8" s="39">
        <f>AH7/AG7-1</f>
        <v>7.0000000000000062E-2</v>
      </c>
      <c r="AI8" s="39">
        <f>AI7/AH7-1</f>
        <v>7.0000000000000062E-2</v>
      </c>
      <c r="AJ8" s="39">
        <f>AJ7/AI7-1</f>
        <v>7.0000000000000062E-2</v>
      </c>
      <c r="AK8" s="39">
        <f>AK7/AJ7-1</f>
        <v>7.0000000000000284E-2</v>
      </c>
      <c r="AM8"/>
    </row>
    <row r="9" spans="2:39" x14ac:dyDescent="0.3">
      <c r="B9" s="21" t="s">
        <v>37</v>
      </c>
      <c r="C9" s="34"/>
      <c r="D9" s="34"/>
      <c r="E9" s="35"/>
      <c r="F9" s="34">
        <v>-3</v>
      </c>
      <c r="G9" s="264">
        <f>AC9-F9</f>
        <v>-3</v>
      </c>
      <c r="H9" s="34">
        <v>-3</v>
      </c>
      <c r="I9" s="264">
        <f>AD9-H9</f>
        <v>-20</v>
      </c>
      <c r="J9" s="34">
        <v>-35</v>
      </c>
      <c r="K9" s="264">
        <f>AE9-J9</f>
        <v>-30</v>
      </c>
      <c r="L9" s="34">
        <v>-4</v>
      </c>
      <c r="M9" s="259">
        <f>K9*(1+M10)</f>
        <v>-32.1</v>
      </c>
      <c r="N9" s="36">
        <f>L9*(1+N10)</f>
        <v>-4.28</v>
      </c>
      <c r="O9" s="259">
        <f>M9*(1+O10)</f>
        <v>-34.347000000000001</v>
      </c>
      <c r="P9" s="36">
        <f>N9*(1+P10)</f>
        <v>-4.5796000000000001</v>
      </c>
      <c r="Q9" s="259">
        <f>O9*(1+Q10)</f>
        <v>-36.751290000000004</v>
      </c>
      <c r="R9" s="36">
        <f>P9*(1+R10)</f>
        <v>-4.9001720000000004</v>
      </c>
      <c r="S9" s="259">
        <f>Q9*(1+S10)</f>
        <v>-39.323880300000006</v>
      </c>
      <c r="T9" s="36">
        <f>R9*(1+T10)</f>
        <v>-5.2431840400000009</v>
      </c>
      <c r="U9" s="259">
        <f>S9*(1+U10)</f>
        <v>-42.076551921000011</v>
      </c>
      <c r="V9" s="36">
        <f>T9*(1+V10)</f>
        <v>-5.6102069228000015</v>
      </c>
      <c r="W9" s="259">
        <f>U9*(1+W10)</f>
        <v>-45.021910555470015</v>
      </c>
      <c r="AC9" s="35">
        <v>-6</v>
      </c>
      <c r="AD9" s="35">
        <v>-23</v>
      </c>
      <c r="AE9" s="35">
        <v>-65</v>
      </c>
      <c r="AF9" s="37">
        <f>L9+M9</f>
        <v>-36.1</v>
      </c>
      <c r="AG9" s="37">
        <f>N9+O9</f>
        <v>-38.627000000000002</v>
      </c>
      <c r="AH9" s="37">
        <f>P9+Q9</f>
        <v>-41.330890000000004</v>
      </c>
      <c r="AI9" s="37">
        <f>R9+S9</f>
        <v>-44.224052300000004</v>
      </c>
      <c r="AJ9" s="37">
        <f>T9+U9</f>
        <v>-47.319735961000013</v>
      </c>
      <c r="AK9" s="37">
        <f>V9+W9</f>
        <v>-50.632117478270018</v>
      </c>
    </row>
    <row r="10" spans="2:39" s="19" customFormat="1" x14ac:dyDescent="0.3">
      <c r="B10" s="24" t="s">
        <v>40</v>
      </c>
      <c r="C10" s="38" t="str">
        <f>IFERROR(C9/#REF!-1, "-")</f>
        <v>-</v>
      </c>
      <c r="D10" s="38" t="str">
        <f>IFERROR(D9/#REF!-1, "-")</f>
        <v>-</v>
      </c>
      <c r="E10" s="39" t="str">
        <f>IFERROR(E9/#REF!-1, "-")</f>
        <v>-</v>
      </c>
      <c r="F10" s="38">
        <f t="shared" ref="F10" si="4">F9/C11</f>
        <v>1.2E-2</v>
      </c>
      <c r="G10" s="262">
        <f t="shared" ref="G10" si="5">G9/D11</f>
        <v>1.3636363636363636E-2</v>
      </c>
      <c r="H10" s="38">
        <f>H9/F11</f>
        <v>1.1363636363636364E-2</v>
      </c>
      <c r="I10" s="262">
        <f>I9/G11</f>
        <v>6.5789473684210523E-2</v>
      </c>
      <c r="J10" s="38">
        <f>J9/H11</f>
        <v>0.10028653295128939</v>
      </c>
      <c r="K10" s="262">
        <f>K9/I11</f>
        <v>8.9020771513353122E-2</v>
      </c>
      <c r="L10" s="38">
        <f>L9/J11</f>
        <v>1.06951871657754E-2</v>
      </c>
      <c r="M10" s="260">
        <v>7.0000000000000007E-2</v>
      </c>
      <c r="N10" s="40">
        <v>7.0000000000000007E-2</v>
      </c>
      <c r="O10" s="260">
        <v>7.0000000000000007E-2</v>
      </c>
      <c r="P10" s="40">
        <v>7.0000000000000007E-2</v>
      </c>
      <c r="Q10" s="260">
        <v>7.0000000000000007E-2</v>
      </c>
      <c r="R10" s="40">
        <v>7.0000000000000007E-2</v>
      </c>
      <c r="S10" s="260">
        <v>7.0000000000000007E-2</v>
      </c>
      <c r="T10" s="40">
        <v>7.0000000000000007E-2</v>
      </c>
      <c r="U10" s="260">
        <v>7.0000000000000007E-2</v>
      </c>
      <c r="V10" s="40">
        <v>7.0000000000000007E-2</v>
      </c>
      <c r="W10" s="260">
        <v>7.0000000000000007E-2</v>
      </c>
      <c r="Y10"/>
      <c r="AC10" s="39">
        <f>AC9/E11</f>
        <v>1.276595744680851E-2</v>
      </c>
      <c r="AD10" s="39">
        <f>AD9/AC11</f>
        <v>4.0350877192982457E-2</v>
      </c>
      <c r="AE10" s="39">
        <f>AE9/AD11</f>
        <v>9.4476744186046513E-2</v>
      </c>
      <c r="AF10" s="39">
        <f>IFERROR(AF9/AE9-1, "-")</f>
        <v>-0.44461538461538463</v>
      </c>
      <c r="AG10" s="39">
        <f>IFERROR(AG9/AF9-1, "-")</f>
        <v>7.0000000000000062E-2</v>
      </c>
      <c r="AH10" s="39">
        <f>IFERROR(AH9/AG9-1, "-")</f>
        <v>7.0000000000000062E-2</v>
      </c>
      <c r="AI10" s="39">
        <f>IFERROR(AI9/AH9-1, "-")</f>
        <v>7.0000000000000062E-2</v>
      </c>
      <c r="AJ10" s="39">
        <f>IFERROR(AJ9/AI9-1, "-")</f>
        <v>7.0000000000000284E-2</v>
      </c>
      <c r="AK10" s="39">
        <f>IFERROR(AK9/AJ9-1, "-")</f>
        <v>7.0000000000000062E-2</v>
      </c>
      <c r="AM10"/>
    </row>
    <row r="11" spans="2:39" x14ac:dyDescent="0.3">
      <c r="B11" s="23" t="s">
        <v>216</v>
      </c>
      <c r="C11" s="41">
        <v>-250</v>
      </c>
      <c r="D11" s="41">
        <f>E11-C11</f>
        <v>-220</v>
      </c>
      <c r="E11" s="42">
        <v>-470</v>
      </c>
      <c r="F11" s="41">
        <f>C11+F5+F7+F9+1</f>
        <v>-264</v>
      </c>
      <c r="G11" s="261">
        <f>D11+G5+G7+G9</f>
        <v>-304</v>
      </c>
      <c r="H11" s="41">
        <f>F11+H5+H7+H9</f>
        <v>-349</v>
      </c>
      <c r="I11" s="261">
        <f>G11+I5+I7+I9</f>
        <v>-337</v>
      </c>
      <c r="J11" s="41">
        <f>H11+J5+J7+J9</f>
        <v>-374</v>
      </c>
      <c r="K11" s="261">
        <f>I11+K5+K7+K9</f>
        <v>-295</v>
      </c>
      <c r="L11" s="41">
        <f>J11+L5+L7+L9</f>
        <v>-322</v>
      </c>
      <c r="M11" s="261">
        <f>K11+M5+M7+M9</f>
        <v>-250.06</v>
      </c>
      <c r="N11" s="41">
        <f>L11+N5+N7+N9</f>
        <v>-266.35999999999996</v>
      </c>
      <c r="O11" s="261">
        <f>M11+O5+O7+O9</f>
        <v>-201.97419999999997</v>
      </c>
      <c r="P11" s="41">
        <f>N11+P5+P7+P9</f>
        <v>-206.82519999999994</v>
      </c>
      <c r="Q11" s="261">
        <f>O11+Q5+Q7+Q9</f>
        <v>-150.52239399999996</v>
      </c>
      <c r="R11" s="41">
        <f>P11+R5+R7+R9</f>
        <v>-143.12296399999991</v>
      </c>
      <c r="S11" s="261">
        <f>Q11+S5+S7+S9</f>
        <v>-95.468961579999942</v>
      </c>
      <c r="T11" s="41">
        <f>R11+T5+T7+T9</f>
        <v>-74.96157147999989</v>
      </c>
      <c r="U11" s="261">
        <f>S11+U5+U7+U9</f>
        <v>-36.561788890599914</v>
      </c>
      <c r="V11" s="41">
        <f>T11+V5+V7+V9</f>
        <v>-2.0288814835998537</v>
      </c>
      <c r="W11" s="261">
        <f>U11+W5+W7+W9</f>
        <v>26.468885887058121</v>
      </c>
      <c r="AC11" s="42">
        <f>E11+AC5+AC7+AC9-1</f>
        <v>-570</v>
      </c>
      <c r="AD11" s="42">
        <f>AC11+AD5+AD7+AD9</f>
        <v>-688</v>
      </c>
      <c r="AE11" s="42">
        <f>AD11+AE5+AE7+AE9+2</f>
        <v>-669</v>
      </c>
      <c r="AF11" s="42">
        <f>AE11+AF5+AF7+AF9</f>
        <v>-572.06000000000006</v>
      </c>
      <c r="AG11" s="42">
        <f>AF11+AG5+AG7+AG9</f>
        <v>-468.33420000000001</v>
      </c>
      <c r="AH11" s="42">
        <f>AG11+AH5+AH7+AH9</f>
        <v>-357.34759400000002</v>
      </c>
      <c r="AI11" s="42">
        <f>AH11+AI5+AI7+AI9</f>
        <v>-238.59192557999998</v>
      </c>
      <c r="AJ11" s="42">
        <f>AI11+AJ5+AJ7+AJ9</f>
        <v>-111.52336037059993</v>
      </c>
      <c r="AK11" s="42">
        <f>AJ11+AK5+AK7+AK9</f>
        <v>24.440004403458133</v>
      </c>
    </row>
    <row r="12" spans="2:39" s="19" customFormat="1" x14ac:dyDescent="0.3">
      <c r="B12" s="24" t="s">
        <v>42</v>
      </c>
      <c r="C12" s="38" t="str">
        <f>IFERROR(C11/#REF!-1, "-")</f>
        <v>-</v>
      </c>
      <c r="D12" s="38" t="str">
        <f>IFERROR(D11/#REF!-1, "-")</f>
        <v>-</v>
      </c>
      <c r="E12" s="39" t="str">
        <f>IFERROR(E11/#REF!-1, "-")</f>
        <v>-</v>
      </c>
      <c r="F12" s="38">
        <f t="shared" ref="F12:G12" si="6">IFERROR(F11/C11-1, "-")</f>
        <v>5.600000000000005E-2</v>
      </c>
      <c r="G12" s="262">
        <f t="shared" si="6"/>
        <v>0.38181818181818183</v>
      </c>
      <c r="H12" s="38">
        <f>IFERROR(H11/F11-1, "-")</f>
        <v>0.32196969696969702</v>
      </c>
      <c r="I12" s="262">
        <f>IFERROR(I11/G11-1, "-")</f>
        <v>0.10855263157894735</v>
      </c>
      <c r="J12" s="38">
        <f>IFERROR(J11/H11-1, "-")</f>
        <v>7.1633237822349649E-2</v>
      </c>
      <c r="K12" s="262">
        <f>IFERROR(K11/I11-1, "-")</f>
        <v>-0.12462908011869434</v>
      </c>
      <c r="L12" s="38">
        <f>IFERROR(L11/J11-1, "-")</f>
        <v>-0.13903743315508021</v>
      </c>
      <c r="M12" s="262">
        <f>IFERROR(M11/K11-1, "-")</f>
        <v>-0.15233898305084748</v>
      </c>
      <c r="N12" s="38">
        <f>IFERROR(N11/L11-1, "-")</f>
        <v>-0.17279503105590077</v>
      </c>
      <c r="O12" s="262">
        <f>IFERROR(O11/M11-1, "-")</f>
        <v>-0.1922970487083101</v>
      </c>
      <c r="P12" s="38">
        <f>IFERROR(P11/N11-1, "-")</f>
        <v>-0.22351253942033344</v>
      </c>
      <c r="Q12" s="262">
        <f>IFERROR(Q11/O11-1, "-")</f>
        <v>-0.25474444755815351</v>
      </c>
      <c r="R12" s="38">
        <f>IFERROR(R11/P11-1, "-")</f>
        <v>-0.30800035972405704</v>
      </c>
      <c r="S12" s="262">
        <f>IFERROR(S11/Q11-1, "-")</f>
        <v>-0.36574911517817099</v>
      </c>
      <c r="T12" s="38">
        <f>IFERROR(T11/R11-1, "-")</f>
        <v>-0.47624357835406528</v>
      </c>
      <c r="U12" s="262">
        <f>IFERROR(U11/S11-1, "-")</f>
        <v>-0.61702957395255309</v>
      </c>
      <c r="V12" s="38">
        <f>IFERROR(V11/T11-1, "-")</f>
        <v>-0.97293437899522728</v>
      </c>
      <c r="W12" s="262">
        <f>IFERROR(W11/U11-1, "-")</f>
        <v>-1.723949420698704</v>
      </c>
      <c r="Y12"/>
      <c r="AC12" s="39">
        <f>IFERROR(AC11/E11-1, "-")</f>
        <v>0.2127659574468086</v>
      </c>
      <c r="AD12" s="39">
        <f>IFERROR(AD11/AC11-1, "-")</f>
        <v>0.2070175438596491</v>
      </c>
      <c r="AE12" s="39">
        <f>IFERROR(AE11/AD11-1, "-")</f>
        <v>-2.7616279069767491E-2</v>
      </c>
      <c r="AF12" s="39">
        <f>IFERROR(AF11/AE11-1, "-")</f>
        <v>-0.14490284005979059</v>
      </c>
      <c r="AG12" s="39">
        <f>IFERROR(AG11/AF11-1, "-")</f>
        <v>-0.18131979163024869</v>
      </c>
      <c r="AH12" s="39">
        <f>IFERROR(AH11/AG11-1, "-")</f>
        <v>-0.23698163832579378</v>
      </c>
      <c r="AI12" s="39">
        <f>IFERROR(AI11/AH11-1, "-")</f>
        <v>-0.33232536167572468</v>
      </c>
      <c r="AJ12" s="39">
        <f>IFERROR(AJ11/AI11-1, "-")</f>
        <v>-0.53257697175000962</v>
      </c>
      <c r="AK12" s="39">
        <f>IFERROR(AK11/AJ11-1, "-")</f>
        <v>-1.2191469511162709</v>
      </c>
      <c r="AM12"/>
    </row>
    <row r="13" spans="2:39" x14ac:dyDescent="0.3">
      <c r="B13" s="21"/>
      <c r="C13" s="43"/>
      <c r="D13" s="43"/>
      <c r="E13" s="44"/>
      <c r="F13" s="43"/>
      <c r="G13" s="263"/>
      <c r="H13" s="43"/>
      <c r="I13" s="263"/>
      <c r="J13" s="43"/>
      <c r="K13" s="263"/>
      <c r="L13" s="43"/>
      <c r="M13" s="263"/>
      <c r="N13" s="43"/>
      <c r="O13" s="263"/>
      <c r="P13" s="43"/>
      <c r="Q13" s="263"/>
      <c r="R13" s="43"/>
      <c r="S13" s="263"/>
      <c r="T13" s="43"/>
      <c r="U13" s="263"/>
      <c r="V13" s="43"/>
      <c r="W13" s="263"/>
      <c r="AC13" s="44"/>
      <c r="AD13" s="44"/>
      <c r="AE13" s="44"/>
      <c r="AF13" s="44"/>
      <c r="AG13" s="44"/>
      <c r="AH13" s="44"/>
      <c r="AI13" s="44"/>
      <c r="AJ13" s="44"/>
      <c r="AK13" s="45"/>
    </row>
    <row r="14" spans="2:39" x14ac:dyDescent="0.3">
      <c r="B14" s="23" t="s">
        <v>213</v>
      </c>
      <c r="C14" s="43"/>
      <c r="D14" s="43"/>
      <c r="E14" s="44"/>
      <c r="F14" s="43"/>
      <c r="G14" s="263"/>
      <c r="H14" s="43"/>
      <c r="I14" s="263"/>
      <c r="J14" s="43"/>
      <c r="K14" s="263"/>
      <c r="L14" s="43"/>
      <c r="M14" s="263"/>
      <c r="N14" s="43"/>
      <c r="O14" s="263"/>
      <c r="P14" s="43"/>
      <c r="Q14" s="263"/>
      <c r="R14" s="43"/>
      <c r="S14" s="263"/>
      <c r="T14" s="43"/>
      <c r="U14" s="263"/>
      <c r="V14" s="43"/>
      <c r="W14" s="263"/>
      <c r="AC14" s="44"/>
      <c r="AD14" s="44"/>
      <c r="AE14" s="44"/>
      <c r="AF14" s="44"/>
      <c r="AG14" s="44"/>
      <c r="AH14" s="44"/>
      <c r="AI14" s="44"/>
      <c r="AJ14" s="44"/>
      <c r="AK14" s="45"/>
    </row>
    <row r="15" spans="2:39" x14ac:dyDescent="0.3">
      <c r="B15" s="21" t="s">
        <v>35</v>
      </c>
      <c r="C15" s="34"/>
      <c r="D15" s="34"/>
      <c r="E15" s="35"/>
      <c r="F15" s="34">
        <v>-58</v>
      </c>
      <c r="G15" s="264">
        <f>AC15-F15</f>
        <v>-9</v>
      </c>
      <c r="H15" s="34">
        <v>-25</v>
      </c>
      <c r="I15" s="264">
        <f>AD15-H15</f>
        <v>-86</v>
      </c>
      <c r="J15" s="34">
        <v>7</v>
      </c>
      <c r="K15" s="264">
        <f>AE15-J15</f>
        <v>6</v>
      </c>
      <c r="L15" s="34">
        <v>56</v>
      </c>
      <c r="M15" s="259">
        <f>K15*(1+M16)</f>
        <v>6.42</v>
      </c>
      <c r="N15" s="36">
        <f>L15*(1+N16)</f>
        <v>59.92</v>
      </c>
      <c r="O15" s="259">
        <f>M15*(1+O16)</f>
        <v>6.8694000000000006</v>
      </c>
      <c r="P15" s="36">
        <f>N15*(1+P16)</f>
        <v>64.114400000000003</v>
      </c>
      <c r="Q15" s="259">
        <f>O15*(1+Q16)</f>
        <v>7.3502580000000011</v>
      </c>
      <c r="R15" s="36">
        <f>P15*(1+R16)</f>
        <v>68.602408000000011</v>
      </c>
      <c r="S15" s="259">
        <f>Q15*(1+S16)</f>
        <v>7.8647760600000014</v>
      </c>
      <c r="T15" s="36">
        <f>R15*(1+T16)</f>
        <v>73.40457656000001</v>
      </c>
      <c r="U15" s="259">
        <f>S15*(1+U16)</f>
        <v>8.4153103842000014</v>
      </c>
      <c r="V15" s="36">
        <f>T15*(1+V16)</f>
        <v>78.542896919200018</v>
      </c>
      <c r="W15" s="259">
        <f>U15*(1+W16)</f>
        <v>9.0043821110940012</v>
      </c>
      <c r="AC15" s="35">
        <v>-67</v>
      </c>
      <c r="AD15" s="35">
        <v>-111</v>
      </c>
      <c r="AE15" s="35">
        <v>13</v>
      </c>
      <c r="AF15" s="37">
        <f>L15+M15</f>
        <v>62.42</v>
      </c>
      <c r="AG15" s="37">
        <f>N15+O15</f>
        <v>66.789400000000001</v>
      </c>
      <c r="AH15" s="37">
        <f>P15+Q15</f>
        <v>71.464658</v>
      </c>
      <c r="AI15" s="37">
        <f>R15+S15</f>
        <v>76.467184060000008</v>
      </c>
      <c r="AJ15" s="37">
        <f>T15+U15</f>
        <v>81.819886944200007</v>
      </c>
      <c r="AK15" s="37">
        <f>V15+W15</f>
        <v>87.547279030294021</v>
      </c>
    </row>
    <row r="16" spans="2:39" s="19" customFormat="1" x14ac:dyDescent="0.3">
      <c r="B16" s="24" t="s">
        <v>38</v>
      </c>
      <c r="C16" s="38" t="str">
        <f>IFERROR(C15/#REF!-1, "-")</f>
        <v>-</v>
      </c>
      <c r="D16" s="38" t="str">
        <f>IFERROR(D15/#REF!-1, "-")</f>
        <v>-</v>
      </c>
      <c r="E16" s="39" t="str">
        <f>IFERROR(E15/#REF!-1, "-")</f>
        <v>-</v>
      </c>
      <c r="F16" s="38">
        <f t="shared" ref="F16" si="7">F15/C21</f>
        <v>0.19931271477663232</v>
      </c>
      <c r="G16" s="262">
        <f t="shared" ref="G16" si="8">G15/D21</f>
        <v>3.5856573705179286E-2</v>
      </c>
      <c r="H16" s="38">
        <f>H15/F21</f>
        <v>6.9252077562326875E-2</v>
      </c>
      <c r="I16" s="262">
        <f>I15/G21</f>
        <v>0.31617647058823528</v>
      </c>
      <c r="J16" s="38">
        <f>J15/H21</f>
        <v>-1.7500000000000002E-2</v>
      </c>
      <c r="K16" s="262">
        <f>K15/I21</f>
        <v>-1.7595307917888565E-2</v>
      </c>
      <c r="L16" s="38">
        <f>L15/J21</f>
        <v>-0.15686274509803921</v>
      </c>
      <c r="M16" s="260">
        <v>7.0000000000000007E-2</v>
      </c>
      <c r="N16" s="40">
        <v>7.0000000000000007E-2</v>
      </c>
      <c r="O16" s="260">
        <v>7.0000000000000007E-2</v>
      </c>
      <c r="P16" s="40">
        <v>7.0000000000000007E-2</v>
      </c>
      <c r="Q16" s="260">
        <v>7.0000000000000007E-2</v>
      </c>
      <c r="R16" s="40">
        <v>7.0000000000000007E-2</v>
      </c>
      <c r="S16" s="260">
        <v>7.0000000000000007E-2</v>
      </c>
      <c r="T16" s="40">
        <v>7.0000000000000007E-2</v>
      </c>
      <c r="U16" s="260">
        <v>7.0000000000000007E-2</v>
      </c>
      <c r="V16" s="40">
        <v>7.0000000000000007E-2</v>
      </c>
      <c r="W16" s="260">
        <v>7.0000000000000007E-2</v>
      </c>
      <c r="Y16"/>
      <c r="AC16" s="39">
        <f>AC15/E21</f>
        <v>0.12361623616236163</v>
      </c>
      <c r="AD16" s="39">
        <f>AD15/AC21</f>
        <v>0.17535545023696683</v>
      </c>
      <c r="AE16" s="39">
        <f>AE15/AD21</f>
        <v>-1.7567567567567569E-2</v>
      </c>
      <c r="AF16" s="39">
        <f>AF15/AE15-1</f>
        <v>3.8015384615384615</v>
      </c>
      <c r="AG16" s="39">
        <f>AG15/AF15-1</f>
        <v>7.0000000000000062E-2</v>
      </c>
      <c r="AH16" s="39">
        <f>AH15/AG15-1</f>
        <v>7.0000000000000062E-2</v>
      </c>
      <c r="AI16" s="39">
        <f>AI15/AH15-1</f>
        <v>7.0000000000000062E-2</v>
      </c>
      <c r="AJ16" s="39">
        <f>AJ15/AI15-1</f>
        <v>7.0000000000000062E-2</v>
      </c>
      <c r="AK16" s="39">
        <f>AK15/AJ15-1</f>
        <v>7.0000000000000062E-2</v>
      </c>
      <c r="AM16"/>
    </row>
    <row r="17" spans="2:39" x14ac:dyDescent="0.3">
      <c r="B17" s="21" t="s">
        <v>36</v>
      </c>
      <c r="C17" s="34"/>
      <c r="D17" s="34"/>
      <c r="E17" s="35"/>
      <c r="F17" s="34">
        <v>-12</v>
      </c>
      <c r="G17" s="264">
        <f>AC17-F17</f>
        <v>-12</v>
      </c>
      <c r="H17" s="34">
        <v>-14</v>
      </c>
      <c r="I17" s="264">
        <f>AD17-H17</f>
        <v>21</v>
      </c>
      <c r="J17" s="34">
        <v>37</v>
      </c>
      <c r="K17" s="264">
        <f>AE17-J17</f>
        <v>14</v>
      </c>
      <c r="L17" s="34">
        <v>6</v>
      </c>
      <c r="M17" s="259">
        <f>K17*(1+M18)</f>
        <v>14.98</v>
      </c>
      <c r="N17" s="36">
        <f>L17*(1+N18)</f>
        <v>6.42</v>
      </c>
      <c r="O17" s="259">
        <f>M17*(1+O18)</f>
        <v>16.028600000000001</v>
      </c>
      <c r="P17" s="36">
        <f>N17*(1+P18)</f>
        <v>6.8694000000000006</v>
      </c>
      <c r="Q17" s="259">
        <f>O17*(1+Q18)</f>
        <v>17.150602000000003</v>
      </c>
      <c r="R17" s="36">
        <f>P17*(1+R18)</f>
        <v>7.3502580000000011</v>
      </c>
      <c r="S17" s="259">
        <f>Q17*(1+S18)</f>
        <v>18.351144140000002</v>
      </c>
      <c r="T17" s="36">
        <f>R17*(1+T18)</f>
        <v>7.8647760600000014</v>
      </c>
      <c r="U17" s="259">
        <f>S17*(1+U18)</f>
        <v>19.635724229800005</v>
      </c>
      <c r="V17" s="36">
        <f>T17*(1+V18)</f>
        <v>8.4153103842000014</v>
      </c>
      <c r="W17" s="259">
        <f>U17*(1+W18)</f>
        <v>21.010224925886007</v>
      </c>
      <c r="AC17" s="35">
        <v>-24</v>
      </c>
      <c r="AD17" s="35">
        <v>7</v>
      </c>
      <c r="AE17" s="35">
        <v>51</v>
      </c>
      <c r="AF17" s="37">
        <f>L17+M17</f>
        <v>20.98</v>
      </c>
      <c r="AG17" s="37">
        <f>N17+O17</f>
        <v>22.448599999999999</v>
      </c>
      <c r="AH17" s="37">
        <f>P17+Q17</f>
        <v>24.020002000000005</v>
      </c>
      <c r="AI17" s="37">
        <f>R17+S17</f>
        <v>25.701402140000003</v>
      </c>
      <c r="AJ17" s="37">
        <f>T17+U17</f>
        <v>27.500500289800005</v>
      </c>
      <c r="AK17" s="37">
        <f>V17+W17</f>
        <v>29.425535310086008</v>
      </c>
    </row>
    <row r="18" spans="2:39" s="19" customFormat="1" x14ac:dyDescent="0.3">
      <c r="B18" s="24" t="s">
        <v>39</v>
      </c>
      <c r="C18" s="38" t="str">
        <f>IFERROR(C17/#REF!-1, "-")</f>
        <v>-</v>
      </c>
      <c r="D18" s="38" t="str">
        <f>IFERROR(D17/#REF!-1, "-")</f>
        <v>-</v>
      </c>
      <c r="E18" s="39" t="str">
        <f>IFERROR(E17/#REF!-1, "-")</f>
        <v>-</v>
      </c>
      <c r="F18" s="38">
        <f t="shared" ref="F18" si="9">F17/C21</f>
        <v>4.1237113402061855E-2</v>
      </c>
      <c r="G18" s="262">
        <f t="shared" ref="G18" si="10">G17/D21</f>
        <v>4.7808764940239043E-2</v>
      </c>
      <c r="H18" s="38">
        <f>H17/F21</f>
        <v>3.8781163434903045E-2</v>
      </c>
      <c r="I18" s="262">
        <f>I17/G21</f>
        <v>-7.720588235294118E-2</v>
      </c>
      <c r="J18" s="38">
        <f>J17/H21</f>
        <v>-9.2499999999999999E-2</v>
      </c>
      <c r="K18" s="262">
        <f>K17/I21</f>
        <v>-4.1055718475073312E-2</v>
      </c>
      <c r="L18" s="38">
        <f>L17/J21</f>
        <v>-1.680672268907563E-2</v>
      </c>
      <c r="M18" s="260">
        <v>7.0000000000000007E-2</v>
      </c>
      <c r="N18" s="40">
        <v>7.0000000000000007E-2</v>
      </c>
      <c r="O18" s="260">
        <v>7.0000000000000007E-2</v>
      </c>
      <c r="P18" s="40">
        <v>7.0000000000000007E-2</v>
      </c>
      <c r="Q18" s="260">
        <v>7.0000000000000007E-2</v>
      </c>
      <c r="R18" s="40">
        <v>7.0000000000000007E-2</v>
      </c>
      <c r="S18" s="260">
        <v>7.0000000000000007E-2</v>
      </c>
      <c r="T18" s="40">
        <v>7.0000000000000007E-2</v>
      </c>
      <c r="U18" s="260">
        <v>7.0000000000000007E-2</v>
      </c>
      <c r="V18" s="40">
        <v>7.0000000000000007E-2</v>
      </c>
      <c r="W18" s="260">
        <v>7.0000000000000007E-2</v>
      </c>
      <c r="Y18"/>
      <c r="AC18" s="39">
        <f>AC17/E21</f>
        <v>4.4280442804428041E-2</v>
      </c>
      <c r="AD18" s="39">
        <f>AD17/AC21</f>
        <v>-1.1058451816745656E-2</v>
      </c>
      <c r="AE18" s="39">
        <f>AE17/AD21</f>
        <v>-6.8918918918918923E-2</v>
      </c>
      <c r="AF18" s="39">
        <f>AF17/AE17-1</f>
        <v>-0.58862745098039215</v>
      </c>
      <c r="AG18" s="39">
        <f>AG17/AF17-1</f>
        <v>6.999999999999984E-2</v>
      </c>
      <c r="AH18" s="39">
        <f>AH17/AG17-1</f>
        <v>7.0000000000000284E-2</v>
      </c>
      <c r="AI18" s="39">
        <f>AI17/AH17-1</f>
        <v>6.999999999999984E-2</v>
      </c>
      <c r="AJ18" s="39">
        <f>AJ17/AI17-1</f>
        <v>7.0000000000000062E-2</v>
      </c>
      <c r="AK18" s="39">
        <f>AK17/AJ17-1</f>
        <v>7.0000000000000062E-2</v>
      </c>
      <c r="AM18"/>
    </row>
    <row r="19" spans="2:39" x14ac:dyDescent="0.3">
      <c r="B19" s="21" t="s">
        <v>37</v>
      </c>
      <c r="C19" s="34"/>
      <c r="D19" s="34"/>
      <c r="E19" s="35"/>
      <c r="F19" s="34">
        <v>0</v>
      </c>
      <c r="G19" s="264">
        <f>AC19-F19</f>
        <v>0</v>
      </c>
      <c r="H19" s="34">
        <v>0</v>
      </c>
      <c r="I19" s="264">
        <f>AD19-H19</f>
        <v>-4</v>
      </c>
      <c r="J19" s="34">
        <v>-2</v>
      </c>
      <c r="K19" s="264">
        <f>AE19-J19</f>
        <v>-1</v>
      </c>
      <c r="L19" s="34">
        <v>-2</v>
      </c>
      <c r="M19" s="259">
        <f>K19*(1+M20)</f>
        <v>-1.07</v>
      </c>
      <c r="N19" s="36">
        <f>L19*(1+N20)</f>
        <v>-2.14</v>
      </c>
      <c r="O19" s="259">
        <f>M19*(1+O20)</f>
        <v>-1.1449</v>
      </c>
      <c r="P19" s="36">
        <f>N19*(1+P20)</f>
        <v>-2.2898000000000001</v>
      </c>
      <c r="Q19" s="259">
        <f>O19*(1+Q20)</f>
        <v>-1.2250430000000001</v>
      </c>
      <c r="R19" s="36">
        <f>P19*(1+R20)</f>
        <v>-2.4500860000000002</v>
      </c>
      <c r="S19" s="259">
        <f>Q19*(1+S20)</f>
        <v>-1.3107960100000002</v>
      </c>
      <c r="T19" s="36">
        <f>R19*(1+T20)</f>
        <v>-2.6215920200000005</v>
      </c>
      <c r="U19" s="259">
        <f>S19*(1+U20)</f>
        <v>-1.4025517307000004</v>
      </c>
      <c r="V19" s="36">
        <f>T19*(1+V20)</f>
        <v>-2.8051034614000008</v>
      </c>
      <c r="W19" s="259">
        <f>U19*(1+W20)</f>
        <v>-1.5007303518490005</v>
      </c>
      <c r="AC19" s="35">
        <v>0</v>
      </c>
      <c r="AD19" s="35">
        <v>-4</v>
      </c>
      <c r="AE19" s="35">
        <v>-3</v>
      </c>
      <c r="AF19" s="37">
        <f>L19+M19</f>
        <v>-3.0700000000000003</v>
      </c>
      <c r="AG19" s="37">
        <f>N19+O19</f>
        <v>-3.2849000000000004</v>
      </c>
      <c r="AH19" s="37">
        <f>P19+Q19</f>
        <v>-3.5148429999999999</v>
      </c>
      <c r="AI19" s="37">
        <f>R19+S19</f>
        <v>-3.7608820100000004</v>
      </c>
      <c r="AJ19" s="37">
        <f>T19+U19</f>
        <v>-4.0241437507000004</v>
      </c>
      <c r="AK19" s="37">
        <f>V19+W19</f>
        <v>-4.3058338132490013</v>
      </c>
    </row>
    <row r="20" spans="2:39" s="19" customFormat="1" x14ac:dyDescent="0.3">
      <c r="B20" s="24" t="s">
        <v>40</v>
      </c>
      <c r="C20" s="38" t="str">
        <f>IFERROR(C19/#REF!-1, "-")</f>
        <v>-</v>
      </c>
      <c r="D20" s="38" t="str">
        <f>IFERROR(D19/#REF!-1, "-")</f>
        <v>-</v>
      </c>
      <c r="E20" s="39" t="str">
        <f>IFERROR(E19/#REF!-1, "-")</f>
        <v>-</v>
      </c>
      <c r="F20" s="38">
        <f t="shared" ref="F20" si="11">F19/C21</f>
        <v>0</v>
      </c>
      <c r="G20" s="262">
        <f t="shared" ref="G20" si="12">G19/D21</f>
        <v>0</v>
      </c>
      <c r="H20" s="38">
        <f>H19/F21</f>
        <v>0</v>
      </c>
      <c r="I20" s="262">
        <f>I19/G21</f>
        <v>1.4705882352941176E-2</v>
      </c>
      <c r="J20" s="38">
        <f>J19/H21</f>
        <v>5.0000000000000001E-3</v>
      </c>
      <c r="K20" s="262">
        <f>K19/I21</f>
        <v>2.9325513196480938E-3</v>
      </c>
      <c r="L20" s="38">
        <f>L19/J21</f>
        <v>5.6022408963585435E-3</v>
      </c>
      <c r="M20" s="260">
        <v>7.0000000000000007E-2</v>
      </c>
      <c r="N20" s="40">
        <v>7.0000000000000007E-2</v>
      </c>
      <c r="O20" s="260">
        <v>7.0000000000000007E-2</v>
      </c>
      <c r="P20" s="40">
        <v>7.0000000000000007E-2</v>
      </c>
      <c r="Q20" s="260">
        <v>7.0000000000000007E-2</v>
      </c>
      <c r="R20" s="40">
        <v>7.0000000000000007E-2</v>
      </c>
      <c r="S20" s="260">
        <v>7.0000000000000007E-2</v>
      </c>
      <c r="T20" s="40">
        <v>7.0000000000000007E-2</v>
      </c>
      <c r="U20" s="260">
        <v>7.0000000000000007E-2</v>
      </c>
      <c r="V20" s="40">
        <v>7.0000000000000007E-2</v>
      </c>
      <c r="W20" s="260">
        <v>7.0000000000000007E-2</v>
      </c>
      <c r="Y20"/>
      <c r="AC20" s="39">
        <f>AC19/E21</f>
        <v>0</v>
      </c>
      <c r="AD20" s="39">
        <f>AD19/AC21</f>
        <v>6.3191153238546603E-3</v>
      </c>
      <c r="AE20" s="39">
        <f>AE19/AD21</f>
        <v>4.0540540540540543E-3</v>
      </c>
      <c r="AF20" s="39">
        <f>IFERROR(AF19/AE19-1, "-")</f>
        <v>2.3333333333333428E-2</v>
      </c>
      <c r="AG20" s="39">
        <f>IFERROR(AG19/AF19-1, "-")</f>
        <v>7.0000000000000062E-2</v>
      </c>
      <c r="AH20" s="39">
        <f>IFERROR(AH19/AG19-1, "-")</f>
        <v>6.999999999999984E-2</v>
      </c>
      <c r="AI20" s="39">
        <f>IFERROR(AI19/AH19-1, "-")</f>
        <v>7.0000000000000062E-2</v>
      </c>
      <c r="AJ20" s="39">
        <f>IFERROR(AJ19/AI19-1, "-")</f>
        <v>7.0000000000000062E-2</v>
      </c>
      <c r="AK20" s="39">
        <f>IFERROR(AK19/AJ19-1, "-")</f>
        <v>7.0000000000000284E-2</v>
      </c>
      <c r="AM20"/>
    </row>
    <row r="21" spans="2:39" x14ac:dyDescent="0.3">
      <c r="B21" s="23" t="s">
        <v>214</v>
      </c>
      <c r="C21" s="41">
        <v>-291</v>
      </c>
      <c r="D21" s="41">
        <f>E21-C21</f>
        <v>-251</v>
      </c>
      <c r="E21" s="42">
        <v>-542</v>
      </c>
      <c r="F21" s="41">
        <f>C21+F15+F17+F19</f>
        <v>-361</v>
      </c>
      <c r="G21" s="261">
        <f>D21+G15+G17+G19</f>
        <v>-272</v>
      </c>
      <c r="H21" s="41">
        <f>F21+H15+H17+H19</f>
        <v>-400</v>
      </c>
      <c r="I21" s="261">
        <f>G21+I15+I17+I19</f>
        <v>-341</v>
      </c>
      <c r="J21" s="41">
        <f>H21+J15+J17+J19+1</f>
        <v>-357</v>
      </c>
      <c r="K21" s="261">
        <f>I21+K15+K17+K19</f>
        <v>-322</v>
      </c>
      <c r="L21" s="41">
        <f>J21+L15+L17+L19+1</f>
        <v>-296</v>
      </c>
      <c r="M21" s="261">
        <f>K21+M15+M17+M19</f>
        <v>-301.66999999999996</v>
      </c>
      <c r="N21" s="41">
        <f>L21+N15+N17+N19</f>
        <v>-231.79999999999998</v>
      </c>
      <c r="O21" s="261">
        <f>M21+O15+O17+O19</f>
        <v>-279.9169</v>
      </c>
      <c r="P21" s="41">
        <f>N21+P15+P17+P19</f>
        <v>-163.10599999999997</v>
      </c>
      <c r="Q21" s="261">
        <f>O21+Q15+Q17+Q19</f>
        <v>-256.64108300000004</v>
      </c>
      <c r="R21" s="41">
        <f>P21+R15+R17+R19</f>
        <v>-89.603419999999957</v>
      </c>
      <c r="S21" s="261">
        <f>Q21+S15+S17+S19</f>
        <v>-231.73595881000003</v>
      </c>
      <c r="T21" s="41">
        <f>R21+T15+T17+T19</f>
        <v>-10.955659399999949</v>
      </c>
      <c r="U21" s="261">
        <f>S21+U15+U17+U19</f>
        <v>-205.08747592669999</v>
      </c>
      <c r="V21" s="41">
        <f>T21+V15+V17+V19</f>
        <v>73.197444442000076</v>
      </c>
      <c r="W21" s="261">
        <f>U21+W15+W17+W19</f>
        <v>-176.57359924156899</v>
      </c>
      <c r="AC21" s="42">
        <f>E21+AC15+AC17+AC19</f>
        <v>-633</v>
      </c>
      <c r="AD21" s="42">
        <f>AC21+AD15+AD17+AD19+1</f>
        <v>-740</v>
      </c>
      <c r="AE21" s="42">
        <f>AD21+AE15+AE17+AE19+1</f>
        <v>-678</v>
      </c>
      <c r="AF21" s="42">
        <f>AE21+AF15+AF17+AF19</f>
        <v>-597.67000000000007</v>
      </c>
      <c r="AG21" s="42">
        <f>AF21+AG15+AG17+AG19</f>
        <v>-511.71690000000007</v>
      </c>
      <c r="AH21" s="42">
        <f>AG21+AH15+AH17+AH19</f>
        <v>-419.74708300000003</v>
      </c>
      <c r="AI21" s="42">
        <f>AH21+AI15+AI17+AI19</f>
        <v>-321.33937880999997</v>
      </c>
      <c r="AJ21" s="42">
        <f>AI21+AJ15+AJ17+AJ19</f>
        <v>-216.04313532669997</v>
      </c>
      <c r="AK21" s="42">
        <f>AJ21+AK15+AK17+AK19</f>
        <v>-103.37615479956894</v>
      </c>
    </row>
    <row r="22" spans="2:39" s="19" customFormat="1" x14ac:dyDescent="0.3">
      <c r="B22" s="24" t="s">
        <v>42</v>
      </c>
      <c r="C22" s="38" t="str">
        <f>IFERROR(C21/#REF!-1, "-")</f>
        <v>-</v>
      </c>
      <c r="D22" s="38" t="str">
        <f>IFERROR(D21/#REF!-1, "-")</f>
        <v>-</v>
      </c>
      <c r="E22" s="39" t="str">
        <f>IFERROR(E21/#REF!-1, "-")</f>
        <v>-</v>
      </c>
      <c r="F22" s="38">
        <f t="shared" ref="F22:G22" si="13">IFERROR(F21/C21-1, "-")</f>
        <v>0.24054982817869419</v>
      </c>
      <c r="G22" s="262">
        <f t="shared" si="13"/>
        <v>8.3665338645418252E-2</v>
      </c>
      <c r="H22" s="38">
        <f>IFERROR(H21/F21-1, "-")</f>
        <v>0.10803324099723</v>
      </c>
      <c r="I22" s="262">
        <f>IFERROR(I21/G21-1, "-")</f>
        <v>0.25367647058823528</v>
      </c>
      <c r="J22" s="38">
        <f>IFERROR(J21/H21-1, "-")</f>
        <v>-0.10750000000000004</v>
      </c>
      <c r="K22" s="262">
        <f>IFERROR(K21/I21-1, "-")</f>
        <v>-5.5718475073313734E-2</v>
      </c>
      <c r="L22" s="38">
        <f>IFERROR(L21/J21-1, "-")</f>
        <v>-0.17086834733893552</v>
      </c>
      <c r="M22" s="262">
        <f>IFERROR(M21/K21-1, "-")</f>
        <v>-6.3136645962733051E-2</v>
      </c>
      <c r="N22" s="38">
        <f>IFERROR(N21/L21-1, "-")</f>
        <v>-0.21689189189189195</v>
      </c>
      <c r="O22" s="262">
        <f>IFERROR(O21/M21-1, "-")</f>
        <v>-7.2108926973182497E-2</v>
      </c>
      <c r="P22" s="38">
        <f>IFERROR(P21/N21-1, "-")</f>
        <v>-0.29635030198446943</v>
      </c>
      <c r="Q22" s="262">
        <f>IFERROR(Q21/O21-1, "-")</f>
        <v>-8.3152596359848063E-2</v>
      </c>
      <c r="R22" s="38">
        <f>IFERROR(R21/P21-1, "-")</f>
        <v>-0.45064301742425183</v>
      </c>
      <c r="S22" s="262">
        <f>IFERROR(S21/Q21-1, "-")</f>
        <v>-9.70426242707213E-2</v>
      </c>
      <c r="T22" s="38">
        <f>IFERROR(T21/R21-1, "-")</f>
        <v>-0.87773168256300982</v>
      </c>
      <c r="U22" s="262">
        <f>IFERROR(U21/S21-1, "-")</f>
        <v>-0.11499502718587185</v>
      </c>
      <c r="V22" s="38">
        <f>IFERROR(V21/T21-1, "-")</f>
        <v>-7.6812449866778829</v>
      </c>
      <c r="W22" s="262">
        <f>IFERROR(W21/U21-1, "-")</f>
        <v>-0.13903275446874241</v>
      </c>
      <c r="Y22"/>
      <c r="AC22" s="39">
        <f>IFERROR(AC21/E21-1, "-")</f>
        <v>0.16789667896678973</v>
      </c>
      <c r="AD22" s="39">
        <f>IFERROR(AD21/AC21-1, "-")</f>
        <v>0.1690363349131121</v>
      </c>
      <c r="AE22" s="39">
        <f>IFERROR(AE21/AD21-1, "-")</f>
        <v>-8.3783783783783816E-2</v>
      </c>
      <c r="AF22" s="39">
        <f>IFERROR(AF21/AE21-1, "-")</f>
        <v>-0.11848082595870191</v>
      </c>
      <c r="AG22" s="39">
        <f>IFERROR(AG21/AF21-1, "-")</f>
        <v>-0.14381364298023991</v>
      </c>
      <c r="AH22" s="39">
        <f>IFERROR(AH21/AG21-1, "-")</f>
        <v>-0.17972792573393614</v>
      </c>
      <c r="AI22" s="39">
        <f>IFERROR(AI21/AH21-1, "-")</f>
        <v>-0.23444523660930372</v>
      </c>
      <c r="AJ22" s="39">
        <f>IFERROR(AJ21/AI21-1, "-")</f>
        <v>-0.32767924016420991</v>
      </c>
      <c r="AK22" s="39">
        <f>IFERROR(AK21/AJ21-1, "-")</f>
        <v>-0.52150224702467995</v>
      </c>
      <c r="AM22"/>
    </row>
    <row r="23" spans="2:39" s="19" customFormat="1" x14ac:dyDescent="0.3">
      <c r="B23" s="24"/>
      <c r="C23" s="38"/>
      <c r="D23" s="38"/>
      <c r="E23" s="39"/>
      <c r="F23" s="38"/>
      <c r="G23" s="262"/>
      <c r="H23" s="38"/>
      <c r="I23" s="262"/>
      <c r="J23" s="38"/>
      <c r="K23" s="262"/>
      <c r="L23" s="38"/>
      <c r="M23" s="262"/>
      <c r="N23" s="38"/>
      <c r="O23" s="262"/>
      <c r="P23" s="38"/>
      <c r="Q23" s="262"/>
      <c r="R23" s="38"/>
      <c r="S23" s="262"/>
      <c r="T23" s="38"/>
      <c r="U23" s="262"/>
      <c r="V23" s="38"/>
      <c r="W23" s="262"/>
      <c r="AC23" s="39"/>
      <c r="AD23" s="39"/>
      <c r="AE23" s="39"/>
      <c r="AF23" s="39"/>
      <c r="AG23" s="39"/>
      <c r="AH23" s="39"/>
      <c r="AI23" s="39"/>
      <c r="AJ23" s="39"/>
      <c r="AK23" s="39"/>
    </row>
    <row r="24" spans="2:39" x14ac:dyDescent="0.3">
      <c r="B24" s="23" t="s">
        <v>212</v>
      </c>
      <c r="C24" s="43"/>
      <c r="D24" s="43"/>
      <c r="E24" s="44"/>
      <c r="F24" s="43"/>
      <c r="G24" s="263"/>
      <c r="H24" s="43"/>
      <c r="I24" s="263"/>
      <c r="J24" s="43"/>
      <c r="K24" s="263"/>
      <c r="L24" s="43"/>
      <c r="M24" s="263"/>
      <c r="N24" s="43"/>
      <c r="O24" s="263"/>
      <c r="P24" s="43"/>
      <c r="Q24" s="263"/>
      <c r="R24" s="43"/>
      <c r="S24" s="263"/>
      <c r="T24" s="43"/>
      <c r="U24" s="263"/>
      <c r="V24" s="43"/>
      <c r="W24" s="263"/>
      <c r="AC24" s="44"/>
      <c r="AD24" s="44"/>
      <c r="AE24" s="44"/>
      <c r="AF24" s="44"/>
      <c r="AG24" s="44"/>
      <c r="AH24" s="44"/>
      <c r="AI24" s="44"/>
      <c r="AJ24" s="44"/>
      <c r="AK24" s="44"/>
    </row>
    <row r="25" spans="2:39" x14ac:dyDescent="0.3">
      <c r="B25" s="21" t="s">
        <v>35</v>
      </c>
      <c r="C25" s="34"/>
      <c r="D25" s="34"/>
      <c r="E25" s="35"/>
      <c r="F25" s="34">
        <v>-46</v>
      </c>
      <c r="G25" s="264">
        <f>AC25-F25</f>
        <v>-61</v>
      </c>
      <c r="H25" s="34">
        <v>-27</v>
      </c>
      <c r="I25" s="264">
        <f>AD25-H25</f>
        <v>14</v>
      </c>
      <c r="J25" s="34">
        <v>-1</v>
      </c>
      <c r="K25" s="264">
        <f>AE25-J25</f>
        <v>-10</v>
      </c>
      <c r="L25" s="34">
        <v>10</v>
      </c>
      <c r="M25" s="259">
        <f>K25*(1+M26)</f>
        <v>-10.700000000000001</v>
      </c>
      <c r="N25" s="36">
        <f>L25*(1+N26)</f>
        <v>10.700000000000001</v>
      </c>
      <c r="O25" s="259">
        <f>M25*(1+O26)</f>
        <v>-11.449000000000002</v>
      </c>
      <c r="P25" s="36">
        <f>N25*(1+P26)</f>
        <v>11.449000000000002</v>
      </c>
      <c r="Q25" s="259">
        <f>O25*(1+Q26)</f>
        <v>-12.250430000000003</v>
      </c>
      <c r="R25" s="36">
        <f>P25*(1+R26)</f>
        <v>12.250430000000003</v>
      </c>
      <c r="S25" s="259">
        <f>Q25*(1+S26)</f>
        <v>-13.107960100000005</v>
      </c>
      <c r="T25" s="36">
        <f>R25*(1+T26)</f>
        <v>13.107960100000005</v>
      </c>
      <c r="U25" s="259">
        <f>S25*(1+U26)</f>
        <v>-14.025517307000007</v>
      </c>
      <c r="V25" s="36">
        <f>T25*(1+V26)</f>
        <v>14.025517307000007</v>
      </c>
      <c r="W25" s="259">
        <f>U25*(1+W26)</f>
        <v>-15.007303518490009</v>
      </c>
      <c r="AC25" s="35">
        <v>-107</v>
      </c>
      <c r="AD25" s="35">
        <v>-13</v>
      </c>
      <c r="AE25" s="35">
        <v>-11</v>
      </c>
      <c r="AF25" s="37">
        <f>L25+M25</f>
        <v>-0.70000000000000107</v>
      </c>
      <c r="AG25" s="37">
        <f>N25+O25</f>
        <v>-0.74900000000000055</v>
      </c>
      <c r="AH25" s="37">
        <f>P25+Q25</f>
        <v>-0.80143000000000164</v>
      </c>
      <c r="AI25" s="37">
        <f>R25+S25</f>
        <v>-0.85753010000000174</v>
      </c>
      <c r="AJ25" s="37">
        <f>T25+U25</f>
        <v>-0.91755720700000154</v>
      </c>
      <c r="AK25" s="37">
        <f>V25+W25</f>
        <v>-0.981786211490002</v>
      </c>
    </row>
    <row r="26" spans="2:39" s="19" customFormat="1" x14ac:dyDescent="0.3">
      <c r="B26" s="24" t="s">
        <v>38</v>
      </c>
      <c r="C26" s="38" t="str">
        <f>IFERROR(C25/#REF!-1, "-")</f>
        <v>-</v>
      </c>
      <c r="D26" s="38" t="str">
        <f>IFERROR(D25/#REF!-1, "-")</f>
        <v>-</v>
      </c>
      <c r="E26" s="39" t="str">
        <f>IFERROR(E25/#REF!-1, "-")</f>
        <v>-</v>
      </c>
      <c r="F26" s="38">
        <f t="shared" ref="F26" si="14">F25/C31</f>
        <v>0.28048780487804881</v>
      </c>
      <c r="G26" s="262">
        <f t="shared" ref="G26" si="15">G25/D31</f>
        <v>0.28110599078341014</v>
      </c>
      <c r="H26" s="38">
        <f>H25/F31</f>
        <v>0.12616822429906541</v>
      </c>
      <c r="I26" s="262">
        <f>I25/G31</f>
        <v>-4.9295774647887321E-2</v>
      </c>
      <c r="J26" s="38">
        <f>J25/H31</f>
        <v>4.0816326530612249E-3</v>
      </c>
      <c r="K26" s="262">
        <f>K25/I31</f>
        <v>3.6900369003690037E-2</v>
      </c>
      <c r="L26" s="38">
        <f>L25/J31</f>
        <v>-4.0322580645161289E-2</v>
      </c>
      <c r="M26" s="260">
        <v>7.0000000000000007E-2</v>
      </c>
      <c r="N26" s="40">
        <v>7.0000000000000007E-2</v>
      </c>
      <c r="O26" s="260">
        <v>7.0000000000000007E-2</v>
      </c>
      <c r="P26" s="40">
        <v>7.0000000000000007E-2</v>
      </c>
      <c r="Q26" s="260">
        <v>7.0000000000000007E-2</v>
      </c>
      <c r="R26" s="40">
        <v>7.0000000000000007E-2</v>
      </c>
      <c r="S26" s="260">
        <v>7.0000000000000007E-2</v>
      </c>
      <c r="T26" s="40">
        <v>7.0000000000000007E-2</v>
      </c>
      <c r="U26" s="260">
        <v>7.0000000000000007E-2</v>
      </c>
      <c r="V26" s="40">
        <v>7.0000000000000007E-2</v>
      </c>
      <c r="W26" s="260">
        <v>7.0000000000000007E-2</v>
      </c>
      <c r="Y26"/>
      <c r="AC26" s="39">
        <f>AC25/E31</f>
        <v>0.28083989501312334</v>
      </c>
      <c r="AD26" s="39">
        <f>AD25/AC31</f>
        <v>2.620967741935484E-2</v>
      </c>
      <c r="AE26" s="39">
        <f>AE25/AD31</f>
        <v>2.1442495126705652E-2</v>
      </c>
      <c r="AF26" s="39">
        <f>AF25/AE25-1</f>
        <v>-0.93636363636363629</v>
      </c>
      <c r="AG26" s="39">
        <f>AG25/AF25-1</f>
        <v>6.9999999999999174E-2</v>
      </c>
      <c r="AH26" s="39">
        <f>AH25/AG25-1</f>
        <v>7.0000000000001394E-2</v>
      </c>
      <c r="AI26" s="39">
        <f>AI25/AH25-1</f>
        <v>7.0000000000000062E-2</v>
      </c>
      <c r="AJ26" s="39">
        <f>AJ25/AI25-1</f>
        <v>6.9999999999999618E-2</v>
      </c>
      <c r="AK26" s="39">
        <f>AK25/AJ25-1</f>
        <v>7.0000000000000284E-2</v>
      </c>
      <c r="AM26"/>
    </row>
    <row r="27" spans="2:39" x14ac:dyDescent="0.3">
      <c r="B27" s="21" t="s">
        <v>36</v>
      </c>
      <c r="C27" s="34"/>
      <c r="D27" s="34"/>
      <c r="E27" s="35"/>
      <c r="F27" s="34">
        <v>-2</v>
      </c>
      <c r="G27" s="264">
        <f>AC27-F27</f>
        <v>-4</v>
      </c>
      <c r="H27" s="34">
        <v>-2</v>
      </c>
      <c r="I27" s="264">
        <f>AD27-H27</f>
        <v>2</v>
      </c>
      <c r="J27" s="34">
        <v>1</v>
      </c>
      <c r="K27" s="264">
        <f>AE27-J27</f>
        <v>-1</v>
      </c>
      <c r="L27" s="34">
        <v>-1</v>
      </c>
      <c r="M27" s="259">
        <f>K27*(1+M28)</f>
        <v>-1.07</v>
      </c>
      <c r="N27" s="36">
        <f>L27*(1+N28)</f>
        <v>-1.07</v>
      </c>
      <c r="O27" s="259">
        <f>M27*(1+O28)</f>
        <v>-1.1449</v>
      </c>
      <c r="P27" s="36">
        <f>N27*(1+P28)</f>
        <v>-1.1449</v>
      </c>
      <c r="Q27" s="259">
        <f>O27*(1+Q28)</f>
        <v>-1.2250430000000001</v>
      </c>
      <c r="R27" s="36">
        <f>P27*(1+R28)</f>
        <v>-1.2250430000000001</v>
      </c>
      <c r="S27" s="259">
        <f>Q27*(1+S28)</f>
        <v>-1.3107960100000002</v>
      </c>
      <c r="T27" s="36">
        <f>R27*(1+T28)</f>
        <v>-1.3107960100000002</v>
      </c>
      <c r="U27" s="259">
        <f>S27*(1+U28)</f>
        <v>-1.4025517307000004</v>
      </c>
      <c r="V27" s="36">
        <f>T27*(1+V28)</f>
        <v>-1.4025517307000004</v>
      </c>
      <c r="W27" s="259">
        <f>U27*(1+W28)</f>
        <v>-1.5007303518490005</v>
      </c>
      <c r="AC27" s="35">
        <v>-6</v>
      </c>
      <c r="AD27" s="35">
        <v>0</v>
      </c>
      <c r="AE27" s="35">
        <v>0</v>
      </c>
      <c r="AF27" s="37">
        <f>L27+M27</f>
        <v>-2.0700000000000003</v>
      </c>
      <c r="AG27" s="37">
        <f>N27+O27</f>
        <v>-2.2149000000000001</v>
      </c>
      <c r="AH27" s="37">
        <f>P27+Q27</f>
        <v>-2.3699430000000001</v>
      </c>
      <c r="AI27" s="37">
        <f>R27+S27</f>
        <v>-2.5358390100000001</v>
      </c>
      <c r="AJ27" s="37">
        <f>T27+U27</f>
        <v>-2.7133477407000006</v>
      </c>
      <c r="AK27" s="37">
        <f>V27+W27</f>
        <v>-2.9032820825490009</v>
      </c>
    </row>
    <row r="28" spans="2:39" s="19" customFormat="1" x14ac:dyDescent="0.3">
      <c r="B28" s="24" t="s">
        <v>39</v>
      </c>
      <c r="C28" s="38" t="str">
        <f>IFERROR(C27/#REF!-1, "-")</f>
        <v>-</v>
      </c>
      <c r="D28" s="38" t="str">
        <f>IFERROR(D27/#REF!-1, "-")</f>
        <v>-</v>
      </c>
      <c r="E28" s="39" t="str">
        <f>IFERROR(E27/#REF!-1, "-")</f>
        <v>-</v>
      </c>
      <c r="F28" s="38">
        <f t="shared" ref="F28" si="16">F27/C31</f>
        <v>1.2195121951219513E-2</v>
      </c>
      <c r="G28" s="262">
        <f t="shared" ref="G28" si="17">G27/D31</f>
        <v>1.8433179723502304E-2</v>
      </c>
      <c r="H28" s="38">
        <f>H27/F31</f>
        <v>9.3457943925233638E-3</v>
      </c>
      <c r="I28" s="262">
        <f>I27/G31</f>
        <v>-7.0422535211267607E-3</v>
      </c>
      <c r="J28" s="38">
        <f>J27/H31</f>
        <v>-4.0816326530612249E-3</v>
      </c>
      <c r="K28" s="262">
        <f>K27/I31</f>
        <v>3.6900369003690036E-3</v>
      </c>
      <c r="L28" s="38">
        <f>L27/J31</f>
        <v>4.0322580645161289E-3</v>
      </c>
      <c r="M28" s="260">
        <v>7.0000000000000007E-2</v>
      </c>
      <c r="N28" s="40">
        <v>7.0000000000000007E-2</v>
      </c>
      <c r="O28" s="260">
        <v>7.0000000000000007E-2</v>
      </c>
      <c r="P28" s="40">
        <v>7.0000000000000007E-2</v>
      </c>
      <c r="Q28" s="260">
        <v>7.0000000000000007E-2</v>
      </c>
      <c r="R28" s="40">
        <v>7.0000000000000007E-2</v>
      </c>
      <c r="S28" s="260">
        <v>7.0000000000000007E-2</v>
      </c>
      <c r="T28" s="40">
        <v>7.0000000000000007E-2</v>
      </c>
      <c r="U28" s="260">
        <v>7.0000000000000007E-2</v>
      </c>
      <c r="V28" s="40">
        <v>7.0000000000000007E-2</v>
      </c>
      <c r="W28" s="260">
        <v>7.0000000000000007E-2</v>
      </c>
      <c r="Y28"/>
      <c r="AC28" s="39">
        <f>AC27/E31</f>
        <v>1.5748031496062992E-2</v>
      </c>
      <c r="AD28" s="39">
        <f>AD27/AC31</f>
        <v>0</v>
      </c>
      <c r="AE28" s="39">
        <f>AE27/AD31</f>
        <v>0</v>
      </c>
      <c r="AF28" s="39" t="e">
        <f>AF27/AE27-1</f>
        <v>#DIV/0!</v>
      </c>
      <c r="AG28" s="39">
        <f>AG27/AF27-1</f>
        <v>6.999999999999984E-2</v>
      </c>
      <c r="AH28" s="39">
        <f>AH27/AG27-1</f>
        <v>7.0000000000000062E-2</v>
      </c>
      <c r="AI28" s="39">
        <f>AI27/AH27-1</f>
        <v>7.0000000000000062E-2</v>
      </c>
      <c r="AJ28" s="39">
        <f>AJ27/AI27-1</f>
        <v>7.0000000000000284E-2</v>
      </c>
      <c r="AK28" s="39">
        <f>AK27/AJ27-1</f>
        <v>7.0000000000000062E-2</v>
      </c>
      <c r="AM28"/>
    </row>
    <row r="29" spans="2:39" x14ac:dyDescent="0.3">
      <c r="B29" s="21" t="s">
        <v>37</v>
      </c>
      <c r="C29" s="34"/>
      <c r="D29" s="34"/>
      <c r="E29" s="35"/>
      <c r="F29" s="34">
        <v>-1</v>
      </c>
      <c r="G29" s="264">
        <f>AC29-F29</f>
        <v>-2</v>
      </c>
      <c r="H29" s="34">
        <v>-1</v>
      </c>
      <c r="I29" s="264">
        <f>AD29-H29</f>
        <v>-3</v>
      </c>
      <c r="J29" s="34">
        <v>-3</v>
      </c>
      <c r="K29" s="264">
        <f>AE29-J29</f>
        <v>3</v>
      </c>
      <c r="L29" s="34">
        <v>1</v>
      </c>
      <c r="M29" s="259">
        <f>K29*(1+M30)</f>
        <v>3.21</v>
      </c>
      <c r="N29" s="36">
        <f>L29*(1+N30)</f>
        <v>1.07</v>
      </c>
      <c r="O29" s="259">
        <f>M29*(1+O30)</f>
        <v>3.4347000000000003</v>
      </c>
      <c r="P29" s="36">
        <f>N29*(1+P30)</f>
        <v>1.1449</v>
      </c>
      <c r="Q29" s="259">
        <f>O29*(1+Q30)</f>
        <v>3.6751290000000005</v>
      </c>
      <c r="R29" s="36">
        <f>P29*(1+R30)</f>
        <v>1.2250430000000001</v>
      </c>
      <c r="S29" s="259">
        <f>Q29*(1+S30)</f>
        <v>3.9323880300000007</v>
      </c>
      <c r="T29" s="36">
        <f>R29*(1+T30)</f>
        <v>1.3107960100000002</v>
      </c>
      <c r="U29" s="259">
        <f>S29*(1+U30)</f>
        <v>4.2076551921000007</v>
      </c>
      <c r="V29" s="36">
        <f>T29*(1+V30)</f>
        <v>1.4025517307000004</v>
      </c>
      <c r="W29" s="259">
        <f>U29*(1+W30)</f>
        <v>4.5021910555470006</v>
      </c>
      <c r="AC29" s="35">
        <v>-3</v>
      </c>
      <c r="AD29" s="35">
        <v>-4</v>
      </c>
      <c r="AE29" s="35">
        <v>0</v>
      </c>
      <c r="AF29" s="37">
        <f>L29+M29</f>
        <v>4.21</v>
      </c>
      <c r="AG29" s="37">
        <f>N29+O29</f>
        <v>4.5047000000000006</v>
      </c>
      <c r="AH29" s="37">
        <f>P29+Q29</f>
        <v>4.8200290000000008</v>
      </c>
      <c r="AI29" s="37">
        <f>R29+S29</f>
        <v>5.1574310300000006</v>
      </c>
      <c r="AJ29" s="37">
        <f>T29+U29</f>
        <v>5.5184512021000014</v>
      </c>
      <c r="AK29" s="37">
        <f>V29+W29</f>
        <v>5.9047427862470006</v>
      </c>
    </row>
    <row r="30" spans="2:39" s="19" customFormat="1" x14ac:dyDescent="0.3">
      <c r="B30" s="24" t="s">
        <v>40</v>
      </c>
      <c r="C30" s="38" t="str">
        <f>IFERROR(C29/#REF!-1, "-")</f>
        <v>-</v>
      </c>
      <c r="D30" s="38" t="str">
        <f>IFERROR(D29/#REF!-1, "-")</f>
        <v>-</v>
      </c>
      <c r="E30" s="39" t="str">
        <f>IFERROR(E29/#REF!-1, "-")</f>
        <v>-</v>
      </c>
      <c r="F30" s="38">
        <f t="shared" ref="F30" si="18">F29/C31</f>
        <v>6.0975609756097563E-3</v>
      </c>
      <c r="G30" s="262">
        <f t="shared" ref="G30" si="19">G29/D31</f>
        <v>9.2165898617511521E-3</v>
      </c>
      <c r="H30" s="38">
        <f>H29/F31</f>
        <v>4.6728971962616819E-3</v>
      </c>
      <c r="I30" s="262">
        <f>I29/G31</f>
        <v>1.0563380281690141E-2</v>
      </c>
      <c r="J30" s="38">
        <f>J29/H31</f>
        <v>1.2244897959183673E-2</v>
      </c>
      <c r="K30" s="262">
        <f>K29/I31</f>
        <v>-1.107011070110701E-2</v>
      </c>
      <c r="L30" s="38">
        <f>L29/J31</f>
        <v>-4.0322580645161289E-3</v>
      </c>
      <c r="M30" s="260">
        <v>7.0000000000000007E-2</v>
      </c>
      <c r="N30" s="40">
        <v>7.0000000000000007E-2</v>
      </c>
      <c r="O30" s="260">
        <v>7.0000000000000007E-2</v>
      </c>
      <c r="P30" s="40">
        <v>7.0000000000000007E-2</v>
      </c>
      <c r="Q30" s="260">
        <v>7.0000000000000007E-2</v>
      </c>
      <c r="R30" s="40">
        <v>7.0000000000000007E-2</v>
      </c>
      <c r="S30" s="260">
        <v>7.0000000000000007E-2</v>
      </c>
      <c r="T30" s="40">
        <v>7.0000000000000007E-2</v>
      </c>
      <c r="U30" s="260">
        <v>7.0000000000000007E-2</v>
      </c>
      <c r="V30" s="40">
        <v>7.0000000000000007E-2</v>
      </c>
      <c r="W30" s="260">
        <v>7.0000000000000007E-2</v>
      </c>
      <c r="Y30"/>
      <c r="AC30" s="39">
        <f>AC29/E31</f>
        <v>7.874015748031496E-3</v>
      </c>
      <c r="AD30" s="39">
        <f>AD29/AC31</f>
        <v>8.0645161290322578E-3</v>
      </c>
      <c r="AE30" s="39">
        <f>AE29/AD31</f>
        <v>0</v>
      </c>
      <c r="AF30" s="39" t="str">
        <f>IFERROR(AF29/AE29-1, "-")</f>
        <v>-</v>
      </c>
      <c r="AG30" s="39">
        <f>IFERROR(AG29/AF29-1, "-")</f>
        <v>7.0000000000000062E-2</v>
      </c>
      <c r="AH30" s="39">
        <f>IFERROR(AH29/AG29-1, "-")</f>
        <v>7.0000000000000062E-2</v>
      </c>
      <c r="AI30" s="39">
        <f>IFERROR(AI29/AH29-1, "-")</f>
        <v>6.999999999999984E-2</v>
      </c>
      <c r="AJ30" s="39">
        <f>IFERROR(AJ29/AI29-1, "-")</f>
        <v>7.0000000000000062E-2</v>
      </c>
      <c r="AK30" s="39">
        <f>IFERROR(AK29/AJ29-1, "-")</f>
        <v>6.999999999999984E-2</v>
      </c>
      <c r="AM30"/>
    </row>
    <row r="31" spans="2:39" x14ac:dyDescent="0.3">
      <c r="B31" s="23" t="s">
        <v>215</v>
      </c>
      <c r="C31" s="41">
        <v>-164</v>
      </c>
      <c r="D31" s="41">
        <f>E31-C31</f>
        <v>-217</v>
      </c>
      <c r="E31" s="42">
        <v>-381</v>
      </c>
      <c r="F31" s="41">
        <f>C31+F25+F27+F29-1</f>
        <v>-214</v>
      </c>
      <c r="G31" s="261">
        <f>D31+G25+G27+G29</f>
        <v>-284</v>
      </c>
      <c r="H31" s="41">
        <f>F31+H25+H27+H29-1</f>
        <v>-245</v>
      </c>
      <c r="I31" s="261">
        <f>G31+I25+I27+I29</f>
        <v>-271</v>
      </c>
      <c r="J31" s="41">
        <f>H31+J25+J27+J29</f>
        <v>-248</v>
      </c>
      <c r="K31" s="261">
        <f>I31+K25+K27+K29</f>
        <v>-279</v>
      </c>
      <c r="L31" s="41">
        <f>J31+L25+L27+L29</f>
        <v>-238</v>
      </c>
      <c r="M31" s="261">
        <f>K31+M25+M27+M29</f>
        <v>-287.56</v>
      </c>
      <c r="N31" s="41">
        <f>L31+N25+N27+N29</f>
        <v>-227.3</v>
      </c>
      <c r="O31" s="261">
        <f>M31+O25+O27+O29</f>
        <v>-296.7192</v>
      </c>
      <c r="P31" s="41">
        <f>N31+P25+P27+P29</f>
        <v>-215.851</v>
      </c>
      <c r="Q31" s="261">
        <f>O31+Q25+Q27+Q29</f>
        <v>-306.519544</v>
      </c>
      <c r="R31" s="41">
        <f>P31+R25+R27+R29</f>
        <v>-203.60057</v>
      </c>
      <c r="S31" s="261">
        <f>Q31+S25+S27+S29</f>
        <v>-317.00591207999997</v>
      </c>
      <c r="T31" s="41">
        <f>R31+T25+T27+T29</f>
        <v>-190.49260989999999</v>
      </c>
      <c r="U31" s="261">
        <f>S31+U25+U27+U29</f>
        <v>-328.22632592560001</v>
      </c>
      <c r="V31" s="41">
        <f>T31+V25+V27+V29</f>
        <v>-176.46709259299999</v>
      </c>
      <c r="W31" s="261">
        <f>U31+W25+W27+W29</f>
        <v>-340.23216874039201</v>
      </c>
      <c r="AC31" s="42">
        <f>E31+AC25+AC27+AC29+1</f>
        <v>-496</v>
      </c>
      <c r="AD31" s="42">
        <f>AC31+AD25+AD27+AD29</f>
        <v>-513</v>
      </c>
      <c r="AE31" s="42">
        <f>AD31+AE25+AE27+AE29-3</f>
        <v>-527</v>
      </c>
      <c r="AF31" s="42">
        <f>AE31+AF25+AF27+AF29</f>
        <v>-525.56000000000006</v>
      </c>
      <c r="AG31" s="42">
        <f>AF31+AG25+AG27+AG29</f>
        <v>-524.01920000000018</v>
      </c>
      <c r="AH31" s="42">
        <f>AG31+AH25+AH27+AH29</f>
        <v>-522.37054400000022</v>
      </c>
      <c r="AI31" s="42">
        <f>AH31+AI25+AI27+AI29</f>
        <v>-520.60648208000021</v>
      </c>
      <c r="AJ31" s="42">
        <f>AI31+AJ25+AJ27+AJ29</f>
        <v>-518.71893582560017</v>
      </c>
      <c r="AK31" s="42">
        <f>AJ31+AK25+AK27+AK29</f>
        <v>-516.6992613333922</v>
      </c>
    </row>
    <row r="32" spans="2:39" s="19" customFormat="1" x14ac:dyDescent="0.3">
      <c r="B32" s="24" t="s">
        <v>42</v>
      </c>
      <c r="C32" s="38" t="str">
        <f>IFERROR(C31/#REF!-1, "-")</f>
        <v>-</v>
      </c>
      <c r="D32" s="38" t="str">
        <f>IFERROR(D31/#REF!-1, "-")</f>
        <v>-</v>
      </c>
      <c r="E32" s="39" t="str">
        <f>IFERROR(E31/#REF!-1, "-")</f>
        <v>-</v>
      </c>
      <c r="F32" s="38">
        <f t="shared" ref="F32:G32" si="20">IFERROR(F31/C31-1, "-")</f>
        <v>0.30487804878048785</v>
      </c>
      <c r="G32" s="262">
        <f t="shared" si="20"/>
        <v>0.3087557603686637</v>
      </c>
      <c r="H32" s="38">
        <f>IFERROR(H31/F31-1, "-")</f>
        <v>0.14485981308411211</v>
      </c>
      <c r="I32" s="262">
        <f>IFERROR(I31/G31-1, "-")</f>
        <v>-4.5774647887323994E-2</v>
      </c>
      <c r="J32" s="38">
        <f>IFERROR(J31/H31-1, "-")</f>
        <v>1.2244897959183598E-2</v>
      </c>
      <c r="K32" s="262">
        <f>IFERROR(K31/I31-1, "-")</f>
        <v>2.9520295202952074E-2</v>
      </c>
      <c r="L32" s="38">
        <f>IFERROR(L31/J31-1, "-")</f>
        <v>-4.0322580645161255E-2</v>
      </c>
      <c r="M32" s="262">
        <f>IFERROR(M31/K31-1, "-")</f>
        <v>3.0681003584229316E-2</v>
      </c>
      <c r="N32" s="38">
        <f>IFERROR(N31/L31-1, "-")</f>
        <v>-4.4957983193277262E-2</v>
      </c>
      <c r="O32" s="262">
        <f>IFERROR(O31/M31-1, "-")</f>
        <v>3.1851439699540851E-2</v>
      </c>
      <c r="P32" s="38">
        <f>IFERROR(P31/N31-1, "-")</f>
        <v>-5.0369555653321685E-2</v>
      </c>
      <c r="Q32" s="262">
        <f>IFERROR(Q31/O31-1, "-")</f>
        <v>3.3029018681635769E-2</v>
      </c>
      <c r="R32" s="38">
        <f>IFERROR(R31/P31-1, "-")</f>
        <v>-5.6754103525116784E-2</v>
      </c>
      <c r="S32" s="262">
        <f>IFERROR(S31/Q31-1, "-")</f>
        <v>3.4211091218379064E-2</v>
      </c>
      <c r="T32" s="38">
        <f>IFERROR(T31/R31-1, "-")</f>
        <v>-6.4380763275859287E-2</v>
      </c>
      <c r="U32" s="262">
        <f>IFERROR(U31/S31-1, "-")</f>
        <v>3.5394967153699053E-2</v>
      </c>
      <c r="V32" s="38">
        <f>IFERROR(V31/T31-1, "-")</f>
        <v>-7.3627619015576351E-2</v>
      </c>
      <c r="W32" s="262">
        <f>IFERROR(W31/U31-1, "-")</f>
        <v>3.6577939874065546E-2</v>
      </c>
      <c r="Y32"/>
      <c r="AC32" s="39">
        <f>IFERROR(AC31/E31-1, "-")</f>
        <v>0.30183727034120733</v>
      </c>
      <c r="AD32" s="39">
        <f>IFERROR(AD31/AC31-1, "-")</f>
        <v>3.4274193548387011E-2</v>
      </c>
      <c r="AE32" s="39">
        <f>IFERROR(AE31/AD31-1, "-")</f>
        <v>2.7290448343080032E-2</v>
      </c>
      <c r="AF32" s="39">
        <f>IFERROR(AF31/AE31-1, "-")</f>
        <v>-2.7324478178366585E-3</v>
      </c>
      <c r="AG32" s="39">
        <f>IFERROR(AG31/AF31-1, "-")</f>
        <v>-2.9317299642284134E-3</v>
      </c>
      <c r="AH32" s="39">
        <f>IFERROR(AH31/AG31-1, "-")</f>
        <v>-3.146174796648582E-3</v>
      </c>
      <c r="AI32" s="39">
        <f>IFERROR(AI31/AH31-1, "-")</f>
        <v>-3.3770317646395487E-3</v>
      </c>
      <c r="AJ32" s="39">
        <f>IFERROR(AJ31/AI31-1, "-")</f>
        <v>-3.6256679841146777E-3</v>
      </c>
      <c r="AK32" s="39">
        <f>IFERROR(AK31/AJ31-1, "-")</f>
        <v>-3.8935815770700932E-3</v>
      </c>
      <c r="AM32"/>
    </row>
    <row r="33" spans="2:39" x14ac:dyDescent="0.3">
      <c r="B33" s="26"/>
      <c r="C33" s="43"/>
      <c r="D33" s="43"/>
      <c r="E33" s="44"/>
      <c r="F33" s="43"/>
      <c r="G33" s="263"/>
      <c r="H33" s="43"/>
      <c r="I33" s="263"/>
      <c r="J33" s="43"/>
      <c r="K33" s="263"/>
      <c r="L33" s="43"/>
      <c r="M33" s="263"/>
      <c r="N33" s="43"/>
      <c r="O33" s="263"/>
      <c r="P33" s="43"/>
      <c r="Q33" s="263"/>
      <c r="R33" s="43"/>
      <c r="S33" s="263"/>
      <c r="T33" s="43"/>
      <c r="U33" s="263"/>
      <c r="V33" s="43"/>
      <c r="W33" s="263"/>
      <c r="AC33" s="44"/>
      <c r="AD33" s="44"/>
      <c r="AE33" s="44"/>
      <c r="AF33" s="44"/>
      <c r="AG33" s="44"/>
      <c r="AH33" s="44"/>
      <c r="AI33" s="44"/>
      <c r="AJ33" s="44"/>
      <c r="AK33" s="45"/>
    </row>
    <row r="34" spans="2:39" x14ac:dyDescent="0.3">
      <c r="B34" s="23" t="s">
        <v>43</v>
      </c>
      <c r="C34" s="43"/>
      <c r="D34" s="43"/>
      <c r="E34" s="44"/>
      <c r="F34" s="43"/>
      <c r="G34" s="263"/>
      <c r="H34" s="43"/>
      <c r="I34" s="263"/>
      <c r="J34" s="43"/>
      <c r="K34" s="263"/>
      <c r="L34" s="43"/>
      <c r="M34" s="263"/>
      <c r="N34" s="43"/>
      <c r="O34" s="263"/>
      <c r="P34" s="43"/>
      <c r="Q34" s="263"/>
      <c r="R34" s="43"/>
      <c r="S34" s="263"/>
      <c r="T34" s="43"/>
      <c r="U34" s="263"/>
      <c r="V34" s="43"/>
      <c r="W34" s="263"/>
      <c r="AC34" s="44"/>
      <c r="AD34" s="44"/>
      <c r="AE34" s="44"/>
      <c r="AF34" s="44"/>
      <c r="AG34" s="44"/>
      <c r="AH34" s="44"/>
      <c r="AI34" s="44"/>
      <c r="AJ34" s="44"/>
      <c r="AK34" s="45"/>
    </row>
    <row r="35" spans="2:39" x14ac:dyDescent="0.3">
      <c r="B35" s="21" t="s">
        <v>35</v>
      </c>
      <c r="C35" s="41"/>
      <c r="D35" s="41"/>
      <c r="E35" s="42"/>
      <c r="F35" s="43">
        <f>F5+F15+F25</f>
        <v>-111</v>
      </c>
      <c r="G35" s="264">
        <f>AC35-F35</f>
        <v>-128</v>
      </c>
      <c r="H35" s="43">
        <f>H5+H15+H25</f>
        <v>-97</v>
      </c>
      <c r="I35" s="264">
        <f>AD35-H35</f>
        <v>-84</v>
      </c>
      <c r="J35" s="43">
        <f>J5+J15+J25</f>
        <v>-7</v>
      </c>
      <c r="K35" s="264">
        <f>AE35-J35</f>
        <v>66</v>
      </c>
      <c r="L35" s="43">
        <f>L5+L15+L25</f>
        <v>112</v>
      </c>
      <c r="M35" s="264">
        <f>AF35-L35</f>
        <v>70.62</v>
      </c>
      <c r="N35" s="41">
        <f>N5+N15+N25</f>
        <v>119.84000000000002</v>
      </c>
      <c r="O35" s="264">
        <f>AG35-N35</f>
        <v>75.563400000000016</v>
      </c>
      <c r="P35" s="41">
        <f>P5+P15+P25</f>
        <v>128.22880000000004</v>
      </c>
      <c r="Q35" s="264">
        <f>AH35-P35</f>
        <v>80.852837999999991</v>
      </c>
      <c r="R35" s="41">
        <f>R5+R15+R25</f>
        <v>137.20481600000002</v>
      </c>
      <c r="S35" s="264">
        <f>AI35-R35</f>
        <v>86.512536660000023</v>
      </c>
      <c r="T35" s="41">
        <f>T5+T15+T25</f>
        <v>146.80915312000005</v>
      </c>
      <c r="U35" s="264">
        <f>AJ35-T35</f>
        <v>92.568414226200019</v>
      </c>
      <c r="V35" s="41">
        <f>V5+V15+V25</f>
        <v>157.08579383840006</v>
      </c>
      <c r="W35" s="264">
        <f>AK35-V35</f>
        <v>99.048203222034061</v>
      </c>
      <c r="AC35" s="42">
        <f>AC5+AC15+AC25</f>
        <v>-239</v>
      </c>
      <c r="AD35" s="42">
        <f>AD5+AD15+AD25</f>
        <v>-181</v>
      </c>
      <c r="AE35" s="42">
        <f>AE5+AE15+AE25</f>
        <v>59</v>
      </c>
      <c r="AF35" s="42">
        <f>AF5+AF15+AF25</f>
        <v>182.62</v>
      </c>
      <c r="AG35" s="42">
        <f>AG5+AG15+AG25</f>
        <v>195.40340000000003</v>
      </c>
      <c r="AH35" s="42">
        <f>AH5+AH15+AH25</f>
        <v>209.08163800000003</v>
      </c>
      <c r="AI35" s="42">
        <f>AI5+AI15+AI25</f>
        <v>223.71735266000005</v>
      </c>
      <c r="AJ35" s="42">
        <f>AJ5+AJ15+AJ25</f>
        <v>239.37756734620007</v>
      </c>
      <c r="AK35" s="42">
        <f>AK5+AK15+AK25</f>
        <v>256.13399706043413</v>
      </c>
    </row>
    <row r="36" spans="2:39" x14ac:dyDescent="0.3">
      <c r="B36" s="24" t="s">
        <v>38</v>
      </c>
      <c r="C36" s="41"/>
      <c r="D36" s="41"/>
      <c r="E36" s="42"/>
      <c r="F36" s="38">
        <f t="shared" ref="F36" si="21">F35/C41</f>
        <v>0.1574468085106383</v>
      </c>
      <c r="G36" s="262">
        <f t="shared" ref="G36" si="22">G35/D41</f>
        <v>0.18604651162790697</v>
      </c>
      <c r="H36" s="38">
        <f>H35/F41</f>
        <v>0.11547619047619048</v>
      </c>
      <c r="I36" s="262">
        <f>I35/G41</f>
        <v>9.7674418604651161E-2</v>
      </c>
      <c r="J36" s="38">
        <f>J35/H41</f>
        <v>7.0422535211267607E-3</v>
      </c>
      <c r="K36" s="262">
        <f>K35/I41</f>
        <v>-6.9546891464699681E-2</v>
      </c>
      <c r="L36" s="38">
        <f>L35/J41</f>
        <v>-0.11428571428571428</v>
      </c>
      <c r="M36" s="265">
        <f>M35/K41</f>
        <v>-7.8816964285714289E-2</v>
      </c>
      <c r="N36" s="207">
        <f>N35/L41</f>
        <v>-0.13967365967365969</v>
      </c>
      <c r="O36" s="265">
        <f>O35/M41</f>
        <v>-9.003252749347665E-2</v>
      </c>
      <c r="P36" s="207">
        <f>P35/N41</f>
        <v>-0.17626921067825038</v>
      </c>
      <c r="Q36" s="265">
        <f>Q35/O41</f>
        <v>-0.10384249733146349</v>
      </c>
      <c r="R36" s="207">
        <f>R35/P41</f>
        <v>-0.23342798744160681</v>
      </c>
      <c r="S36" s="265">
        <f>S35/Q41</f>
        <v>-0.12121983305526897</v>
      </c>
      <c r="T36" s="207">
        <f>T35/R41</f>
        <v>-0.33493069905986222</v>
      </c>
      <c r="U36" s="265">
        <f>U35/S41</f>
        <v>-0.14369273157248688</v>
      </c>
      <c r="V36" s="207">
        <f>V35/T41</f>
        <v>-0.56422500511585594</v>
      </c>
      <c r="W36" s="265">
        <f>W35/U41</f>
        <v>-0.17380671295802136</v>
      </c>
      <c r="AC36" s="39">
        <f>AC35/E41</f>
        <v>0.1715721464465183</v>
      </c>
      <c r="AD36" s="39">
        <f>AD35/AC41</f>
        <v>0.10653325485579752</v>
      </c>
      <c r="AE36" s="39">
        <f>AE35/AD41</f>
        <v>-3.0428055698813822E-2</v>
      </c>
      <c r="AF36" s="208">
        <f>AF35/AE41</f>
        <v>-9.7345415778251607E-2</v>
      </c>
      <c r="AG36" s="208">
        <f>AG35/AF41</f>
        <v>-0.11512670197785883</v>
      </c>
      <c r="AH36" s="208">
        <f>AH35/AG41</f>
        <v>-0.13882594856295882</v>
      </c>
      <c r="AI36" s="208">
        <f>AI35/AH41</f>
        <v>-0.17189652789039073</v>
      </c>
      <c r="AJ36" s="208">
        <f>AJ35/AI41</f>
        <v>-0.2211262926227969</v>
      </c>
      <c r="AK36" s="208">
        <f>AK35/AJ41</f>
        <v>-0.30194317566034923</v>
      </c>
    </row>
    <row r="37" spans="2:39" x14ac:dyDescent="0.3">
      <c r="B37" s="21" t="s">
        <v>36</v>
      </c>
      <c r="C37" s="41"/>
      <c r="D37" s="41"/>
      <c r="E37" s="42"/>
      <c r="F37" s="43">
        <f>F7+F17+F27</f>
        <v>-19</v>
      </c>
      <c r="G37" s="264">
        <f>AC37-F37</f>
        <v>-39</v>
      </c>
      <c r="H37" s="43">
        <f>H7+H17+H27</f>
        <v>-53</v>
      </c>
      <c r="I37" s="264">
        <f>AD37-H37</f>
        <v>22</v>
      </c>
      <c r="J37" s="43">
        <f>J7+J17+J27</f>
        <v>61</v>
      </c>
      <c r="K37" s="264">
        <f>AE37-J37</f>
        <v>15</v>
      </c>
      <c r="L37" s="43">
        <f>L7+L17+L27</f>
        <v>15</v>
      </c>
      <c r="M37" s="264">
        <f>AF37-L37</f>
        <v>16.050000000000004</v>
      </c>
      <c r="N37" s="41">
        <f>N7+N17+N27</f>
        <v>16.05</v>
      </c>
      <c r="O37" s="264">
        <f>AG37-N37</f>
        <v>17.173500000000001</v>
      </c>
      <c r="P37" s="41">
        <f>P7+P17+P27</f>
        <v>17.173500000000004</v>
      </c>
      <c r="Q37" s="264">
        <f>AH37-P37</f>
        <v>18.375645000000006</v>
      </c>
      <c r="R37" s="41">
        <f>R7+R17+R27</f>
        <v>18.375645000000006</v>
      </c>
      <c r="S37" s="264">
        <f>AI37-R37</f>
        <v>19.661940149999992</v>
      </c>
      <c r="T37" s="41">
        <f>T7+T17+T27</f>
        <v>19.661940150000007</v>
      </c>
      <c r="U37" s="264">
        <f>AJ37-T37</f>
        <v>21.038275960500002</v>
      </c>
      <c r="V37" s="41">
        <f>V7+V17+V27</f>
        <v>21.038275960500005</v>
      </c>
      <c r="W37" s="264">
        <f>AK37-V37</f>
        <v>22.510955277735018</v>
      </c>
      <c r="AC37" s="42">
        <f>AC7+AC17+AC27</f>
        <v>-58</v>
      </c>
      <c r="AD37" s="42">
        <f>AD7+AD17+AD27</f>
        <v>-31</v>
      </c>
      <c r="AE37" s="42">
        <f>AE7+AE17+AE27</f>
        <v>76</v>
      </c>
      <c r="AF37" s="42">
        <f>AF7+AF17+AF27</f>
        <v>31.050000000000004</v>
      </c>
      <c r="AG37" s="42">
        <f>AG7+AG17+AG27</f>
        <v>33.223500000000001</v>
      </c>
      <c r="AH37" s="42">
        <f>AH7+AH17+AH27</f>
        <v>35.54914500000001</v>
      </c>
      <c r="AI37" s="42">
        <f>AI7+AI17+AI27</f>
        <v>38.037585149999998</v>
      </c>
      <c r="AJ37" s="42">
        <f>AJ7+AJ17+AJ27</f>
        <v>40.700216110500008</v>
      </c>
      <c r="AK37" s="42">
        <f>AK7+AK17+AK27</f>
        <v>43.549231238235024</v>
      </c>
    </row>
    <row r="38" spans="2:39" x14ac:dyDescent="0.3">
      <c r="B38" s="24" t="s">
        <v>39</v>
      </c>
      <c r="C38" s="41"/>
      <c r="D38" s="41"/>
      <c r="E38" s="42"/>
      <c r="F38" s="38">
        <f t="shared" ref="F38" si="23">F37/C41</f>
        <v>2.6950354609929079E-2</v>
      </c>
      <c r="G38" s="262">
        <f t="shared" ref="G38" si="24">G37/D41</f>
        <v>5.6686046511627904E-2</v>
      </c>
      <c r="H38" s="38">
        <f>H37/F41</f>
        <v>6.3095238095238093E-2</v>
      </c>
      <c r="I38" s="262">
        <f>I37/G41</f>
        <v>-2.5581395348837209E-2</v>
      </c>
      <c r="J38" s="38">
        <f>J37/H41</f>
        <v>-6.1368209255533199E-2</v>
      </c>
      <c r="K38" s="262">
        <f>K37/I41</f>
        <v>-1.5806111696522657E-2</v>
      </c>
      <c r="L38" s="38">
        <f>L37/J41</f>
        <v>-1.5306122448979591E-2</v>
      </c>
      <c r="M38" s="265">
        <f>M37/K41</f>
        <v>-1.7912946428571434E-2</v>
      </c>
      <c r="N38" s="207">
        <f>N37/L41</f>
        <v>-1.8706293706293706E-2</v>
      </c>
      <c r="O38" s="265">
        <f>O37/M41</f>
        <v>-2.0461938066699235E-2</v>
      </c>
      <c r="P38" s="207">
        <f>P37/N41</f>
        <v>-2.3607483572979961E-2</v>
      </c>
      <c r="Q38" s="265">
        <f>Q37/O41</f>
        <v>-2.3600567575332621E-2</v>
      </c>
      <c r="R38" s="207">
        <f>R37/P41</f>
        <v>-3.126267688950092E-2</v>
      </c>
      <c r="S38" s="265">
        <f>S37/Q41</f>
        <v>-2.7549962058015656E-2</v>
      </c>
      <c r="T38" s="207">
        <f>T37/R41</f>
        <v>-4.485679005266012E-2</v>
      </c>
      <c r="U38" s="265">
        <f>U37/S41</f>
        <v>-3.2657438993747019E-2</v>
      </c>
      <c r="V38" s="207">
        <f>V37/T41</f>
        <v>-7.5565848899444982E-2</v>
      </c>
      <c r="W38" s="265">
        <f>W37/U41</f>
        <v>-3.950152567227759E-2</v>
      </c>
      <c r="AC38" s="39">
        <f>AC37/E41</f>
        <v>4.1636755204594401E-2</v>
      </c>
      <c r="AD38" s="39">
        <f>AD37/AC41</f>
        <v>1.8246027074749854E-2</v>
      </c>
      <c r="AE38" s="39">
        <f>AE37/AD41</f>
        <v>-3.9195461578133056E-2</v>
      </c>
      <c r="AF38" s="208">
        <f>AF37/AE41</f>
        <v>-1.6551172707889129E-2</v>
      </c>
      <c r="AG38" s="208">
        <f>AG37/AF41</f>
        <v>-1.9574439253162393E-2</v>
      </c>
      <c r="AH38" s="208">
        <f>AH37/AG41</f>
        <v>-2.360390813098167E-2</v>
      </c>
      <c r="AI38" s="208">
        <f>AI37/AH41</f>
        <v>-2.9226739628718818E-2</v>
      </c>
      <c r="AJ38" s="208">
        <f>AJ37/AI41</f>
        <v>-3.7597039677679571E-2</v>
      </c>
      <c r="AK38" s="208">
        <f>AK37/AJ41</f>
        <v>-5.1337945483812528E-2</v>
      </c>
    </row>
    <row r="39" spans="2:39" x14ac:dyDescent="0.3">
      <c r="B39" s="21" t="s">
        <v>37</v>
      </c>
      <c r="C39" s="41"/>
      <c r="D39" s="41"/>
      <c r="E39" s="42"/>
      <c r="F39" s="43">
        <f>F9+F19+F29</f>
        <v>-4</v>
      </c>
      <c r="G39" s="264">
        <f>AC39-F39</f>
        <v>-5</v>
      </c>
      <c r="H39" s="43">
        <f>H9+H19+H29</f>
        <v>-4</v>
      </c>
      <c r="I39" s="264">
        <f>AD39-H39</f>
        <v>-27</v>
      </c>
      <c r="J39" s="43">
        <f>J9+J19+J29</f>
        <v>-40</v>
      </c>
      <c r="K39" s="264">
        <f>AE39-J39</f>
        <v>-28</v>
      </c>
      <c r="L39" s="43">
        <f>L9+L19+L29</f>
        <v>-5</v>
      </c>
      <c r="M39" s="264">
        <f>AF39-L39</f>
        <v>-29.96</v>
      </c>
      <c r="N39" s="41">
        <f>N9+N19+N29</f>
        <v>-5.35</v>
      </c>
      <c r="O39" s="264">
        <f>AG39-N39</f>
        <v>-32.057200000000002</v>
      </c>
      <c r="P39" s="41">
        <f>P9+P19+P29</f>
        <v>-5.7245000000000008</v>
      </c>
      <c r="Q39" s="264">
        <f>AH39-P39</f>
        <v>-34.301204000000006</v>
      </c>
      <c r="R39" s="41">
        <f>R9+R19+R29</f>
        <v>-6.1252149999999999</v>
      </c>
      <c r="S39" s="264">
        <f>AI39-R39</f>
        <v>-36.702288280000012</v>
      </c>
      <c r="T39" s="41">
        <f>T9+T19+T29</f>
        <v>-6.5539800500000016</v>
      </c>
      <c r="U39" s="264">
        <f>AJ39-T39</f>
        <v>-39.271448459600009</v>
      </c>
      <c r="V39" s="41">
        <f>V9+V19+V29</f>
        <v>-7.0127586535000006</v>
      </c>
      <c r="W39" s="264">
        <f>AK39-V39</f>
        <v>-42.020449851772021</v>
      </c>
      <c r="AC39" s="42">
        <f>AC9+AC19+AC29</f>
        <v>-9</v>
      </c>
      <c r="AD39" s="42">
        <f>AD9+AD19+AD29</f>
        <v>-31</v>
      </c>
      <c r="AE39" s="42">
        <f>AE9+AE19+AE29</f>
        <v>-68</v>
      </c>
      <c r="AF39" s="42">
        <f>AF9+AF19+AF29</f>
        <v>-34.96</v>
      </c>
      <c r="AG39" s="42">
        <f>AG9+AG19+AG29</f>
        <v>-37.407200000000003</v>
      </c>
      <c r="AH39" s="42">
        <f>AH9+AH19+AH29</f>
        <v>-40.025704000000005</v>
      </c>
      <c r="AI39" s="42">
        <f>AI9+AI19+AI29</f>
        <v>-42.827503280000009</v>
      </c>
      <c r="AJ39" s="42">
        <f>AJ9+AJ19+AJ29</f>
        <v>-45.825428509600009</v>
      </c>
      <c r="AK39" s="42">
        <f>AK9+AK19+AK29</f>
        <v>-49.033208505272022</v>
      </c>
    </row>
    <row r="40" spans="2:39" x14ac:dyDescent="0.3">
      <c r="B40" s="24" t="s">
        <v>40</v>
      </c>
      <c r="C40" s="41"/>
      <c r="D40" s="41"/>
      <c r="E40" s="42"/>
      <c r="F40" s="38">
        <f t="shared" ref="F40" si="25">F39/C41</f>
        <v>5.6737588652482273E-3</v>
      </c>
      <c r="G40" s="262">
        <f t="shared" ref="G40" si="26">G39/D41</f>
        <v>7.2674418604651162E-3</v>
      </c>
      <c r="H40" s="38">
        <f>H39/F41</f>
        <v>4.7619047619047623E-3</v>
      </c>
      <c r="I40" s="262">
        <f>I39/G41</f>
        <v>3.1395348837209305E-2</v>
      </c>
      <c r="J40" s="38">
        <f>J39/H41</f>
        <v>4.0241448692152917E-2</v>
      </c>
      <c r="K40" s="262">
        <f>K39/I41</f>
        <v>2.9504741833508957E-2</v>
      </c>
      <c r="L40" s="38">
        <f>L39/J41</f>
        <v>5.1020408163265302E-3</v>
      </c>
      <c r="M40" s="265">
        <f>M39/K41</f>
        <v>3.3437500000000002E-2</v>
      </c>
      <c r="N40" s="207">
        <f>N39/L41</f>
        <v>6.2354312354312349E-3</v>
      </c>
      <c r="O40" s="265">
        <f>O39/M41</f>
        <v>3.8195617724505242E-2</v>
      </c>
      <c r="P40" s="207">
        <f>P39/N41</f>
        <v>7.8691611909933196E-3</v>
      </c>
      <c r="Q40" s="265">
        <f>Q39/O41</f>
        <v>4.4054392807287554E-2</v>
      </c>
      <c r="R40" s="207">
        <f>R39/P41</f>
        <v>1.0420892296500303E-2</v>
      </c>
      <c r="S40" s="265">
        <f>S39/Q41</f>
        <v>5.1426595841629265E-2</v>
      </c>
      <c r="T40" s="207">
        <f>T39/R41</f>
        <v>1.4952263350886705E-2</v>
      </c>
      <c r="U40" s="265">
        <f>U39/S41</f>
        <v>6.0960552788327772E-2</v>
      </c>
      <c r="V40" s="207">
        <f>V39/T41</f>
        <v>2.5188616299814989E-2</v>
      </c>
      <c r="W40" s="265">
        <f>W39/U41</f>
        <v>7.373618125491814E-2</v>
      </c>
      <c r="AC40" s="39">
        <f>AC39/E41</f>
        <v>6.4608758076094763E-3</v>
      </c>
      <c r="AD40" s="39">
        <f>AD39/AC41</f>
        <v>1.8246027074749854E-2</v>
      </c>
      <c r="AE40" s="39">
        <f>AE39/AD41</f>
        <v>3.5069623517276945E-2</v>
      </c>
      <c r="AF40" s="208">
        <f>AF39/AE41</f>
        <v>1.8635394456289978E-2</v>
      </c>
      <c r="AG40" s="208">
        <f>AG39/AF41</f>
        <v>2.2039368640597658E-2</v>
      </c>
      <c r="AH40" s="208">
        <f>AH39/AG41</f>
        <v>2.6576252117846023E-2</v>
      </c>
      <c r="AI40" s="208">
        <f>AI39/AH41</f>
        <v>3.2907143878261193E-2</v>
      </c>
      <c r="AJ40" s="208">
        <f>AJ39/AI41</f>
        <v>4.2331481711165145E-2</v>
      </c>
      <c r="AK40" s="208">
        <f>AK39/AJ41</f>
        <v>5.7802723803996321E-2</v>
      </c>
    </row>
    <row r="41" spans="2:39" x14ac:dyDescent="0.3">
      <c r="B41" s="23" t="s">
        <v>41</v>
      </c>
      <c r="C41" s="41">
        <f>C11+C31+C21</f>
        <v>-705</v>
      </c>
      <c r="D41" s="41">
        <f>D11+D31+D21</f>
        <v>-688</v>
      </c>
      <c r="E41" s="42">
        <f>E11+E31+E21</f>
        <v>-1393</v>
      </c>
      <c r="F41" s="41">
        <f>C41+F35+F37+F39-1</f>
        <v>-840</v>
      </c>
      <c r="G41" s="261">
        <f>G11+G31+G21</f>
        <v>-860</v>
      </c>
      <c r="H41" s="41">
        <f>F41+H35+H37+H39</f>
        <v>-994</v>
      </c>
      <c r="I41" s="261">
        <f>I11+I31+I21</f>
        <v>-949</v>
      </c>
      <c r="J41" s="41">
        <f>H41+J35+J37+J39</f>
        <v>-980</v>
      </c>
      <c r="K41" s="261">
        <f>K11+K31+K21</f>
        <v>-896</v>
      </c>
      <c r="L41" s="41">
        <f>J41+L35+L37+L39</f>
        <v>-858</v>
      </c>
      <c r="M41" s="261">
        <f>M11+M31+M21</f>
        <v>-839.29</v>
      </c>
      <c r="N41" s="41">
        <f>L41+N35+N37+N39</f>
        <v>-727.46</v>
      </c>
      <c r="O41" s="261">
        <f>O11+O31+O21</f>
        <v>-778.61030000000005</v>
      </c>
      <c r="P41" s="41">
        <f>N41+P35+P37+P39</f>
        <v>-587.78219999999999</v>
      </c>
      <c r="Q41" s="261">
        <f>Q11+Q31+Q21</f>
        <v>-713.68302100000005</v>
      </c>
      <c r="R41" s="41">
        <f>P41+R35+R37+R39</f>
        <v>-438.32695399999994</v>
      </c>
      <c r="S41" s="261">
        <f>S11+S31+S21</f>
        <v>-644.2108324699999</v>
      </c>
      <c r="T41" s="41">
        <f>R41+T35+T37+T39</f>
        <v>-278.40984077999985</v>
      </c>
      <c r="U41" s="261">
        <f>U11+U31+U21</f>
        <v>-569.87559074289993</v>
      </c>
      <c r="V41" s="41">
        <f>T41+V35+V37+V39</f>
        <v>-107.29852963459979</v>
      </c>
      <c r="W41" s="261">
        <f>W11+W31+W21</f>
        <v>-490.33688209490288</v>
      </c>
      <c r="AC41" s="42">
        <f>E41+AC35+AC37+AC39</f>
        <v>-1699</v>
      </c>
      <c r="AD41" s="42">
        <f>AC41+AD35+AD37+AD39+3</f>
        <v>-1939</v>
      </c>
      <c r="AE41" s="42">
        <f>AD41+AE35+AE37+AE39-4</f>
        <v>-1876</v>
      </c>
      <c r="AF41" s="42">
        <f>AE41+AF35+AF37+AF39</f>
        <v>-1697.2900000000002</v>
      </c>
      <c r="AG41" s="42">
        <f>AF41+AG35+AG37+AG39</f>
        <v>-1506.0703000000003</v>
      </c>
      <c r="AH41" s="42">
        <f>AG41+AH35+AH37+AH39</f>
        <v>-1301.4652210000002</v>
      </c>
      <c r="AI41" s="42">
        <f>AH41+AI35+AI37+AI39</f>
        <v>-1082.5377864700001</v>
      </c>
      <c r="AJ41" s="42">
        <f>AI41+AJ35+AJ37+AJ39</f>
        <v>-848.28543152290001</v>
      </c>
      <c r="AK41" s="42">
        <f>AJ41+AK35+AK37+AK39</f>
        <v>-597.63541172950283</v>
      </c>
    </row>
    <row r="42" spans="2:39" s="19" customFormat="1" ht="15" thickBot="1" x14ac:dyDescent="0.35">
      <c r="B42" s="27" t="s">
        <v>42</v>
      </c>
      <c r="C42" s="46" t="str">
        <f>IFERROR(C41/#REF!-1, "-")</f>
        <v>-</v>
      </c>
      <c r="D42" s="46" t="str">
        <f>IFERROR(D41/#REF!-1, "-")</f>
        <v>-</v>
      </c>
      <c r="E42" s="47" t="str">
        <f>IFERROR(E41/#REF!-1, "-")</f>
        <v>-</v>
      </c>
      <c r="F42" s="46">
        <f t="shared" ref="F42:G42" si="27">IFERROR(F41/C41-1, "-")</f>
        <v>0.1914893617021276</v>
      </c>
      <c r="G42" s="266">
        <f t="shared" si="27"/>
        <v>0.25</v>
      </c>
      <c r="H42" s="46">
        <f>IFERROR(H41/F41-1, "-")</f>
        <v>0.18333333333333335</v>
      </c>
      <c r="I42" s="266">
        <f>IFERROR(I41/G41-1, "-")</f>
        <v>0.10348837209302331</v>
      </c>
      <c r="J42" s="46">
        <f>IFERROR(J41/H41-1, "-")</f>
        <v>-1.4084507042253502E-2</v>
      </c>
      <c r="K42" s="266">
        <f>IFERROR(K41/I41-1, "-")</f>
        <v>-5.5848261327713367E-2</v>
      </c>
      <c r="L42" s="46">
        <f>IFERROR(L41/J41-1, "-")</f>
        <v>-0.1244897959183674</v>
      </c>
      <c r="M42" s="266">
        <f>IFERROR(M41/K41-1, "-")</f>
        <v>-6.3292410714285707E-2</v>
      </c>
      <c r="N42" s="46">
        <f>IFERROR(N41/L41-1, "-")</f>
        <v>-0.15214452214452212</v>
      </c>
      <c r="O42" s="266">
        <f>IFERROR(O41/M41-1, "-")</f>
        <v>-7.2298847835670532E-2</v>
      </c>
      <c r="P42" s="46">
        <f>IFERROR(P41/N41-1, "-")</f>
        <v>-0.19200753306023699</v>
      </c>
      <c r="Q42" s="266">
        <f>IFERROR(Q41/O41-1, "-")</f>
        <v>-8.3388672099508621E-2</v>
      </c>
      <c r="R42" s="46">
        <f>IFERROR(R41/P41-1, "-")</f>
        <v>-0.25426977203460743</v>
      </c>
      <c r="S42" s="266">
        <f>IFERROR(S41/Q41-1, "-")</f>
        <v>-9.7343199271655578E-2</v>
      </c>
      <c r="T42" s="46">
        <f>IFERROR(T41/R41-1, "-")</f>
        <v>-0.36483522576163574</v>
      </c>
      <c r="U42" s="266">
        <f>IFERROR(U41/S41-1, "-")</f>
        <v>-0.11538961777790602</v>
      </c>
      <c r="V42" s="46">
        <f>IFERROR(V41/T41-1, "-")</f>
        <v>-0.61460223771548594</v>
      </c>
      <c r="W42" s="266">
        <f>IFERROR(W41/U41-1, "-")</f>
        <v>-0.13957205737538081</v>
      </c>
      <c r="Y42"/>
      <c r="AC42" s="47">
        <f>IFERROR(AC41/E41-1, "-")</f>
        <v>0.21966977745872218</v>
      </c>
      <c r="AD42" s="47">
        <f>IFERROR(AD41/AC41-1, "-")</f>
        <v>0.14125956444967636</v>
      </c>
      <c r="AE42" s="47">
        <f>IFERROR(AE41/AD41-1, "-")</f>
        <v>-3.2490974729241895E-2</v>
      </c>
      <c r="AF42" s="47">
        <f>IFERROR(AF41/AE41-1, "-")</f>
        <v>-9.5261194029850671E-2</v>
      </c>
      <c r="AG42" s="47">
        <f>IFERROR(AG41/AF41-1, "-")</f>
        <v>-0.11266177259042343</v>
      </c>
      <c r="AH42" s="47">
        <f>IFERROR(AH41/AG41-1, "-")</f>
        <v>-0.13585360457609452</v>
      </c>
      <c r="AI42" s="47">
        <f>IFERROR(AI41/AH41-1, "-")</f>
        <v>-0.16821612364084837</v>
      </c>
      <c r="AJ42" s="47">
        <f>IFERROR(AJ41/AI41-1, "-")</f>
        <v>-0.21639185058931132</v>
      </c>
      <c r="AK42" s="47">
        <f>IFERROR(AK41/AJ41-1, "-")</f>
        <v>-0.29547839734016546</v>
      </c>
      <c r="AM42"/>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47613A9F-AFB3-4B5A-84F6-266BF18A7DD0}">
          <x14:colorSeries rgb="FF376092"/>
          <x14:colorNegative rgb="FFD00000"/>
          <x14:colorAxis rgb="FF000000"/>
          <x14:colorMarkers rgb="FFD00000"/>
          <x14:colorFirst rgb="FFD00000"/>
          <x14:colorLast rgb="FFD00000"/>
          <x14:colorHigh rgb="FFD00000"/>
          <x14:colorLow rgb="FFD00000"/>
          <x14:sparklines>
            <x14:sparkline>
              <xm:f>'Advertisment &amp; promotional spen'!AC35:AK35</xm:f>
              <xm:sqref>AM35</xm:sqref>
            </x14:sparkline>
            <x14:sparkline>
              <xm:f>'Advertisment &amp; promotional spen'!AC36:AK36</xm:f>
              <xm:sqref>AM36</xm:sqref>
            </x14:sparkline>
            <x14:sparkline>
              <xm:f>'Advertisment &amp; promotional spen'!AC37:AK37</xm:f>
              <xm:sqref>AM37</xm:sqref>
            </x14:sparkline>
            <x14:sparkline>
              <xm:f>'Advertisment &amp; promotional spen'!AC38:AK38</xm:f>
              <xm:sqref>AM38</xm:sqref>
            </x14:sparkline>
            <x14:sparkline>
              <xm:f>'Advertisment &amp; promotional spen'!AC39:AK39</xm:f>
              <xm:sqref>AM39</xm:sqref>
            </x14:sparkline>
            <x14:sparkline>
              <xm:f>'Advertisment &amp; promotional spen'!AC40:AK40</xm:f>
              <xm:sqref>AM40</xm:sqref>
            </x14:sparkline>
            <x14:sparkline>
              <xm:f>'Advertisment &amp; promotional spen'!AC41:AK41</xm:f>
              <xm:sqref>AM41</xm:sqref>
            </x14:sparkline>
            <x14:sparkline>
              <xm:f>'Advertisment &amp; promotional spen'!AC42:AK42</xm:f>
              <xm:sqref>AM42</xm:sqref>
            </x14:sparkline>
          </x14:sparklines>
        </x14:sparklineGroup>
        <x14:sparklineGroup displayEmptyCellsAs="gap" xr2:uid="{6BEED968-77C6-4579-8DAF-59E2FE1789E9}">
          <x14:colorSeries rgb="FF376092"/>
          <x14:colorNegative rgb="FFD00000"/>
          <x14:colorAxis rgb="FF000000"/>
          <x14:colorMarkers rgb="FFD00000"/>
          <x14:colorFirst rgb="FFD00000"/>
          <x14:colorLast rgb="FFD00000"/>
          <x14:colorHigh rgb="FFD00000"/>
          <x14:colorLow rgb="FFD00000"/>
          <x14:sparklines>
            <x14:sparkline>
              <xm:f>'Advertisment &amp; promotional spen'!AC25:AK25</xm:f>
              <xm:sqref>AM25</xm:sqref>
            </x14:sparkline>
            <x14:sparkline>
              <xm:f>'Advertisment &amp; promotional spen'!AC26:AK26</xm:f>
              <xm:sqref>AM26</xm:sqref>
            </x14:sparkline>
            <x14:sparkline>
              <xm:f>'Advertisment &amp; promotional spen'!AC27:AK27</xm:f>
              <xm:sqref>AM27</xm:sqref>
            </x14:sparkline>
            <x14:sparkline>
              <xm:f>'Advertisment &amp; promotional spen'!AC28:AK28</xm:f>
              <xm:sqref>AM28</xm:sqref>
            </x14:sparkline>
            <x14:sparkline>
              <xm:f>'Advertisment &amp; promotional spen'!AC29:AK29</xm:f>
              <xm:sqref>AM29</xm:sqref>
            </x14:sparkline>
            <x14:sparkline>
              <xm:f>'Advertisment &amp; promotional spen'!AC30:AK30</xm:f>
              <xm:sqref>AM30</xm:sqref>
            </x14:sparkline>
            <x14:sparkline>
              <xm:f>'Advertisment &amp; promotional spen'!AC31:AK31</xm:f>
              <xm:sqref>AM31</xm:sqref>
            </x14:sparkline>
            <x14:sparkline>
              <xm:f>'Advertisment &amp; promotional spen'!AC32:AK32</xm:f>
              <xm:sqref>AM32</xm:sqref>
            </x14:sparkline>
          </x14:sparklines>
        </x14:sparklineGroup>
        <x14:sparklineGroup displayEmptyCellsAs="gap" xr2:uid="{60FFD17C-A9CA-40FF-B582-FFA10EB8CAB5}">
          <x14:colorSeries rgb="FF376092"/>
          <x14:colorNegative rgb="FFD00000"/>
          <x14:colorAxis rgb="FF000000"/>
          <x14:colorMarkers rgb="FFD00000"/>
          <x14:colorFirst rgb="FFD00000"/>
          <x14:colorLast rgb="FFD00000"/>
          <x14:colorHigh rgb="FFD00000"/>
          <x14:colorLow rgb="FFD00000"/>
          <x14:sparklines>
            <x14:sparkline>
              <xm:f>'Advertisment &amp; promotional spen'!AC5:AK5</xm:f>
              <xm:sqref>AM5</xm:sqref>
            </x14:sparkline>
            <x14:sparkline>
              <xm:f>'Advertisment &amp; promotional spen'!AC6:AK6</xm:f>
              <xm:sqref>AM6</xm:sqref>
            </x14:sparkline>
            <x14:sparkline>
              <xm:f>'Advertisment &amp; promotional spen'!AC7:AK7</xm:f>
              <xm:sqref>AM7</xm:sqref>
            </x14:sparkline>
            <x14:sparkline>
              <xm:f>'Advertisment &amp; promotional spen'!AC8:AK8</xm:f>
              <xm:sqref>AM8</xm:sqref>
            </x14:sparkline>
            <x14:sparkline>
              <xm:f>'Advertisment &amp; promotional spen'!AC9:AK9</xm:f>
              <xm:sqref>AM9</xm:sqref>
            </x14:sparkline>
            <x14:sparkline>
              <xm:f>'Advertisment &amp; promotional spen'!AC10:AK10</xm:f>
              <xm:sqref>AM10</xm:sqref>
            </x14:sparkline>
            <x14:sparkline>
              <xm:f>'Advertisment &amp; promotional spen'!AC11:AK11</xm:f>
              <xm:sqref>AM11</xm:sqref>
            </x14:sparkline>
            <x14:sparkline>
              <xm:f>'Advertisment &amp; promotional spen'!AC12:AK12</xm:f>
              <xm:sqref>AM12</xm:sqref>
            </x14:sparkline>
          </x14:sparklines>
        </x14:sparklineGroup>
        <x14:sparklineGroup displayEmptyCellsAs="gap" xr2:uid="{B134B75F-0634-4960-B661-F3A4AFA9F412}">
          <x14:colorSeries rgb="FF376092"/>
          <x14:colorNegative rgb="FFD00000"/>
          <x14:colorAxis rgb="FF000000"/>
          <x14:colorMarkers rgb="FFD00000"/>
          <x14:colorFirst rgb="FFD00000"/>
          <x14:colorLast rgb="FFD00000"/>
          <x14:colorHigh rgb="FFD00000"/>
          <x14:colorLow rgb="FFD00000"/>
          <x14:sparklines>
            <x14:sparkline>
              <xm:f>'Advertisment &amp; promotional spen'!AC15:AK15</xm:f>
              <xm:sqref>AM15</xm:sqref>
            </x14:sparkline>
            <x14:sparkline>
              <xm:f>'Advertisment &amp; promotional spen'!AC16:AK16</xm:f>
              <xm:sqref>AM16</xm:sqref>
            </x14:sparkline>
            <x14:sparkline>
              <xm:f>'Advertisment &amp; promotional spen'!AC17:AK17</xm:f>
              <xm:sqref>AM17</xm:sqref>
            </x14:sparkline>
            <x14:sparkline>
              <xm:f>'Advertisment &amp; promotional spen'!AC18:AK18</xm:f>
              <xm:sqref>AM18</xm:sqref>
            </x14:sparkline>
            <x14:sparkline>
              <xm:f>'Advertisment &amp; promotional spen'!AC19:AK19</xm:f>
              <xm:sqref>AM19</xm:sqref>
            </x14:sparkline>
            <x14:sparkline>
              <xm:f>'Advertisment &amp; promotional spen'!AC20:AK20</xm:f>
              <xm:sqref>AM20</xm:sqref>
            </x14:sparkline>
            <x14:sparkline>
              <xm:f>'Advertisment &amp; promotional spen'!AC21:AK21</xm:f>
              <xm:sqref>AM21</xm:sqref>
            </x14:sparkline>
            <x14:sparkline>
              <xm:f>'Advertisment &amp; promotional spen'!AC22:AK22</xm:f>
              <xm:sqref>AM22</xm:sqref>
            </x14:sparkline>
          </x14:sparklines>
        </x14:sparklineGroup>
        <x14:sparklineGroup displayEmptyCellsAs="gap" xr2:uid="{D5FFEA82-5BF4-4FAA-A140-FAFFD373C935}">
          <x14:colorSeries rgb="FF376092"/>
          <x14:colorNegative rgb="FFD00000"/>
          <x14:colorAxis rgb="FF000000"/>
          <x14:colorMarkers rgb="FFD00000"/>
          <x14:colorFirst rgb="FFD00000"/>
          <x14:colorLast rgb="FFD00000"/>
          <x14:colorHigh rgb="FFD00000"/>
          <x14:colorLow rgb="FFD00000"/>
          <x14:sparklines>
            <x14:sparkline>
              <xm:f>'Advertisment &amp; promotional spen'!F35:W35</xm:f>
              <xm:sqref>Y35</xm:sqref>
            </x14:sparkline>
            <x14:sparkline>
              <xm:f>'Advertisment &amp; promotional spen'!F36:W36</xm:f>
              <xm:sqref>Y36</xm:sqref>
            </x14:sparkline>
            <x14:sparkline>
              <xm:f>'Advertisment &amp; promotional spen'!F37:W37</xm:f>
              <xm:sqref>Y37</xm:sqref>
            </x14:sparkline>
            <x14:sparkline>
              <xm:f>'Advertisment &amp; promotional spen'!F38:W38</xm:f>
              <xm:sqref>Y38</xm:sqref>
            </x14:sparkline>
            <x14:sparkline>
              <xm:f>'Advertisment &amp; promotional spen'!F39:W39</xm:f>
              <xm:sqref>Y39</xm:sqref>
            </x14:sparkline>
            <x14:sparkline>
              <xm:f>'Advertisment &amp; promotional spen'!F40:W40</xm:f>
              <xm:sqref>Y40</xm:sqref>
            </x14:sparkline>
            <x14:sparkline>
              <xm:f>'Advertisment &amp; promotional spen'!F41:W41</xm:f>
              <xm:sqref>Y41</xm:sqref>
            </x14:sparkline>
            <x14:sparkline>
              <xm:f>'Advertisment &amp; promotional spen'!F42:W42</xm:f>
              <xm:sqref>Y42</xm:sqref>
            </x14:sparkline>
          </x14:sparklines>
        </x14:sparklineGroup>
        <x14:sparklineGroup displayEmptyCellsAs="gap" xr2:uid="{514D4183-5253-45B5-8D0A-72ADB9B00B80}">
          <x14:colorSeries rgb="FF376092"/>
          <x14:colorNegative rgb="FFD00000"/>
          <x14:colorAxis rgb="FF000000"/>
          <x14:colorMarkers rgb="FFD00000"/>
          <x14:colorFirst rgb="FFD00000"/>
          <x14:colorLast rgb="FFD00000"/>
          <x14:colorHigh rgb="FFD00000"/>
          <x14:colorLow rgb="FFD00000"/>
          <x14:sparklines>
            <x14:sparkline>
              <xm:f>'Advertisment &amp; promotional spen'!F25:W25</xm:f>
              <xm:sqref>Y25</xm:sqref>
            </x14:sparkline>
            <x14:sparkline>
              <xm:f>'Advertisment &amp; promotional spen'!F26:W26</xm:f>
              <xm:sqref>Y26</xm:sqref>
            </x14:sparkline>
            <x14:sparkline>
              <xm:f>'Advertisment &amp; promotional spen'!F27:W27</xm:f>
              <xm:sqref>Y27</xm:sqref>
            </x14:sparkline>
            <x14:sparkline>
              <xm:f>'Advertisment &amp; promotional spen'!F28:W28</xm:f>
              <xm:sqref>Y28</xm:sqref>
            </x14:sparkline>
            <x14:sparkline>
              <xm:f>'Advertisment &amp; promotional spen'!F29:W29</xm:f>
              <xm:sqref>Y29</xm:sqref>
            </x14:sparkline>
            <x14:sparkline>
              <xm:f>'Advertisment &amp; promotional spen'!F30:W30</xm:f>
              <xm:sqref>Y30</xm:sqref>
            </x14:sparkline>
            <x14:sparkline>
              <xm:f>'Advertisment &amp; promotional spen'!F31:W31</xm:f>
              <xm:sqref>Y31</xm:sqref>
            </x14:sparkline>
            <x14:sparkline>
              <xm:f>'Advertisment &amp; promotional spen'!F32:W32</xm:f>
              <xm:sqref>Y32</xm:sqref>
            </x14:sparkline>
          </x14:sparklines>
        </x14:sparklineGroup>
        <x14:sparklineGroup displayEmptyCellsAs="gap" xr2:uid="{C85DEFB1-10F0-4237-81BF-A353C42F5765}">
          <x14:colorSeries rgb="FF376092"/>
          <x14:colorNegative rgb="FFD00000"/>
          <x14:colorAxis rgb="FF000000"/>
          <x14:colorMarkers rgb="FFD00000"/>
          <x14:colorFirst rgb="FFD00000"/>
          <x14:colorLast rgb="FFD00000"/>
          <x14:colorHigh rgb="FFD00000"/>
          <x14:colorLow rgb="FFD00000"/>
          <x14:sparklines>
            <x14:sparkline>
              <xm:f>'Advertisment &amp; promotional spen'!F5:W5</xm:f>
              <xm:sqref>Y5</xm:sqref>
            </x14:sparkline>
            <x14:sparkline>
              <xm:f>'Advertisment &amp; promotional spen'!F6:W6</xm:f>
              <xm:sqref>Y6</xm:sqref>
            </x14:sparkline>
            <x14:sparkline>
              <xm:f>'Advertisment &amp; promotional spen'!F7:W7</xm:f>
              <xm:sqref>Y7</xm:sqref>
            </x14:sparkline>
            <x14:sparkline>
              <xm:f>'Advertisment &amp; promotional spen'!F8:W8</xm:f>
              <xm:sqref>Y8</xm:sqref>
            </x14:sparkline>
            <x14:sparkline>
              <xm:f>'Advertisment &amp; promotional spen'!F9:W9</xm:f>
              <xm:sqref>Y9</xm:sqref>
            </x14:sparkline>
            <x14:sparkline>
              <xm:f>'Advertisment &amp; promotional spen'!F10:W10</xm:f>
              <xm:sqref>Y10</xm:sqref>
            </x14:sparkline>
            <x14:sparkline>
              <xm:f>'Advertisment &amp; promotional spen'!F11:W11</xm:f>
              <xm:sqref>Y11</xm:sqref>
            </x14:sparkline>
            <x14:sparkline>
              <xm:f>'Advertisment &amp; promotional spen'!F12:W12</xm:f>
              <xm:sqref>Y12</xm:sqref>
            </x14:sparkline>
          </x14:sparklines>
        </x14:sparklineGroup>
        <x14:sparklineGroup displayEmptyCellsAs="gap" xr2:uid="{A5D943CD-F8C3-4C99-8E62-AEE0CC89047E}">
          <x14:colorSeries rgb="FF376092"/>
          <x14:colorNegative rgb="FFD00000"/>
          <x14:colorAxis rgb="FF000000"/>
          <x14:colorMarkers rgb="FFD00000"/>
          <x14:colorFirst rgb="FFD00000"/>
          <x14:colorLast rgb="FFD00000"/>
          <x14:colorHigh rgb="FFD00000"/>
          <x14:colorLow rgb="FFD00000"/>
          <x14:sparklines>
            <x14:sparkline>
              <xm:f>'Advertisment &amp; promotional spen'!F15:W15</xm:f>
              <xm:sqref>Y15</xm:sqref>
            </x14:sparkline>
            <x14:sparkline>
              <xm:f>'Advertisment &amp; promotional spen'!F16:W16</xm:f>
              <xm:sqref>Y16</xm:sqref>
            </x14:sparkline>
            <x14:sparkline>
              <xm:f>'Advertisment &amp; promotional spen'!F17:W17</xm:f>
              <xm:sqref>Y17</xm:sqref>
            </x14:sparkline>
            <x14:sparkline>
              <xm:f>'Advertisment &amp; promotional spen'!F18:W18</xm:f>
              <xm:sqref>Y18</xm:sqref>
            </x14:sparkline>
            <x14:sparkline>
              <xm:f>'Advertisment &amp; promotional spen'!F19:W19</xm:f>
              <xm:sqref>Y19</xm:sqref>
            </x14:sparkline>
            <x14:sparkline>
              <xm:f>'Advertisment &amp; promotional spen'!F20:W20</xm:f>
              <xm:sqref>Y20</xm:sqref>
            </x14:sparkline>
            <x14:sparkline>
              <xm:f>'Advertisment &amp; promotional spen'!F21:W21</xm:f>
              <xm:sqref>Y21</xm:sqref>
            </x14:sparkline>
            <x14:sparkline>
              <xm:f>'Advertisment &amp; promotional spen'!F22:W22</xm:f>
              <xm:sqref>Y22</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C7DCD-CA7A-46A0-AA0C-BE9509166148}">
  <dimension ref="B1:AM163"/>
  <sheetViews>
    <sheetView showGridLines="0" zoomScale="78" zoomScaleNormal="99" workbookViewId="0">
      <pane xSplit="2" ySplit="3" topLeftCell="N126" activePane="bottomRight" state="frozen"/>
      <selection pane="topRight" activeCell="C1" sqref="C1"/>
      <selection pane="bottomLeft" activeCell="A4" sqref="A4"/>
      <selection pane="bottomRight" activeCell="AM156" sqref="AM156"/>
    </sheetView>
  </sheetViews>
  <sheetFormatPr defaultColWidth="8.88671875" defaultRowHeight="14.4" x14ac:dyDescent="0.3"/>
  <cols>
    <col min="1" max="1" width="1.5546875" customWidth="1"/>
    <col min="2" max="2" width="21.109375" customWidth="1"/>
    <col min="3" max="9" width="8.88671875" customWidth="1"/>
    <col min="10" max="10" width="9" bestFit="1" customWidth="1"/>
    <col min="11" max="11" width="8.88671875" customWidth="1"/>
    <col min="12" max="12" width="9" bestFit="1" customWidth="1"/>
    <col min="13" max="23" width="8.88671875" customWidth="1"/>
    <col min="25" max="25" width="8.88671875" customWidth="1"/>
    <col min="35" max="35" width="9.5546875" customWidth="1"/>
    <col min="37" max="37" width="9.88671875" customWidth="1"/>
  </cols>
  <sheetData>
    <row r="1" spans="2:39" x14ac:dyDescent="0.3">
      <c r="B1" t="s">
        <v>92</v>
      </c>
    </row>
    <row r="2" spans="2:39" ht="15" thickBot="1" x14ac:dyDescent="0.35"/>
    <row r="3" spans="2:39" x14ac:dyDescent="0.3">
      <c r="B3" s="65" t="s">
        <v>63</v>
      </c>
      <c r="C3" s="73" t="s">
        <v>25</v>
      </c>
      <c r="D3" s="71" t="s">
        <v>26</v>
      </c>
      <c r="E3" s="72" t="s">
        <v>0</v>
      </c>
      <c r="F3" s="73" t="s">
        <v>27</v>
      </c>
      <c r="G3" s="71" t="s">
        <v>28</v>
      </c>
      <c r="H3" s="73" t="s">
        <v>29</v>
      </c>
      <c r="I3" s="71" t="s">
        <v>30</v>
      </c>
      <c r="J3" s="73" t="s">
        <v>31</v>
      </c>
      <c r="K3" s="71" t="s">
        <v>32</v>
      </c>
      <c r="L3" s="73" t="s">
        <v>44</v>
      </c>
      <c r="M3" s="188" t="str">
        <f>'Revenue Model'!M2</f>
        <v>H2'25</v>
      </c>
      <c r="N3" s="187" t="str">
        <f>'Revenue Model'!N2</f>
        <v>H1'26</v>
      </c>
      <c r="O3" s="188" t="str">
        <f>'Revenue Model'!O2</f>
        <v>H2'26</v>
      </c>
      <c r="P3" s="187" t="str">
        <f>'Revenue Model'!P2</f>
        <v>H1'27</v>
      </c>
      <c r="Q3" s="188" t="str">
        <f>'Revenue Model'!Q2</f>
        <v>H2'27</v>
      </c>
      <c r="R3" s="187" t="str">
        <f>'Revenue Model'!R2</f>
        <v>H1'28</v>
      </c>
      <c r="S3" s="188" t="str">
        <f>'Revenue Model'!S2</f>
        <v>H2'28</v>
      </c>
      <c r="T3" s="187" t="str">
        <f>'Revenue Model'!T2</f>
        <v>H1'29</v>
      </c>
      <c r="U3" s="188" t="str">
        <f>'Revenue Model'!U2</f>
        <v>H2'29</v>
      </c>
      <c r="V3" s="187" t="str">
        <f>'Revenue Model'!V2</f>
        <v>H1'30</v>
      </c>
      <c r="W3" s="188" t="str">
        <f>'Revenue Model'!W2</f>
        <v>H2'30</v>
      </c>
      <c r="AC3" s="72" t="s">
        <v>1</v>
      </c>
      <c r="AD3" s="72" t="s">
        <v>2</v>
      </c>
      <c r="AE3" s="72" t="s">
        <v>33</v>
      </c>
      <c r="AF3" s="189" t="str">
        <f>'Revenue Model'!AF2</f>
        <v>FY25</v>
      </c>
      <c r="AG3" s="189" t="str">
        <f>'Revenue Model'!AG2</f>
        <v>FY26</v>
      </c>
      <c r="AH3" s="189" t="str">
        <f>'Revenue Model'!AH2</f>
        <v>FY27</v>
      </c>
      <c r="AI3" s="189" t="str">
        <f>'Revenue Model'!AI2</f>
        <v>FY28</v>
      </c>
      <c r="AJ3" s="189" t="str">
        <f>'Revenue Model'!AJ2</f>
        <v>FY29</v>
      </c>
      <c r="AK3" s="190" t="str">
        <f>'Revenue Model'!AK2</f>
        <v>FY30</v>
      </c>
    </row>
    <row r="4" spans="2:39" x14ac:dyDescent="0.3">
      <c r="B4" s="67" t="s">
        <v>3</v>
      </c>
      <c r="C4" s="28">
        <v>4985</v>
      </c>
      <c r="D4" s="57">
        <f>E4-C4</f>
        <v>3839</v>
      </c>
      <c r="E4" s="58">
        <v>8824</v>
      </c>
      <c r="F4" s="28">
        <v>5959</v>
      </c>
      <c r="G4" s="57">
        <f>AC4-F4</f>
        <v>4742</v>
      </c>
      <c r="H4" s="28">
        <v>7116</v>
      </c>
      <c r="I4" s="57">
        <f>AD4-H4</f>
        <v>5021</v>
      </c>
      <c r="J4" s="28">
        <v>6590</v>
      </c>
      <c r="K4" s="57">
        <f>AE4-J4</f>
        <v>5008</v>
      </c>
      <c r="L4" s="28">
        <v>6176</v>
      </c>
      <c r="M4" s="57">
        <f>'Revenue Model'!M41</f>
        <v>4993.1399999999994</v>
      </c>
      <c r="N4" s="193">
        <f>'Revenue Model'!N41</f>
        <v>5748.5499999999993</v>
      </c>
      <c r="O4" s="57">
        <f>'Revenue Model'!O41</f>
        <v>4978.8642</v>
      </c>
      <c r="P4" s="193">
        <f>'Revenue Model'!P41</f>
        <v>5308.276499999999</v>
      </c>
      <c r="Q4" s="57">
        <f>'Revenue Model'!Q41</f>
        <v>4964.1601260000007</v>
      </c>
      <c r="R4" s="193">
        <f>'Revenue Model'!R41</f>
        <v>4854.7947949999989</v>
      </c>
      <c r="S4" s="57">
        <f>'Revenue Model'!S41</f>
        <v>4949.0149297800008</v>
      </c>
      <c r="T4" s="193">
        <f>'Revenue Model'!T41</f>
        <v>4387.7086388499993</v>
      </c>
      <c r="U4" s="57">
        <f>'Revenue Model'!U41</f>
        <v>4933.4153776734001</v>
      </c>
      <c r="V4" s="193">
        <f>'Revenue Model'!V41</f>
        <v>3906.6098980154993</v>
      </c>
      <c r="W4" s="57">
        <f>'Revenue Model'!W41</f>
        <v>4917.3478390036025</v>
      </c>
      <c r="AC4" s="58">
        <v>10701</v>
      </c>
      <c r="AD4" s="58">
        <v>12137</v>
      </c>
      <c r="AE4" s="58">
        <v>11598</v>
      </c>
      <c r="AF4" s="58">
        <f>'Revenue Model'!AF41</f>
        <v>11169.140000000001</v>
      </c>
      <c r="AG4" s="58">
        <f>'Revenue Model'!AG41</f>
        <v>10727.414199999999</v>
      </c>
      <c r="AH4" s="58">
        <f>'Revenue Model'!AH41</f>
        <v>10272.436625999999</v>
      </c>
      <c r="AI4" s="58">
        <f>'Revenue Model'!AI41</f>
        <v>9803.8097247799979</v>
      </c>
      <c r="AJ4" s="58">
        <f>'Revenue Model'!AJ41</f>
        <v>9321.1240165233976</v>
      </c>
      <c r="AK4" s="29">
        <f>'Revenue Model'!AK41</f>
        <v>8823.9577370190982</v>
      </c>
    </row>
    <row r="5" spans="2:39" x14ac:dyDescent="0.3">
      <c r="B5" s="66" t="s">
        <v>4</v>
      </c>
      <c r="C5" s="59">
        <v>1964</v>
      </c>
      <c r="D5" s="13">
        <f>E5-C5</f>
        <v>1567</v>
      </c>
      <c r="E5" s="14">
        <v>3531</v>
      </c>
      <c r="F5" s="59">
        <v>2319</v>
      </c>
      <c r="G5" s="13">
        <f>AC5-F5</f>
        <v>1909</v>
      </c>
      <c r="H5" s="59">
        <v>2747</v>
      </c>
      <c r="I5" s="13">
        <f>AD5-H5</f>
        <v>2144</v>
      </c>
      <c r="J5" s="59">
        <v>2509</v>
      </c>
      <c r="K5" s="13">
        <f>AE5-J5</f>
        <v>2114</v>
      </c>
      <c r="L5" s="59">
        <v>2403</v>
      </c>
      <c r="M5" s="13">
        <f t="shared" ref="M5:W5" si="0">M4-M6</f>
        <v>2084.4999999999991</v>
      </c>
      <c r="N5" s="196">
        <f t="shared" si="0"/>
        <v>2296.9099999999989</v>
      </c>
      <c r="O5" s="13">
        <f t="shared" si="0"/>
        <v>2052.9186</v>
      </c>
      <c r="P5" s="196">
        <f t="shared" si="0"/>
        <v>2190.850899999999</v>
      </c>
      <c r="Q5" s="13">
        <f t="shared" si="0"/>
        <v>2020.2167020000006</v>
      </c>
      <c r="R5" s="196">
        <f t="shared" si="0"/>
        <v>2084.952170999999</v>
      </c>
      <c r="S5" s="13">
        <f t="shared" si="0"/>
        <v>1986.3537688200004</v>
      </c>
      <c r="T5" s="196">
        <f t="shared" si="0"/>
        <v>1979.3523098899996</v>
      </c>
      <c r="U5" s="13">
        <f t="shared" si="0"/>
        <v>1951.2877702749997</v>
      </c>
      <c r="V5" s="196">
        <f t="shared" si="0"/>
        <v>1874.1993158970995</v>
      </c>
      <c r="W5" s="13">
        <f t="shared" si="0"/>
        <v>1914.9751273092666</v>
      </c>
      <c r="AC5" s="14">
        <v>4228</v>
      </c>
      <c r="AD5" s="14">
        <v>4891</v>
      </c>
      <c r="AE5" s="14">
        <v>4623</v>
      </c>
      <c r="AF5" s="14">
        <f>AF4-AF6</f>
        <v>4486.5000000000009</v>
      </c>
      <c r="AG5" s="14">
        <f>AG4-AG6</f>
        <v>4348.8285999999989</v>
      </c>
      <c r="AH5" s="14">
        <f>AH4-AH6</f>
        <v>4210.0676019999983</v>
      </c>
      <c r="AI5" s="14">
        <f>AI4-AI6</f>
        <v>4070.3059398199975</v>
      </c>
      <c r="AJ5" s="14">
        <f>AJ4-AJ6</f>
        <v>3929.6400801649979</v>
      </c>
      <c r="AK5" s="60">
        <f>AK4-AK6</f>
        <v>3788.1744432063624</v>
      </c>
    </row>
    <row r="6" spans="2:39" x14ac:dyDescent="0.3">
      <c r="B6" s="67" t="s">
        <v>5</v>
      </c>
      <c r="C6" s="28">
        <f t="shared" ref="C6:I6" si="1">C4-C5</f>
        <v>3021</v>
      </c>
      <c r="D6" s="57">
        <f t="shared" si="1"/>
        <v>2272</v>
      </c>
      <c r="E6" s="58">
        <f t="shared" si="1"/>
        <v>5293</v>
      </c>
      <c r="F6" s="28">
        <f t="shared" si="1"/>
        <v>3640</v>
      </c>
      <c r="G6" s="57">
        <f t="shared" si="1"/>
        <v>2833</v>
      </c>
      <c r="H6" s="28">
        <f t="shared" si="1"/>
        <v>4369</v>
      </c>
      <c r="I6" s="57">
        <f t="shared" si="1"/>
        <v>2877</v>
      </c>
      <c r="J6" s="28">
        <f t="shared" ref="J6:K6" si="2">J4-J5</f>
        <v>4081</v>
      </c>
      <c r="K6" s="57">
        <f t="shared" si="2"/>
        <v>2894</v>
      </c>
      <c r="L6" s="28">
        <f t="shared" ref="L6" si="3">L4-L5</f>
        <v>3773</v>
      </c>
      <c r="M6" s="57">
        <f>'Gross Margin'!M41</f>
        <v>2908.6400000000003</v>
      </c>
      <c r="N6" s="193">
        <f>'Gross Margin'!N41</f>
        <v>3451.6400000000003</v>
      </c>
      <c r="O6" s="57">
        <f>'Gross Margin'!O41</f>
        <v>2925.9456</v>
      </c>
      <c r="P6" s="193">
        <f>'Gross Margin'!P41</f>
        <v>3117.4256</v>
      </c>
      <c r="Q6" s="57">
        <f>'Gross Margin'!Q41</f>
        <v>2943.9434240000001</v>
      </c>
      <c r="R6" s="193">
        <f>'Gross Margin'!R41</f>
        <v>2769.8426239999999</v>
      </c>
      <c r="S6" s="57">
        <f>'Gross Margin'!S41</f>
        <v>2962.6611609600004</v>
      </c>
      <c r="T6" s="193">
        <f>'Gross Margin'!T41</f>
        <v>2408.3563289599997</v>
      </c>
      <c r="U6" s="57">
        <f>'Gross Margin'!U41</f>
        <v>2982.1276073984004</v>
      </c>
      <c r="V6" s="193">
        <f>'Gross Margin'!V41</f>
        <v>2032.4105821183998</v>
      </c>
      <c r="W6" s="57">
        <f>'Gross Margin'!W41</f>
        <v>3002.372711694336</v>
      </c>
      <c r="AC6" s="58">
        <f>AC4-AC5</f>
        <v>6473</v>
      </c>
      <c r="AD6" s="58">
        <f>AD4-AD5</f>
        <v>7246</v>
      </c>
      <c r="AE6" s="58">
        <f>AE4-AE5</f>
        <v>6975</v>
      </c>
      <c r="AF6" s="58">
        <f>'Gross Margin'!AF41</f>
        <v>6682.64</v>
      </c>
      <c r="AG6" s="58">
        <f>'Gross Margin'!AG41</f>
        <v>6378.5856000000003</v>
      </c>
      <c r="AH6" s="58">
        <f>'Gross Margin'!AH41</f>
        <v>6062.3690240000005</v>
      </c>
      <c r="AI6" s="58">
        <f>'Gross Margin'!AI41</f>
        <v>5733.5037849600003</v>
      </c>
      <c r="AJ6" s="58">
        <f>'Gross Margin'!AJ41</f>
        <v>5391.4839363583997</v>
      </c>
      <c r="AK6" s="29">
        <f>'Gross Margin'!AK41</f>
        <v>5035.7832938127358</v>
      </c>
    </row>
    <row r="7" spans="2:39" s="6" customFormat="1" x14ac:dyDescent="0.3">
      <c r="B7" s="68" t="s">
        <v>6</v>
      </c>
      <c r="C7" s="7">
        <f t="shared" ref="C7:I7" si="4">C6/C4</f>
        <v>0.60601805416248744</v>
      </c>
      <c r="D7" s="8">
        <f t="shared" si="4"/>
        <v>0.59182078666319349</v>
      </c>
      <c r="E7" s="9">
        <f t="shared" si="4"/>
        <v>0.59984134179510429</v>
      </c>
      <c r="F7" s="7">
        <f t="shared" si="4"/>
        <v>0.61084074509145825</v>
      </c>
      <c r="G7" s="8">
        <f t="shared" si="4"/>
        <v>0.59742724588781104</v>
      </c>
      <c r="H7" s="7">
        <f t="shared" si="4"/>
        <v>0.61396852164137161</v>
      </c>
      <c r="I7" s="8">
        <f t="shared" si="4"/>
        <v>0.57299342760406291</v>
      </c>
      <c r="J7" s="7">
        <f t="shared" ref="J7:W7" si="5">J6/J4</f>
        <v>0.61927162367223065</v>
      </c>
      <c r="K7" s="8">
        <f t="shared" si="5"/>
        <v>0.57787539936102239</v>
      </c>
      <c r="L7" s="7">
        <f t="shared" ref="L7" si="6">L6/L4</f>
        <v>0.61091321243523311</v>
      </c>
      <c r="M7" s="8">
        <f t="shared" si="5"/>
        <v>0.58252722735593243</v>
      </c>
      <c r="N7" s="7">
        <f t="shared" si="5"/>
        <v>0.60043663184629181</v>
      </c>
      <c r="O7" s="8">
        <f t="shared" si="5"/>
        <v>0.58767330910531768</v>
      </c>
      <c r="P7" s="7">
        <f t="shared" si="5"/>
        <v>0.58727641636602779</v>
      </c>
      <c r="Q7" s="8">
        <f t="shared" si="5"/>
        <v>0.59303957754726133</v>
      </c>
      <c r="R7" s="7">
        <f t="shared" si="5"/>
        <v>0.57053752855891837</v>
      </c>
      <c r="S7" s="8">
        <f t="shared" si="5"/>
        <v>0.59863653737082179</v>
      </c>
      <c r="T7" s="7">
        <f t="shared" si="5"/>
        <v>0.54888702217730212</v>
      </c>
      <c r="U7" s="8">
        <f t="shared" si="5"/>
        <v>0.60447527303179815</v>
      </c>
      <c r="V7" s="7">
        <f t="shared" si="5"/>
        <v>0.52024917644089175</v>
      </c>
      <c r="W7" s="8">
        <f t="shared" si="5"/>
        <v>0.61056748678220496</v>
      </c>
      <c r="Y7"/>
      <c r="AC7" s="9">
        <f>AC6/AC4</f>
        <v>0.60489673862255866</v>
      </c>
      <c r="AD7" s="9">
        <f>AD6/AD4</f>
        <v>0.5970173848562248</v>
      </c>
      <c r="AE7" s="9">
        <f>AE6/AE4</f>
        <v>0.60139679255043976</v>
      </c>
      <c r="AF7" s="9">
        <f>AF6/AF4</f>
        <v>0.598312851302786</v>
      </c>
      <c r="AG7" s="9">
        <f>AG6/AG4</f>
        <v>0.59460607011892952</v>
      </c>
      <c r="AH7" s="9">
        <f>AH6/AH4</f>
        <v>0.59015881476999066</v>
      </c>
      <c r="AI7" s="9">
        <f>AI6/AI4</f>
        <v>0.584824057781136</v>
      </c>
      <c r="AJ7" s="9">
        <f>AJ6/AJ4</f>
        <v>0.5784156424483794</v>
      </c>
      <c r="AK7" s="53">
        <f>AK6/AK4</f>
        <v>0.57069440311189878</v>
      </c>
      <c r="AM7"/>
    </row>
    <row r="8" spans="2:39" x14ac:dyDescent="0.3">
      <c r="B8" s="66" t="s">
        <v>217</v>
      </c>
      <c r="C8" s="59">
        <v>706</v>
      </c>
      <c r="D8" s="13">
        <f t="shared" ref="D8:D14" si="7">E8-C8</f>
        <v>687</v>
      </c>
      <c r="E8" s="14">
        <v>1393</v>
      </c>
      <c r="F8" s="59">
        <v>840</v>
      </c>
      <c r="G8" s="13">
        <f>AC8-F8</f>
        <v>858</v>
      </c>
      <c r="H8" s="59">
        <v>994</v>
      </c>
      <c r="I8" s="13">
        <f>AD8-H8</f>
        <v>945</v>
      </c>
      <c r="J8" s="59">
        <v>980</v>
      </c>
      <c r="K8" s="13">
        <f>AE8-J8</f>
        <v>892</v>
      </c>
      <c r="L8" s="59">
        <v>857</v>
      </c>
      <c r="M8" s="13">
        <f>-'Advertisment &amp; promotional spen'!M41</f>
        <v>839.29</v>
      </c>
      <c r="N8" s="49">
        <f>-'Advertisment &amp; promotional spen'!N41</f>
        <v>727.46</v>
      </c>
      <c r="O8" s="13">
        <f>-'Advertisment &amp; promotional spen'!O41</f>
        <v>778.61030000000005</v>
      </c>
      <c r="P8" s="49">
        <f>-'Advertisment &amp; promotional spen'!P41</f>
        <v>587.78219999999999</v>
      </c>
      <c r="Q8" s="13">
        <f>-'Advertisment &amp; promotional spen'!Q41</f>
        <v>713.68302100000005</v>
      </c>
      <c r="R8" s="49">
        <f>-'Advertisment &amp; promotional spen'!R41</f>
        <v>438.32695399999994</v>
      </c>
      <c r="S8" s="13">
        <f>-'Advertisment &amp; promotional spen'!S41</f>
        <v>644.2108324699999</v>
      </c>
      <c r="T8" s="49">
        <f>-'Advertisment &amp; promotional spen'!T41</f>
        <v>278.40984077999985</v>
      </c>
      <c r="U8" s="13">
        <f>-'Advertisment &amp; promotional spen'!U41</f>
        <v>569.87559074289993</v>
      </c>
      <c r="V8" s="49">
        <f>-'Advertisment &amp; promotional spen'!V41</f>
        <v>107.29852963459979</v>
      </c>
      <c r="W8" s="13">
        <f>-'Advertisment &amp; promotional spen'!W41</f>
        <v>490.33688209490288</v>
      </c>
      <c r="AC8" s="14">
        <v>1698</v>
      </c>
      <c r="AD8" s="14">
        <v>1939</v>
      </c>
      <c r="AE8" s="14">
        <v>1872</v>
      </c>
      <c r="AF8" s="14">
        <f>-'Advertisment &amp; promotional spen'!AF41</f>
        <v>1697.2900000000002</v>
      </c>
      <c r="AG8" s="14">
        <f>-'Advertisment &amp; promotional spen'!AG41</f>
        <v>1506.0703000000003</v>
      </c>
      <c r="AH8" s="14">
        <f>-'Advertisment &amp; promotional spen'!AH41</f>
        <v>1301.4652210000002</v>
      </c>
      <c r="AI8" s="14">
        <f>-'Advertisment &amp; promotional spen'!AI41</f>
        <v>1082.5377864700001</v>
      </c>
      <c r="AJ8" s="14">
        <f>-'Advertisment &amp; promotional spen'!AJ41</f>
        <v>848.28543152290001</v>
      </c>
      <c r="AK8" s="60">
        <f>-'Advertisment &amp; promotional spen'!AK41</f>
        <v>597.63541172950283</v>
      </c>
    </row>
    <row r="9" spans="2:39" x14ac:dyDescent="0.3">
      <c r="B9" s="66" t="s">
        <v>236</v>
      </c>
      <c r="C9" s="241">
        <f>C8/C4</f>
        <v>0.1416248746238716</v>
      </c>
      <c r="D9" s="242">
        <f t="shared" ref="D9:W9" si="8">D8/D4</f>
        <v>0.17895285230528785</v>
      </c>
      <c r="E9" s="243">
        <f t="shared" si="8"/>
        <v>0.1578649138712602</v>
      </c>
      <c r="F9" s="241">
        <f t="shared" si="8"/>
        <v>0.14096324886725961</v>
      </c>
      <c r="G9" s="242">
        <f t="shared" si="8"/>
        <v>0.18093631379164909</v>
      </c>
      <c r="H9" s="241">
        <f t="shared" si="8"/>
        <v>0.13968521641371556</v>
      </c>
      <c r="I9" s="242">
        <f t="shared" si="8"/>
        <v>0.18820952001593308</v>
      </c>
      <c r="J9" s="241">
        <f t="shared" si="8"/>
        <v>0.14871016691957512</v>
      </c>
      <c r="K9" s="242">
        <f t="shared" si="8"/>
        <v>0.1781150159744409</v>
      </c>
      <c r="L9" s="241">
        <f t="shared" si="8"/>
        <v>0.13876295336787564</v>
      </c>
      <c r="M9" s="242">
        <f t="shared" si="8"/>
        <v>0.16808861758332433</v>
      </c>
      <c r="N9" s="241">
        <f t="shared" si="8"/>
        <v>0.12654669438380114</v>
      </c>
      <c r="O9" s="242">
        <f t="shared" si="8"/>
        <v>0.15638311645455202</v>
      </c>
      <c r="P9" s="241">
        <f t="shared" si="8"/>
        <v>0.11072938645905127</v>
      </c>
      <c r="Q9" s="242">
        <f t="shared" si="8"/>
        <v>0.14376712331700478</v>
      </c>
      <c r="R9" s="241">
        <f t="shared" si="8"/>
        <v>9.0287431808948382E-2</v>
      </c>
      <c r="S9" s="242">
        <f t="shared" si="8"/>
        <v>0.13016950678276437</v>
      </c>
      <c r="T9" s="241">
        <f t="shared" si="8"/>
        <v>6.3452217021632035E-2</v>
      </c>
      <c r="U9" s="242">
        <f t="shared" si="8"/>
        <v>0.11551340138961771</v>
      </c>
      <c r="V9" s="241">
        <f t="shared" si="8"/>
        <v>2.746589304683477E-2</v>
      </c>
      <c r="W9" s="242">
        <f t="shared" si="8"/>
        <v>9.9715720373822356E-2</v>
      </c>
      <c r="AC9" s="243">
        <f>AC8/AC4</f>
        <v>0.15867675918138491</v>
      </c>
      <c r="AD9" s="243">
        <f>AD8/AD4</f>
        <v>0.15975941336409327</v>
      </c>
      <c r="AE9" s="243">
        <f>AE8/AE4</f>
        <v>0.16140713916192448</v>
      </c>
      <c r="AF9" s="243">
        <f>AF8/AF4</f>
        <v>0.15196246085195458</v>
      </c>
      <c r="AG9" s="243">
        <f>AG8/AG4</f>
        <v>0.14039453235617586</v>
      </c>
      <c r="AH9" s="243">
        <f>AH8/AH4</f>
        <v>0.12669488928322353</v>
      </c>
      <c r="AI9" s="243">
        <f>AI8/AI4</f>
        <v>0.11042011390059825</v>
      </c>
      <c r="AJ9" s="243">
        <f>AJ8/AJ4</f>
        <v>9.1006774506932731E-2</v>
      </c>
      <c r="AK9" s="244">
        <f>AK8/AK4</f>
        <v>6.7728725538002799E-2</v>
      </c>
    </row>
    <row r="10" spans="2:39" s="3" customFormat="1" x14ac:dyDescent="0.3">
      <c r="B10" s="67" t="s">
        <v>221</v>
      </c>
      <c r="C10" s="28">
        <f>C6-C8</f>
        <v>2315</v>
      </c>
      <c r="D10" s="57">
        <f t="shared" ref="D10:W10" si="9">D6-D8</f>
        <v>1585</v>
      </c>
      <c r="E10" s="58">
        <f t="shared" si="9"/>
        <v>3900</v>
      </c>
      <c r="F10" s="28">
        <f t="shared" si="9"/>
        <v>2800</v>
      </c>
      <c r="G10" s="57">
        <f t="shared" si="9"/>
        <v>1975</v>
      </c>
      <c r="H10" s="28">
        <f t="shared" si="9"/>
        <v>3375</v>
      </c>
      <c r="I10" s="57">
        <f t="shared" si="9"/>
        <v>1932</v>
      </c>
      <c r="J10" s="28">
        <f t="shared" si="9"/>
        <v>3101</v>
      </c>
      <c r="K10" s="57">
        <f t="shared" si="9"/>
        <v>2002</v>
      </c>
      <c r="L10" s="28">
        <f t="shared" si="9"/>
        <v>2916</v>
      </c>
      <c r="M10" s="57">
        <f t="shared" si="9"/>
        <v>2069.3500000000004</v>
      </c>
      <c r="N10" s="193">
        <f t="shared" si="9"/>
        <v>2724.1800000000003</v>
      </c>
      <c r="O10" s="57">
        <f t="shared" si="9"/>
        <v>2147.3352999999997</v>
      </c>
      <c r="P10" s="193">
        <f t="shared" si="9"/>
        <v>2529.6433999999999</v>
      </c>
      <c r="Q10" s="57">
        <f t="shared" si="9"/>
        <v>2230.2604030000002</v>
      </c>
      <c r="R10" s="193">
        <f t="shared" si="9"/>
        <v>2331.5156699999998</v>
      </c>
      <c r="S10" s="57">
        <f t="shared" si="9"/>
        <v>2318.4503284900006</v>
      </c>
      <c r="T10" s="193">
        <f t="shared" si="9"/>
        <v>2129.94648818</v>
      </c>
      <c r="U10" s="57">
        <f t="shared" si="9"/>
        <v>2412.2520166555005</v>
      </c>
      <c r="V10" s="193">
        <f t="shared" si="9"/>
        <v>1925.1120524838</v>
      </c>
      <c r="W10" s="57">
        <f t="shared" si="9"/>
        <v>2512.0358295994329</v>
      </c>
      <c r="Y10"/>
      <c r="AC10" s="58">
        <f>AC6-AC8</f>
        <v>4775</v>
      </c>
      <c r="AD10" s="58">
        <f>AD6-AD8</f>
        <v>5307</v>
      </c>
      <c r="AE10" s="58">
        <f>AE6-AE8</f>
        <v>5103</v>
      </c>
      <c r="AF10" s="58">
        <f>AF6-AF8</f>
        <v>4985.3500000000004</v>
      </c>
      <c r="AG10" s="58">
        <f>AG6-AG8</f>
        <v>4872.5153</v>
      </c>
      <c r="AH10" s="58">
        <f>AH6-AH8</f>
        <v>4760.9038030000002</v>
      </c>
      <c r="AI10" s="58">
        <f>AI6-AI8</f>
        <v>4650.9659984899999</v>
      </c>
      <c r="AJ10" s="58">
        <f>AJ6-AJ8</f>
        <v>4543.1985048355</v>
      </c>
      <c r="AK10" s="29">
        <f>AK6-AK8</f>
        <v>4438.1478820832326</v>
      </c>
      <c r="AM10"/>
    </row>
    <row r="11" spans="2:39" x14ac:dyDescent="0.3">
      <c r="B11" s="66" t="s">
        <v>169</v>
      </c>
      <c r="C11" s="59">
        <f>721-C13</f>
        <v>542</v>
      </c>
      <c r="D11" s="13">
        <f t="shared" si="7"/>
        <v>568</v>
      </c>
      <c r="E11" s="14">
        <f>1477-E13</f>
        <v>1110</v>
      </c>
      <c r="F11" s="59">
        <f>803-F13</f>
        <v>614</v>
      </c>
      <c r="G11" s="13">
        <f>AC11-F11</f>
        <v>746</v>
      </c>
      <c r="H11" s="59">
        <f>951-H13</f>
        <v>747</v>
      </c>
      <c r="I11" s="13">
        <f>AD11-H11</f>
        <v>745</v>
      </c>
      <c r="J11" s="59">
        <f>958-J13</f>
        <v>741</v>
      </c>
      <c r="K11" s="13">
        <f>AE11-J11</f>
        <v>311</v>
      </c>
      <c r="L11" s="59">
        <f>931-L13</f>
        <v>720</v>
      </c>
      <c r="M11" s="13">
        <f>AF11-L11</f>
        <v>955.37100000000009</v>
      </c>
      <c r="N11" s="49">
        <f>N12*N4-125</f>
        <v>737.28249999999991</v>
      </c>
      <c r="O11" s="49">
        <f>AG11-N11</f>
        <v>621.82962999999984</v>
      </c>
      <c r="P11" s="49">
        <f>P12*P4-125</f>
        <v>671.24147499999981</v>
      </c>
      <c r="Q11" s="49">
        <f>AH11-P11</f>
        <v>619.62401890000001</v>
      </c>
      <c r="R11" s="49">
        <f>R12*R4-125</f>
        <v>603.21921924999981</v>
      </c>
      <c r="S11" s="49">
        <f>AI11-R11</f>
        <v>617.35223946699978</v>
      </c>
      <c r="T11" s="49">
        <f>T12*T4-125</f>
        <v>533.15629582749989</v>
      </c>
      <c r="U11" s="49">
        <f>AJ11-T11</f>
        <v>615.01230665100979</v>
      </c>
      <c r="V11" s="49">
        <f>V12*V4-125</f>
        <v>460.9914847023249</v>
      </c>
      <c r="W11" s="13">
        <f>AK11-V11</f>
        <v>612.60217585053988</v>
      </c>
      <c r="AC11" s="14">
        <f>1751-AC13</f>
        <v>1360</v>
      </c>
      <c r="AD11" s="14">
        <f>1959-AD13</f>
        <v>1492</v>
      </c>
      <c r="AE11" s="14">
        <f>1987-AE13</f>
        <v>1052</v>
      </c>
      <c r="AF11" s="14">
        <f>AF12*AF4</f>
        <v>1675.3710000000001</v>
      </c>
      <c r="AG11" s="14">
        <f>AG12*AG4-250</f>
        <v>1359.1121299999998</v>
      </c>
      <c r="AH11" s="14">
        <f>AH12*AH4-250</f>
        <v>1290.8654938999998</v>
      </c>
      <c r="AI11" s="14">
        <f>AI12*AI4-250</f>
        <v>1220.5714587169996</v>
      </c>
      <c r="AJ11" s="14">
        <f>AJ12*AJ4-250</f>
        <v>1148.1686024785097</v>
      </c>
      <c r="AK11" s="60">
        <f>AK12*AK4-250</f>
        <v>1073.5936605528648</v>
      </c>
    </row>
    <row r="12" spans="2:39" s="7" customFormat="1" x14ac:dyDescent="0.3">
      <c r="B12" s="68" t="s">
        <v>62</v>
      </c>
      <c r="C12" s="7">
        <f t="shared" ref="C12:J12" si="10">C8/C4</f>
        <v>0.1416248746238716</v>
      </c>
      <c r="D12" s="8">
        <f t="shared" si="10"/>
        <v>0.17895285230528785</v>
      </c>
      <c r="E12" s="9">
        <f t="shared" si="10"/>
        <v>0.1578649138712602</v>
      </c>
      <c r="F12" s="7">
        <f t="shared" si="10"/>
        <v>0.14096324886725961</v>
      </c>
      <c r="G12" s="8">
        <f t="shared" si="10"/>
        <v>0.18093631379164909</v>
      </c>
      <c r="H12" s="7">
        <f t="shared" si="10"/>
        <v>0.13968521641371556</v>
      </c>
      <c r="I12" s="8">
        <f t="shared" si="10"/>
        <v>0.18820952001593308</v>
      </c>
      <c r="J12" s="7">
        <f t="shared" si="10"/>
        <v>0.14871016691957512</v>
      </c>
      <c r="K12" s="8">
        <f t="shared" ref="K12:L12" si="11">K8/K4</f>
        <v>0.1781150159744409</v>
      </c>
      <c r="L12" s="7">
        <f t="shared" si="11"/>
        <v>0.13876295336787564</v>
      </c>
      <c r="M12" s="8">
        <f>M8/M4</f>
        <v>0.16808861758332433</v>
      </c>
      <c r="N12" s="210">
        <v>0.15</v>
      </c>
      <c r="O12" s="8">
        <f t="shared" ref="O12" si="12">O8/O4</f>
        <v>0.15638311645455202</v>
      </c>
      <c r="P12" s="210">
        <v>0.15</v>
      </c>
      <c r="Q12" s="8">
        <f t="shared" ref="Q12" si="13">Q8/Q4</f>
        <v>0.14376712331700478</v>
      </c>
      <c r="R12" s="210">
        <v>0.15</v>
      </c>
      <c r="S12" s="8">
        <f t="shared" ref="S12" si="14">S8/S4</f>
        <v>0.13016950678276437</v>
      </c>
      <c r="T12" s="210">
        <v>0.15</v>
      </c>
      <c r="U12" s="8">
        <f t="shared" ref="U12" si="15">U8/U4</f>
        <v>0.11551340138961771</v>
      </c>
      <c r="V12" s="210">
        <v>0.15</v>
      </c>
      <c r="W12" s="8">
        <f t="shared" ref="W12" si="16">W8/W4</f>
        <v>9.9715720373822356E-2</v>
      </c>
      <c r="Y12"/>
      <c r="AC12" s="9">
        <f>AC8/AC4</f>
        <v>0.15867675918138491</v>
      </c>
      <c r="AD12" s="9">
        <f>AD8/AD4</f>
        <v>0.15975941336409327</v>
      </c>
      <c r="AE12" s="9">
        <f>AE8/AE4</f>
        <v>0.16140713916192448</v>
      </c>
      <c r="AF12" s="209">
        <v>0.15</v>
      </c>
      <c r="AG12" s="209">
        <v>0.15</v>
      </c>
      <c r="AH12" s="209">
        <v>0.15</v>
      </c>
      <c r="AI12" s="209">
        <v>0.15</v>
      </c>
      <c r="AJ12" s="209">
        <v>0.15</v>
      </c>
      <c r="AK12" s="53">
        <v>0.15</v>
      </c>
      <c r="AM12"/>
    </row>
    <row r="13" spans="2:39" x14ac:dyDescent="0.3">
      <c r="B13" s="66" t="s">
        <v>7</v>
      </c>
      <c r="C13" s="13">
        <f>Schedules!C9</f>
        <v>179</v>
      </c>
      <c r="D13" s="13">
        <f t="shared" si="7"/>
        <v>188</v>
      </c>
      <c r="E13" s="13">
        <f>Schedules!E9</f>
        <v>367</v>
      </c>
      <c r="F13" s="13">
        <f>Schedules!F9</f>
        <v>189</v>
      </c>
      <c r="G13" s="13">
        <f>AC13-F13</f>
        <v>202</v>
      </c>
      <c r="H13" s="13">
        <f>Schedules!H9</f>
        <v>204</v>
      </c>
      <c r="I13" s="13">
        <f>AD13-H13</f>
        <v>263</v>
      </c>
      <c r="J13" s="216">
        <f>Schedules!J9</f>
        <v>217</v>
      </c>
      <c r="K13" s="13">
        <f>AE13-J13</f>
        <v>718</v>
      </c>
      <c r="L13" s="216">
        <v>211</v>
      </c>
      <c r="M13" s="13">
        <f>Schedules!M9</f>
        <v>255.95999999999998</v>
      </c>
      <c r="N13" s="49">
        <f>Schedules!N9</f>
        <v>264.56947199999996</v>
      </c>
      <c r="O13" s="13">
        <f>Schedules!O9</f>
        <v>281.46203867999998</v>
      </c>
      <c r="P13" s="49">
        <f>Schedules!P9</f>
        <v>292.95384229919995</v>
      </c>
      <c r="Q13" s="13">
        <f>Schedules!Q9</f>
        <v>305.63378781124794</v>
      </c>
      <c r="R13" s="49">
        <f>Schedules!R9</f>
        <v>315.59147326077311</v>
      </c>
      <c r="S13" s="13">
        <f>Schedules!S9</f>
        <v>324.3283151966267</v>
      </c>
      <c r="T13" s="49">
        <f>Schedules!T9</f>
        <v>333.07800138457515</v>
      </c>
      <c r="U13" s="13">
        <f>Schedules!U9</f>
        <v>338.10326054294563</v>
      </c>
      <c r="V13" s="49">
        <f>Schedules!V9</f>
        <v>172.96876628155366</v>
      </c>
      <c r="W13" s="13">
        <f>Schedules!W9</f>
        <v>178.91354150245118</v>
      </c>
      <c r="AC13" s="13">
        <f>Schedules!AC9</f>
        <v>391</v>
      </c>
      <c r="AD13" s="13">
        <f>Schedules!AD9</f>
        <v>467</v>
      </c>
      <c r="AE13" s="13">
        <f>Schedules!AE9</f>
        <v>935</v>
      </c>
      <c r="AF13" s="14">
        <f>Schedules!AF9</f>
        <v>466.96</v>
      </c>
      <c r="AG13" s="14">
        <f>Schedules!AG9</f>
        <v>546.03151067999988</v>
      </c>
      <c r="AH13" s="14">
        <f>Schedules!AH9</f>
        <v>598.58763011044789</v>
      </c>
      <c r="AI13" s="14">
        <f>Schedules!AI9</f>
        <v>639.91978845739982</v>
      </c>
      <c r="AJ13" s="14">
        <f>Schedules!AJ9</f>
        <v>671.18126192752084</v>
      </c>
      <c r="AK13" s="60">
        <f>Schedules!AK9</f>
        <v>351.88230778400487</v>
      </c>
    </row>
    <row r="14" spans="2:39" x14ac:dyDescent="0.3">
      <c r="B14" s="66" t="s">
        <v>168</v>
      </c>
      <c r="C14" s="59">
        <v>61</v>
      </c>
      <c r="D14" s="13">
        <f t="shared" si="7"/>
        <v>1</v>
      </c>
      <c r="E14" s="14">
        <v>62</v>
      </c>
      <c r="F14" s="59">
        <v>2</v>
      </c>
      <c r="G14" s="13">
        <f>AC14-F14</f>
        <v>60</v>
      </c>
      <c r="H14" s="59">
        <v>-86</v>
      </c>
      <c r="I14" s="13">
        <f>AD14-H14</f>
        <v>169</v>
      </c>
      <c r="J14" s="59">
        <v>-142</v>
      </c>
      <c r="K14" s="13">
        <f>AE14-J14</f>
        <v>534</v>
      </c>
      <c r="L14" s="59">
        <v>88</v>
      </c>
      <c r="M14" s="13"/>
      <c r="N14" s="59"/>
      <c r="O14" s="13"/>
      <c r="P14" s="59"/>
      <c r="Q14" s="13"/>
      <c r="R14" s="59"/>
      <c r="S14" s="13"/>
      <c r="T14" s="59"/>
      <c r="U14" s="13"/>
      <c r="V14" s="59"/>
      <c r="W14" s="13"/>
      <c r="AC14" s="14">
        <v>62</v>
      </c>
      <c r="AD14" s="14">
        <v>83</v>
      </c>
      <c r="AE14" s="14">
        <v>392</v>
      </c>
      <c r="AF14" s="14">
        <f>L14+M14</f>
        <v>88</v>
      </c>
      <c r="AG14" s="14"/>
      <c r="AH14" s="14"/>
      <c r="AI14" s="14"/>
      <c r="AJ14" s="14"/>
      <c r="AK14" s="60"/>
    </row>
    <row r="15" spans="2:39" x14ac:dyDescent="0.3">
      <c r="B15" s="67" t="s">
        <v>8</v>
      </c>
      <c r="C15" s="28">
        <f>C6-C8-C11-C13-C14+1</f>
        <v>1534</v>
      </c>
      <c r="D15" s="57">
        <f t="shared" ref="D15" si="17">D6-D8-D11-D13-D14</f>
        <v>828</v>
      </c>
      <c r="E15" s="58">
        <f>E6-E8-E11-E13-E14</f>
        <v>2361</v>
      </c>
      <c r="F15" s="28">
        <f t="shared" ref="F15:I15" si="18">F6-F8-F11-F13-F14</f>
        <v>1995</v>
      </c>
      <c r="G15" s="57">
        <f t="shared" si="18"/>
        <v>967</v>
      </c>
      <c r="H15" s="28">
        <f>H6-H8-H11-H13-H14-1</f>
        <v>2509</v>
      </c>
      <c r="I15" s="57">
        <f t="shared" si="18"/>
        <v>755</v>
      </c>
      <c r="J15" s="28">
        <f>J6-J8-J11-J13-J14</f>
        <v>2285</v>
      </c>
      <c r="K15" s="57">
        <f t="shared" ref="K15" si="19">K6-K8-K11-K13-K14</f>
        <v>439</v>
      </c>
      <c r="L15" s="28">
        <f>L6-L8-L11-L13-L14</f>
        <v>1897</v>
      </c>
      <c r="M15" s="57">
        <f t="shared" ref="M15:W15" si="20">M6-M8-M11-M13-M14</f>
        <v>858.01900000000023</v>
      </c>
      <c r="N15" s="28">
        <f t="shared" si="20"/>
        <v>1722.3280280000006</v>
      </c>
      <c r="O15" s="57">
        <f t="shared" si="20"/>
        <v>1244.04363132</v>
      </c>
      <c r="P15" s="28">
        <f t="shared" si="20"/>
        <v>1565.4480827008001</v>
      </c>
      <c r="Q15" s="57">
        <f t="shared" si="20"/>
        <v>1305.0025962887523</v>
      </c>
      <c r="R15" s="28">
        <f t="shared" si="20"/>
        <v>1412.7049774892271</v>
      </c>
      <c r="S15" s="57">
        <f t="shared" si="20"/>
        <v>1376.7697738263741</v>
      </c>
      <c r="T15" s="28">
        <f t="shared" si="20"/>
        <v>1263.7121909679249</v>
      </c>
      <c r="U15" s="57">
        <f t="shared" si="20"/>
        <v>1459.136449461545</v>
      </c>
      <c r="V15" s="28">
        <f t="shared" si="20"/>
        <v>1291.1518014999215</v>
      </c>
      <c r="W15" s="57">
        <f t="shared" si="20"/>
        <v>1720.5201122464418</v>
      </c>
      <c r="AC15" s="58">
        <f>AC6-AC8-AC11-AC13-AC14</f>
        <v>2962</v>
      </c>
      <c r="AD15" s="58">
        <f>AD6-AD8-AD11-AD13-AD14</f>
        <v>3265</v>
      </c>
      <c r="AE15" s="58">
        <f>AE6-AE8-AE11-AE13-AE14</f>
        <v>2724</v>
      </c>
      <c r="AF15" s="58">
        <f>AF6-AF8-AF11-AF13-AF14</f>
        <v>2755.0190000000002</v>
      </c>
      <c r="AG15" s="58">
        <f>AG6-AG8-AG11-AG13-AG14</f>
        <v>2967.3716593200006</v>
      </c>
      <c r="AH15" s="58">
        <f>AH6-AH8-AH11-AH13-AH14</f>
        <v>2871.4506789895522</v>
      </c>
      <c r="AI15" s="58">
        <f>AI6-AI8-AI11-AI13-AI14</f>
        <v>2790.4747513156008</v>
      </c>
      <c r="AJ15" s="58">
        <f>AJ6-AJ8-AJ11-AJ13-AJ14</f>
        <v>2723.8486404294699</v>
      </c>
      <c r="AK15" s="29">
        <f>AK6-AK8-AK11-AK13-AK14</f>
        <v>3012.6719137463629</v>
      </c>
    </row>
    <row r="16" spans="2:39" s="7" customFormat="1" x14ac:dyDescent="0.3">
      <c r="B16" s="68" t="s">
        <v>9</v>
      </c>
      <c r="C16" s="7">
        <f t="shared" ref="C16:I16" si="21">C15/C4</f>
        <v>0.30772316950852557</v>
      </c>
      <c r="D16" s="8">
        <f t="shared" si="21"/>
        <v>0.21568116697056525</v>
      </c>
      <c r="E16" s="9">
        <f t="shared" si="21"/>
        <v>0.26756572982774252</v>
      </c>
      <c r="F16" s="7">
        <f t="shared" si="21"/>
        <v>0.33478771605974156</v>
      </c>
      <c r="G16" s="8">
        <f t="shared" si="21"/>
        <v>0.20392239561366513</v>
      </c>
      <c r="H16" s="7">
        <f t="shared" si="21"/>
        <v>0.35258572231590779</v>
      </c>
      <c r="I16" s="8">
        <f t="shared" si="21"/>
        <v>0.15036845249950209</v>
      </c>
      <c r="J16" s="7">
        <f t="shared" ref="J16:W16" si="22">J15/J4</f>
        <v>0.34673748103186647</v>
      </c>
      <c r="K16" s="8">
        <f t="shared" si="22"/>
        <v>8.7659744408945681E-2</v>
      </c>
      <c r="L16" s="7">
        <f t="shared" si="22"/>
        <v>0.30715673575129532</v>
      </c>
      <c r="M16" s="8">
        <f t="shared" si="22"/>
        <v>0.17183956388164567</v>
      </c>
      <c r="N16" s="7">
        <f t="shared" si="22"/>
        <v>0.29961086326117037</v>
      </c>
      <c r="O16" s="8">
        <f t="shared" si="22"/>
        <v>0.24986494536645526</v>
      </c>
      <c r="P16" s="7">
        <f t="shared" si="22"/>
        <v>0.29490703483528041</v>
      </c>
      <c r="Q16" s="8">
        <f t="shared" si="22"/>
        <v>0.26288487139118366</v>
      </c>
      <c r="R16" s="7">
        <f t="shared" si="22"/>
        <v>0.29099169731008734</v>
      </c>
      <c r="S16" s="8">
        <f t="shared" si="22"/>
        <v>0.27819066892319433</v>
      </c>
      <c r="T16" s="7">
        <f t="shared" si="22"/>
        <v>0.28801187475819701</v>
      </c>
      <c r="U16" s="8">
        <f t="shared" si="22"/>
        <v>0.29576598314931957</v>
      </c>
      <c r="V16" s="7">
        <f t="shared" si="22"/>
        <v>0.33050441052632556</v>
      </c>
      <c r="W16" s="8">
        <f t="shared" si="22"/>
        <v>0.34988781932397711</v>
      </c>
      <c r="Y16"/>
      <c r="AC16" s="9">
        <f>AC15/AC4</f>
        <v>0.27679656106905898</v>
      </c>
      <c r="AD16" s="9">
        <f>AD15/AD4</f>
        <v>0.26901211172447886</v>
      </c>
      <c r="AE16" s="9">
        <f>AE15/AE4</f>
        <v>0.23486808070356957</v>
      </c>
      <c r="AF16" s="9">
        <f>AF15/AF4</f>
        <v>0.24666348528176743</v>
      </c>
      <c r="AG16" s="9">
        <f>AG15/AG4</f>
        <v>0.27661574392457045</v>
      </c>
      <c r="AH16" s="9">
        <f>AH15/AH4</f>
        <v>0.2795296562571904</v>
      </c>
      <c r="AI16" s="9">
        <f>AI15/AI4</f>
        <v>0.2846316717329212</v>
      </c>
      <c r="AJ16" s="9">
        <f>AJ15/AJ4</f>
        <v>0.29222319492809556</v>
      </c>
      <c r="AK16" s="53">
        <f>AK15/AK4</f>
        <v>0.34141957651353178</v>
      </c>
      <c r="AM16"/>
    </row>
    <row r="17" spans="2:39" x14ac:dyDescent="0.3">
      <c r="B17" s="66" t="s">
        <v>170</v>
      </c>
      <c r="C17" s="59">
        <v>265</v>
      </c>
      <c r="D17" s="13">
        <f t="shared" ref="D17" si="23">E17-C17</f>
        <v>145</v>
      </c>
      <c r="E17" s="14">
        <v>410</v>
      </c>
      <c r="F17" s="59">
        <v>154</v>
      </c>
      <c r="G17" s="13">
        <f>AC17-F17</f>
        <v>154</v>
      </c>
      <c r="H17" s="59">
        <v>163</v>
      </c>
      <c r="I17" s="13">
        <f>AD17-H17</f>
        <v>217</v>
      </c>
      <c r="J17" s="59">
        <v>249</v>
      </c>
      <c r="K17" s="13">
        <f>AE17-J17</f>
        <v>256</v>
      </c>
      <c r="L17" s="59">
        <v>287</v>
      </c>
      <c r="M17" s="13">
        <f>Schedules!M32</f>
        <v>173.56</v>
      </c>
      <c r="N17" s="59">
        <f>Schedules!N32</f>
        <v>300.35000000000002</v>
      </c>
      <c r="O17" s="13">
        <f>Schedules!O32</f>
        <v>200.20999999999998</v>
      </c>
      <c r="P17" s="59">
        <f>Schedules!P32</f>
        <v>325.35000000000002</v>
      </c>
      <c r="Q17" s="13">
        <f>Schedules!Q32</f>
        <v>215.21000000000004</v>
      </c>
      <c r="R17" s="59">
        <f>Schedules!R32</f>
        <v>350.35</v>
      </c>
      <c r="S17" s="13">
        <f>Schedules!S32</f>
        <v>230.21000000000004</v>
      </c>
      <c r="T17" s="59">
        <f>Schedules!T32</f>
        <v>375.35</v>
      </c>
      <c r="U17" s="13">
        <f>Schedules!U32</f>
        <v>245.21000000000004</v>
      </c>
      <c r="V17" s="59">
        <f>Schedules!V32</f>
        <v>400.35</v>
      </c>
      <c r="W17" s="13">
        <f>Schedules!W32</f>
        <v>260.21000000000004</v>
      </c>
      <c r="Z17" s="59"/>
      <c r="AC17" s="14">
        <v>308</v>
      </c>
      <c r="AD17" s="14">
        <v>380</v>
      </c>
      <c r="AE17" s="14">
        <v>505</v>
      </c>
      <c r="AF17" s="14">
        <f>Schedules!AF32</f>
        <v>460.56</v>
      </c>
      <c r="AG17" s="14">
        <f>Schedules!AG32</f>
        <v>500.56</v>
      </c>
      <c r="AH17" s="14">
        <f>Schedules!AH32</f>
        <v>540.56000000000006</v>
      </c>
      <c r="AI17" s="14">
        <f>Schedules!AI32</f>
        <v>580.56000000000006</v>
      </c>
      <c r="AJ17" s="14">
        <f>Schedules!AJ32</f>
        <v>620.56000000000006</v>
      </c>
      <c r="AK17" s="60">
        <f>Schedules!AK32</f>
        <v>660.56000000000006</v>
      </c>
    </row>
    <row r="18" spans="2:39" x14ac:dyDescent="0.3">
      <c r="B18" s="66" t="s">
        <v>171</v>
      </c>
      <c r="C18" s="59">
        <v>12</v>
      </c>
      <c r="D18" s="13">
        <f t="shared" ref="D18:D19" si="24">E18-C18</f>
        <v>27</v>
      </c>
      <c r="E18" s="14">
        <v>39</v>
      </c>
      <c r="F18" s="59">
        <v>20</v>
      </c>
      <c r="G18" s="13">
        <f>AC18-F18</f>
        <v>28</v>
      </c>
      <c r="H18" s="59">
        <v>24</v>
      </c>
      <c r="I18" s="13">
        <f>AD18-H18</f>
        <v>29</v>
      </c>
      <c r="J18" s="59">
        <v>31</v>
      </c>
      <c r="K18" s="13">
        <f>AE18-J18</f>
        <v>37</v>
      </c>
      <c r="L18" s="59">
        <v>39</v>
      </c>
      <c r="M18" s="13"/>
      <c r="N18" s="59"/>
      <c r="O18" s="13"/>
      <c r="P18" s="59"/>
      <c r="Q18" s="13"/>
      <c r="R18" s="59"/>
      <c r="S18" s="13"/>
      <c r="T18" s="59"/>
      <c r="U18" s="13"/>
      <c r="V18" s="59"/>
      <c r="W18" s="13"/>
      <c r="AC18" s="14">
        <v>48</v>
      </c>
      <c r="AD18" s="14">
        <v>53</v>
      </c>
      <c r="AE18" s="14">
        <v>68</v>
      </c>
      <c r="AF18" s="14">
        <f>L18+M18</f>
        <v>39</v>
      </c>
      <c r="AG18" s="14"/>
      <c r="AH18" s="14"/>
      <c r="AI18" s="14"/>
      <c r="AJ18" s="14"/>
      <c r="AK18" s="60"/>
    </row>
    <row r="19" spans="2:39" x14ac:dyDescent="0.3">
      <c r="B19" s="66" t="s">
        <v>134</v>
      </c>
      <c r="C19" s="59"/>
      <c r="D19" s="13">
        <f t="shared" si="24"/>
        <v>0</v>
      </c>
      <c r="E19" s="14"/>
      <c r="F19" s="59">
        <v>0</v>
      </c>
      <c r="G19" s="13">
        <f>AC19-F19</f>
        <v>0</v>
      </c>
      <c r="H19" s="59"/>
      <c r="I19" s="13">
        <f>AD19-H19</f>
        <v>0</v>
      </c>
      <c r="J19" s="59"/>
      <c r="K19" s="13">
        <f>AE19-J19</f>
        <v>0</v>
      </c>
      <c r="L19" s="59"/>
      <c r="M19" s="13"/>
      <c r="N19" s="59"/>
      <c r="O19" s="13"/>
      <c r="P19" s="59"/>
      <c r="Q19" s="13"/>
      <c r="R19" s="59"/>
      <c r="S19" s="13"/>
      <c r="T19" s="59"/>
      <c r="U19" s="13"/>
      <c r="V19" s="59"/>
      <c r="W19" s="13"/>
      <c r="AC19" s="14"/>
      <c r="AD19" s="14"/>
      <c r="AE19" s="14"/>
      <c r="AF19" s="14"/>
      <c r="AG19" s="14"/>
      <c r="AH19" s="14"/>
      <c r="AI19" s="14"/>
      <c r="AJ19" s="14"/>
      <c r="AK19" s="60"/>
    </row>
    <row r="20" spans="2:39" x14ac:dyDescent="0.3">
      <c r="B20" s="67" t="s">
        <v>10</v>
      </c>
      <c r="C20" s="28">
        <f t="shared" ref="C20:G20" si="25">C15-C17+C18-C19</f>
        <v>1281</v>
      </c>
      <c r="D20" s="57">
        <f t="shared" si="25"/>
        <v>710</v>
      </c>
      <c r="E20" s="58">
        <f t="shared" si="25"/>
        <v>1990</v>
      </c>
      <c r="F20" s="28">
        <f t="shared" si="25"/>
        <v>1861</v>
      </c>
      <c r="G20" s="57">
        <f t="shared" si="25"/>
        <v>841</v>
      </c>
      <c r="H20" s="28">
        <f t="shared" ref="H20:W20" si="26">H15-H17+H18-H19</f>
        <v>2370</v>
      </c>
      <c r="I20" s="57">
        <f t="shared" si="26"/>
        <v>567</v>
      </c>
      <c r="J20" s="28">
        <f t="shared" si="26"/>
        <v>2067</v>
      </c>
      <c r="K20" s="57">
        <f t="shared" ref="K20:L20" si="27">K15-K17+K18-K19</f>
        <v>220</v>
      </c>
      <c r="L20" s="28">
        <f t="shared" si="27"/>
        <v>1649</v>
      </c>
      <c r="M20" s="57">
        <f t="shared" si="26"/>
        <v>684.45900000000029</v>
      </c>
      <c r="N20" s="28">
        <f t="shared" si="26"/>
        <v>1421.9780280000004</v>
      </c>
      <c r="O20" s="57">
        <f t="shared" si="26"/>
        <v>1043.83363132</v>
      </c>
      <c r="P20" s="28">
        <f t="shared" si="26"/>
        <v>1240.0980827008002</v>
      </c>
      <c r="Q20" s="57">
        <f t="shared" si="26"/>
        <v>1089.7925962887523</v>
      </c>
      <c r="R20" s="28">
        <f t="shared" si="26"/>
        <v>1062.3549774892272</v>
      </c>
      <c r="S20" s="57">
        <f t="shared" si="26"/>
        <v>1146.5597738263741</v>
      </c>
      <c r="T20" s="28">
        <f t="shared" si="26"/>
        <v>888.3621909679249</v>
      </c>
      <c r="U20" s="57">
        <f t="shared" si="26"/>
        <v>1213.926449461545</v>
      </c>
      <c r="V20" s="28">
        <f t="shared" si="26"/>
        <v>890.80180149992145</v>
      </c>
      <c r="W20" s="57">
        <f t="shared" si="26"/>
        <v>1460.3101122464418</v>
      </c>
      <c r="AC20" s="58">
        <f>AC15-AC17+AC18-AC19</f>
        <v>2702</v>
      </c>
      <c r="AD20" s="58">
        <f>AD15-AD17+AD18-AD19</f>
        <v>2938</v>
      </c>
      <c r="AE20" s="58">
        <f>AE15-AE17+AE18-AE19</f>
        <v>2287</v>
      </c>
      <c r="AF20" s="58">
        <f>AF15-AF17+AF18-AF19</f>
        <v>2333.4590000000003</v>
      </c>
      <c r="AG20" s="58">
        <f>AG15-AG17+AG18-AG19</f>
        <v>2466.8116593200007</v>
      </c>
      <c r="AH20" s="58">
        <f>AH15-AH17+AH18-AH19</f>
        <v>2330.8906789895523</v>
      </c>
      <c r="AI20" s="58">
        <f>AI15-AI17+AI18-AI19</f>
        <v>2209.9147513156008</v>
      </c>
      <c r="AJ20" s="58">
        <f>AJ15-AJ17+AJ18-AJ19</f>
        <v>2103.28864042947</v>
      </c>
      <c r="AK20" s="29">
        <f>AK15-AK17+AK18-AK19</f>
        <v>2352.1119137463629</v>
      </c>
    </row>
    <row r="21" spans="2:39" s="7" customFormat="1" x14ac:dyDescent="0.3">
      <c r="B21" s="68" t="s">
        <v>11</v>
      </c>
      <c r="C21" s="7">
        <f t="shared" ref="C21:I21" si="28">C20/C4</f>
        <v>0.25697091273821465</v>
      </c>
      <c r="D21" s="8">
        <f t="shared" si="28"/>
        <v>0.18494399583224799</v>
      </c>
      <c r="E21" s="9">
        <f t="shared" si="28"/>
        <v>0.22552130553037172</v>
      </c>
      <c r="F21" s="7">
        <f t="shared" si="28"/>
        <v>0.31230072159758349</v>
      </c>
      <c r="G21" s="8">
        <f t="shared" si="28"/>
        <v>0.177351328553353</v>
      </c>
      <c r="H21" s="7">
        <f t="shared" si="28"/>
        <v>0.33305227655986508</v>
      </c>
      <c r="I21" s="8">
        <f t="shared" si="28"/>
        <v>0.11292571200955985</v>
      </c>
      <c r="J21" s="7">
        <f t="shared" ref="J21:W21" si="29">J20/J4</f>
        <v>0.31365705614567524</v>
      </c>
      <c r="K21" s="8">
        <f t="shared" si="29"/>
        <v>4.3929712460063899E-2</v>
      </c>
      <c r="L21" s="7">
        <f t="shared" si="29"/>
        <v>0.26700129533678757</v>
      </c>
      <c r="M21" s="8">
        <f t="shared" si="29"/>
        <v>0.13707987358656085</v>
      </c>
      <c r="N21" s="7">
        <f t="shared" si="29"/>
        <v>0.2473629050804117</v>
      </c>
      <c r="O21" s="8">
        <f t="shared" si="29"/>
        <v>0.20965296288257873</v>
      </c>
      <c r="P21" s="7">
        <f t="shared" si="29"/>
        <v>0.23361595476437605</v>
      </c>
      <c r="Q21" s="8">
        <f t="shared" si="29"/>
        <v>0.21953211996142449</v>
      </c>
      <c r="R21" s="7">
        <f t="shared" si="29"/>
        <v>0.21882592825207711</v>
      </c>
      <c r="S21" s="8">
        <f t="shared" si="29"/>
        <v>0.23167434127690989</v>
      </c>
      <c r="T21" s="7">
        <f t="shared" si="29"/>
        <v>0.20246608516849038</v>
      </c>
      <c r="U21" s="8">
        <f t="shared" si="29"/>
        <v>0.246062080025792</v>
      </c>
      <c r="V21" s="7">
        <f t="shared" si="29"/>
        <v>0.22802425242214119</v>
      </c>
      <c r="W21" s="8">
        <f t="shared" si="29"/>
        <v>0.29697108279863788</v>
      </c>
      <c r="Y21"/>
      <c r="AC21" s="9">
        <f>AC20/AC4</f>
        <v>0.25249976637697413</v>
      </c>
      <c r="AD21" s="9">
        <f>AD20/AD4</f>
        <v>0.24206970421026613</v>
      </c>
      <c r="AE21" s="9">
        <f>AE20/AE4</f>
        <v>0.19718917054664598</v>
      </c>
      <c r="AF21" s="9">
        <f>AF20/AF4</f>
        <v>0.20892020334600517</v>
      </c>
      <c r="AG21" s="9">
        <f>AG20/AG4</f>
        <v>0.22995398642479944</v>
      </c>
      <c r="AH21" s="9">
        <f>AH20/AH4</f>
        <v>0.22690728245428773</v>
      </c>
      <c r="AI21" s="9">
        <f>AI20/AI4</f>
        <v>0.22541387617201969</v>
      </c>
      <c r="AJ21" s="9">
        <f>AJ20/AJ4</f>
        <v>0.22564753314096089</v>
      </c>
      <c r="AK21" s="53">
        <f>AK20/AK4</f>
        <v>0.2665597438073124</v>
      </c>
      <c r="AM21"/>
    </row>
    <row r="22" spans="2:39" x14ac:dyDescent="0.3">
      <c r="B22" s="66" t="s">
        <v>12</v>
      </c>
      <c r="C22" s="59">
        <v>294</v>
      </c>
      <c r="D22" s="13">
        <f>E22-C22</f>
        <v>373</v>
      </c>
      <c r="E22" s="14">
        <v>667</v>
      </c>
      <c r="F22" s="59">
        <v>452</v>
      </c>
      <c r="G22" s="13">
        <f>AC22-F22</f>
        <v>224</v>
      </c>
      <c r="H22" s="59">
        <v>553</v>
      </c>
      <c r="I22" s="13">
        <f>AD22-H22</f>
        <v>98</v>
      </c>
      <c r="J22" s="59">
        <v>466</v>
      </c>
      <c r="K22" s="13">
        <f>AE22-J22</f>
        <v>300</v>
      </c>
      <c r="L22" s="59">
        <v>433</v>
      </c>
      <c r="M22" s="13">
        <f>AF22-L22</f>
        <v>103.69557000000009</v>
      </c>
      <c r="N22" s="49">
        <f>N23*N20</f>
        <v>327.05494644000009</v>
      </c>
      <c r="O22" s="13">
        <f>AG22-N22</f>
        <v>240.31173520360005</v>
      </c>
      <c r="P22" s="49">
        <f>P23*P20</f>
        <v>285.22255902118405</v>
      </c>
      <c r="Q22" s="13">
        <f>AH22-P22</f>
        <v>250.88229714641301</v>
      </c>
      <c r="R22" s="49">
        <f>R23*R20</f>
        <v>159.35324662338408</v>
      </c>
      <c r="S22" s="13">
        <f>AI22-R22</f>
        <v>172.13396607395603</v>
      </c>
      <c r="T22" s="49">
        <f>T23*T20</f>
        <v>133.25432864518874</v>
      </c>
      <c r="U22" s="13">
        <f>AJ22-T22</f>
        <v>182.23896741923173</v>
      </c>
      <c r="V22" s="49">
        <f>V23*V20</f>
        <v>133.62027022498822</v>
      </c>
      <c r="W22" s="13">
        <f>AK22-V22</f>
        <v>219.1965168369662</v>
      </c>
      <c r="AC22" s="14">
        <v>676</v>
      </c>
      <c r="AD22" s="14">
        <v>651</v>
      </c>
      <c r="AE22" s="14">
        <v>766</v>
      </c>
      <c r="AF22" s="14">
        <f>AF23*AF20</f>
        <v>536.69557000000009</v>
      </c>
      <c r="AG22" s="14">
        <f>AG23*AG20</f>
        <v>567.36668164360015</v>
      </c>
      <c r="AH22" s="14">
        <f>AH23*AH20</f>
        <v>536.10485616759706</v>
      </c>
      <c r="AI22" s="14">
        <f>AI23*AI20</f>
        <v>331.48721269734011</v>
      </c>
      <c r="AJ22" s="14">
        <f>AJ23*AJ20</f>
        <v>315.49329606442046</v>
      </c>
      <c r="AK22" s="60">
        <f>AK23*AK20</f>
        <v>352.81678706195441</v>
      </c>
    </row>
    <row r="23" spans="2:39" s="7" customFormat="1" x14ac:dyDescent="0.3">
      <c r="B23" s="68" t="s">
        <v>15</v>
      </c>
      <c r="C23" s="7">
        <f t="shared" ref="C23:I23" si="30">C22/C20</f>
        <v>0.22950819672131148</v>
      </c>
      <c r="D23" s="8">
        <f t="shared" si="30"/>
        <v>0.5253521126760563</v>
      </c>
      <c r="E23" s="9">
        <f t="shared" si="30"/>
        <v>0.3351758793969849</v>
      </c>
      <c r="F23" s="7">
        <f t="shared" si="30"/>
        <v>0.24288017195056422</v>
      </c>
      <c r="G23" s="8">
        <f t="shared" si="30"/>
        <v>0.26634958382877527</v>
      </c>
      <c r="H23" s="7">
        <f t="shared" si="30"/>
        <v>0.23333333333333334</v>
      </c>
      <c r="I23" s="8">
        <f t="shared" si="30"/>
        <v>0.1728395061728395</v>
      </c>
      <c r="J23" s="7">
        <f t="shared" ref="J23:M23" si="31">J22/J20</f>
        <v>0.2254475084663764</v>
      </c>
      <c r="K23" s="8">
        <f t="shared" si="31"/>
        <v>1.3636363636363635</v>
      </c>
      <c r="L23" s="7">
        <f t="shared" ref="L23" si="32">L22/L20</f>
        <v>0.26258338386901153</v>
      </c>
      <c r="M23" s="8">
        <f t="shared" si="31"/>
        <v>0.15150004602174863</v>
      </c>
      <c r="N23" s="220">
        <v>0.23</v>
      </c>
      <c r="O23" s="8">
        <f t="shared" ref="O23" si="33">O22/O20</f>
        <v>0.23022034162638466</v>
      </c>
      <c r="P23" s="220">
        <v>0.23</v>
      </c>
      <c r="Q23" s="8">
        <f t="shared" ref="Q23" si="34">Q22/Q20</f>
        <v>0.23021104933249065</v>
      </c>
      <c r="R23" s="220">
        <v>0.15</v>
      </c>
      <c r="S23" s="8">
        <f t="shared" ref="S23" si="35">S22/S20</f>
        <v>0.15013082614916737</v>
      </c>
      <c r="T23" s="220">
        <v>0.15</v>
      </c>
      <c r="U23" s="8">
        <f t="shared" ref="U23" si="36">U22/U20</f>
        <v>0.15012356597062904</v>
      </c>
      <c r="V23" s="220">
        <v>0.15</v>
      </c>
      <c r="W23" s="8">
        <f t="shared" ref="W23" si="37">W22/W20</f>
        <v>0.15010271790816349</v>
      </c>
      <c r="Y23"/>
      <c r="AC23" s="9">
        <f>AC22/AC20</f>
        <v>0.25018504811250925</v>
      </c>
      <c r="AD23" s="9">
        <f>AD22/AD20</f>
        <v>0.22157930565010212</v>
      </c>
      <c r="AE23" s="9">
        <f>AE22/AE20</f>
        <v>0.33493659816353299</v>
      </c>
      <c r="AF23" s="221">
        <v>0.23</v>
      </c>
      <c r="AG23" s="221">
        <v>0.23</v>
      </c>
      <c r="AH23" s="221">
        <v>0.23</v>
      </c>
      <c r="AI23" s="221">
        <v>0.15</v>
      </c>
      <c r="AJ23" s="221">
        <v>0.15</v>
      </c>
      <c r="AK23" s="222">
        <v>0.15</v>
      </c>
      <c r="AM23"/>
    </row>
    <row r="24" spans="2:39" x14ac:dyDescent="0.3">
      <c r="B24" s="66" t="s">
        <v>13</v>
      </c>
      <c r="C24" s="59">
        <v>-2</v>
      </c>
      <c r="D24" s="13">
        <f>E24-C24</f>
        <v>-2</v>
      </c>
      <c r="E24" s="14">
        <v>-4</v>
      </c>
      <c r="F24" s="59">
        <v>2</v>
      </c>
      <c r="G24" s="13">
        <f>AC24-F24</f>
        <v>3</v>
      </c>
      <c r="H24" s="59">
        <v>-4</v>
      </c>
      <c r="I24" s="13">
        <f>AD24-H24</f>
        <v>0</v>
      </c>
      <c r="J24" s="59">
        <v>-2</v>
      </c>
      <c r="K24" s="13">
        <f>AE24-J24</f>
        <v>-5</v>
      </c>
      <c r="L24" s="59">
        <v>-3</v>
      </c>
      <c r="M24" s="13"/>
      <c r="N24" s="59"/>
      <c r="O24" s="13"/>
      <c r="P24" s="59"/>
      <c r="Q24" s="13"/>
      <c r="R24" s="59"/>
      <c r="S24" s="13"/>
      <c r="T24" s="59"/>
      <c r="U24" s="13"/>
      <c r="V24" s="59"/>
      <c r="W24" s="13"/>
      <c r="AC24" s="14">
        <v>5</v>
      </c>
      <c r="AD24" s="14">
        <v>-4</v>
      </c>
      <c r="AE24" s="14">
        <v>-7</v>
      </c>
      <c r="AF24" s="14">
        <f>L24+M24</f>
        <v>-3</v>
      </c>
      <c r="AG24" s="14"/>
      <c r="AH24" s="14"/>
      <c r="AI24" s="14"/>
      <c r="AJ24" s="14"/>
      <c r="AK24" s="60"/>
    </row>
    <row r="25" spans="2:39" x14ac:dyDescent="0.3">
      <c r="B25" s="67" t="s">
        <v>24</v>
      </c>
      <c r="C25" s="28">
        <f t="shared" ref="C25:W25" si="38">C27+C29</f>
        <v>1002</v>
      </c>
      <c r="D25" s="57">
        <f t="shared" si="38"/>
        <v>330</v>
      </c>
      <c r="E25" s="58">
        <f t="shared" si="38"/>
        <v>1331</v>
      </c>
      <c r="F25" s="28">
        <f t="shared" si="38"/>
        <v>1432</v>
      </c>
      <c r="G25" s="57">
        <f t="shared" si="38"/>
        <v>634</v>
      </c>
      <c r="H25" s="28">
        <f t="shared" si="38"/>
        <v>1834</v>
      </c>
      <c r="I25" s="57">
        <f t="shared" si="38"/>
        <v>469</v>
      </c>
      <c r="J25" s="28">
        <f t="shared" si="38"/>
        <v>1629</v>
      </c>
      <c r="K25" s="57">
        <f t="shared" ref="K25:L25" si="39">K27+K29</f>
        <v>-77</v>
      </c>
      <c r="L25" s="28">
        <f t="shared" si="39"/>
        <v>1237</v>
      </c>
      <c r="M25" s="57">
        <f t="shared" si="38"/>
        <v>580.7634300000002</v>
      </c>
      <c r="N25" s="28">
        <f t="shared" si="38"/>
        <v>1094.9230815600004</v>
      </c>
      <c r="O25" s="57">
        <f t="shared" si="38"/>
        <v>803.52189611639994</v>
      </c>
      <c r="P25" s="28">
        <f t="shared" si="38"/>
        <v>954.87552367961621</v>
      </c>
      <c r="Q25" s="57">
        <f t="shared" si="38"/>
        <v>838.91029914233923</v>
      </c>
      <c r="R25" s="28">
        <f t="shared" si="38"/>
        <v>903.00173086584311</v>
      </c>
      <c r="S25" s="57">
        <f t="shared" si="38"/>
        <v>974.42580775241811</v>
      </c>
      <c r="T25" s="28">
        <f t="shared" si="38"/>
        <v>755.1078623227362</v>
      </c>
      <c r="U25" s="57">
        <f t="shared" si="38"/>
        <v>1031.6874820423131</v>
      </c>
      <c r="V25" s="28">
        <f t="shared" si="38"/>
        <v>757.18153127493326</v>
      </c>
      <c r="W25" s="57">
        <f t="shared" si="38"/>
        <v>1241.1135954094757</v>
      </c>
      <c r="AC25" s="58">
        <f>AC27+AC29</f>
        <v>2065</v>
      </c>
      <c r="AD25" s="58">
        <f>AD27+AD29</f>
        <v>2304</v>
      </c>
      <c r="AE25" s="58">
        <f>AE27+AE29</f>
        <v>1552</v>
      </c>
      <c r="AF25" s="58">
        <f>AF27+AF29</f>
        <v>1817.7634300000002</v>
      </c>
      <c r="AG25" s="58">
        <f>AG27+AG29</f>
        <v>1899.4449776764004</v>
      </c>
      <c r="AH25" s="58">
        <f>AH27+AH29</f>
        <v>1794.7858228219552</v>
      </c>
      <c r="AI25" s="58">
        <f>AI27+AI29</f>
        <v>1878.4275386182608</v>
      </c>
      <c r="AJ25" s="58">
        <f>AJ27+AJ29</f>
        <v>1787.7953443650495</v>
      </c>
      <c r="AK25" s="29">
        <f>AK27+AK29</f>
        <v>1999.2951266844084</v>
      </c>
    </row>
    <row r="26" spans="2:39" s="15" customFormat="1" x14ac:dyDescent="0.3">
      <c r="B26" s="69" t="s">
        <v>23</v>
      </c>
      <c r="C26" s="61">
        <v>0</v>
      </c>
      <c r="D26" s="13">
        <f>E26-C26</f>
        <v>0</v>
      </c>
      <c r="E26" s="62"/>
      <c r="F26" s="61">
        <v>0</v>
      </c>
      <c r="G26" s="13">
        <f>AC26-F26</f>
        <v>0</v>
      </c>
      <c r="H26" s="61">
        <v>0</v>
      </c>
      <c r="I26" s="13">
        <f>AD26-H26</f>
        <v>0</v>
      </c>
      <c r="J26" s="61">
        <v>0</v>
      </c>
      <c r="K26" s="13">
        <f>AE26-J26</f>
        <v>0</v>
      </c>
      <c r="L26" s="61"/>
      <c r="M26" s="13"/>
      <c r="N26" s="59"/>
      <c r="O26" s="13"/>
      <c r="P26" s="59"/>
      <c r="Q26" s="13"/>
      <c r="R26" s="59"/>
      <c r="S26" s="13"/>
      <c r="T26" s="59"/>
      <c r="U26" s="13"/>
      <c r="V26" s="59"/>
      <c r="W26" s="13"/>
      <c r="Y26"/>
      <c r="AC26" s="62">
        <v>0</v>
      </c>
      <c r="AD26" s="62">
        <v>0</v>
      </c>
      <c r="AE26" s="62">
        <v>0</v>
      </c>
      <c r="AF26" s="14"/>
      <c r="AG26" s="14"/>
      <c r="AH26" s="14"/>
      <c r="AI26" s="14"/>
      <c r="AJ26" s="14"/>
      <c r="AK26" s="60"/>
      <c r="AM26"/>
    </row>
    <row r="27" spans="2:39" x14ac:dyDescent="0.3">
      <c r="B27" s="67" t="s">
        <v>14</v>
      </c>
      <c r="C27" s="28">
        <f>C20-C22+C24-1</f>
        <v>984</v>
      </c>
      <c r="D27" s="4">
        <f>D20-D22+D24</f>
        <v>335</v>
      </c>
      <c r="E27" s="58">
        <f>E20-E22+E24-1</f>
        <v>1318</v>
      </c>
      <c r="F27" s="3">
        <f>F20-F22+F24</f>
        <v>1411</v>
      </c>
      <c r="G27" s="4">
        <f>G20-G22+G24</f>
        <v>620</v>
      </c>
      <c r="H27" s="3">
        <f t="shared" ref="H27:W27" si="40">H20-H22+H24</f>
        <v>1813</v>
      </c>
      <c r="I27" s="4">
        <f t="shared" si="40"/>
        <v>469</v>
      </c>
      <c r="J27" s="3">
        <f t="shared" si="40"/>
        <v>1599</v>
      </c>
      <c r="K27" s="4">
        <f t="shared" ref="K27:L27" si="41">K20-K22+K24</f>
        <v>-85</v>
      </c>
      <c r="L27" s="3">
        <f t="shared" si="41"/>
        <v>1213</v>
      </c>
      <c r="M27" s="57">
        <f t="shared" si="40"/>
        <v>580.7634300000002</v>
      </c>
      <c r="N27" s="28">
        <f t="shared" si="40"/>
        <v>1094.9230815600004</v>
      </c>
      <c r="O27" s="57">
        <f t="shared" si="40"/>
        <v>803.52189611639994</v>
      </c>
      <c r="P27" s="28">
        <f t="shared" si="40"/>
        <v>954.87552367961621</v>
      </c>
      <c r="Q27" s="57">
        <f t="shared" si="40"/>
        <v>838.91029914233923</v>
      </c>
      <c r="R27" s="28">
        <f t="shared" si="40"/>
        <v>903.00173086584311</v>
      </c>
      <c r="S27" s="57">
        <f t="shared" si="40"/>
        <v>974.42580775241811</v>
      </c>
      <c r="T27" s="28">
        <f t="shared" si="40"/>
        <v>755.1078623227362</v>
      </c>
      <c r="U27" s="57">
        <f t="shared" si="40"/>
        <v>1031.6874820423131</v>
      </c>
      <c r="V27" s="28">
        <f t="shared" si="40"/>
        <v>757.18153127493326</v>
      </c>
      <c r="W27" s="57">
        <f t="shared" si="40"/>
        <v>1241.1135954094757</v>
      </c>
      <c r="AC27" s="58">
        <f>AC20-AC22+AC24-1</f>
        <v>2030</v>
      </c>
      <c r="AD27" s="5">
        <f>AD20-AD22+AD24</f>
        <v>2283</v>
      </c>
      <c r="AE27" s="5">
        <f>AE20-AE22+AE24</f>
        <v>1514</v>
      </c>
      <c r="AF27" s="58">
        <f>AF20-AF22+AF24</f>
        <v>1793.7634300000002</v>
      </c>
      <c r="AG27" s="58">
        <f>AG20-AG22+AG24</f>
        <v>1899.4449776764004</v>
      </c>
      <c r="AH27" s="58">
        <f>AH20-AH22+AH24</f>
        <v>1794.7858228219552</v>
      </c>
      <c r="AI27" s="58">
        <f>AI20-AI22+AI24</f>
        <v>1878.4275386182608</v>
      </c>
      <c r="AJ27" s="58">
        <f>AJ20-AJ22+AJ24</f>
        <v>1787.7953443650495</v>
      </c>
      <c r="AK27" s="29">
        <f>AK20-AK22+AK24</f>
        <v>1999.2951266844084</v>
      </c>
    </row>
    <row r="28" spans="2:39" s="7" customFormat="1" x14ac:dyDescent="0.3">
      <c r="B28" s="68" t="s">
        <v>21</v>
      </c>
      <c r="C28" s="7">
        <f t="shared" ref="C28:J28" si="42">C27/C4</f>
        <v>0.19739217652958876</v>
      </c>
      <c r="D28" s="8">
        <f t="shared" si="42"/>
        <v>8.7262307892680385E-2</v>
      </c>
      <c r="E28" s="9">
        <f t="shared" si="42"/>
        <v>0.14936536718041704</v>
      </c>
      <c r="F28" s="7">
        <f t="shared" si="42"/>
        <v>0.2367846954186944</v>
      </c>
      <c r="G28" s="8">
        <f t="shared" si="42"/>
        <v>0.130746520455504</v>
      </c>
      <c r="H28" s="7">
        <f t="shared" si="42"/>
        <v>0.25477796514896012</v>
      </c>
      <c r="I28" s="8">
        <f t="shared" si="42"/>
        <v>9.3407687711611231E-2</v>
      </c>
      <c r="J28" s="7">
        <f t="shared" si="42"/>
        <v>0.2426403641881639</v>
      </c>
      <c r="K28" s="8">
        <f t="shared" ref="K28" si="43">K27/K4</f>
        <v>-1.6972843450479232E-2</v>
      </c>
      <c r="L28" s="7">
        <f t="shared" ref="L28:W28" si="44">L27/L4</f>
        <v>0.19640544041450778</v>
      </c>
      <c r="M28" s="8">
        <f t="shared" si="44"/>
        <v>0.11631226642954139</v>
      </c>
      <c r="N28" s="7">
        <f t="shared" si="44"/>
        <v>0.19046943691191701</v>
      </c>
      <c r="O28" s="8">
        <f t="shared" si="44"/>
        <v>0.1613865861447677</v>
      </c>
      <c r="P28" s="7">
        <f t="shared" si="44"/>
        <v>0.17988428516856958</v>
      </c>
      <c r="Q28" s="8">
        <f t="shared" si="44"/>
        <v>0.16899340026291873</v>
      </c>
      <c r="R28" s="7">
        <f t="shared" si="44"/>
        <v>0.18600203901426554</v>
      </c>
      <c r="S28" s="8">
        <f t="shared" si="44"/>
        <v>0.19689288102344327</v>
      </c>
      <c r="T28" s="7">
        <f t="shared" si="44"/>
        <v>0.17209617239321681</v>
      </c>
      <c r="U28" s="8">
        <f t="shared" si="44"/>
        <v>0.20912236312216978</v>
      </c>
      <c r="V28" s="7">
        <f t="shared" si="44"/>
        <v>0.19382061455882002</v>
      </c>
      <c r="W28" s="8">
        <f t="shared" si="44"/>
        <v>0.25239491613043208</v>
      </c>
      <c r="Y28"/>
      <c r="AC28" s="9">
        <f>AC27/AC4</f>
        <v>0.18970189701897019</v>
      </c>
      <c r="AD28" s="9">
        <f>AD27/AD4</f>
        <v>0.18810249649831096</v>
      </c>
      <c r="AE28" s="9">
        <f>AE27/AE4</f>
        <v>0.13053974823245387</v>
      </c>
      <c r="AF28" s="9">
        <f>AF27/AF4</f>
        <v>0.16059995935228674</v>
      </c>
      <c r="AG28" s="9">
        <f>AG27/AG4</f>
        <v>0.17706456954709557</v>
      </c>
      <c r="AH28" s="9">
        <f>AH27/AH4</f>
        <v>0.17471860748980156</v>
      </c>
      <c r="AI28" s="9">
        <f>AI27/AI4</f>
        <v>0.19160179474621675</v>
      </c>
      <c r="AJ28" s="9">
        <f>AJ27/AJ4</f>
        <v>0.19180040316981678</v>
      </c>
      <c r="AK28" s="53">
        <f>AK27/AK4</f>
        <v>0.22657578223621552</v>
      </c>
      <c r="AM28"/>
    </row>
    <row r="29" spans="2:39" x14ac:dyDescent="0.3">
      <c r="B29" s="66" t="s">
        <v>16</v>
      </c>
      <c r="C29" s="59">
        <v>18</v>
      </c>
      <c r="D29" s="13">
        <f>E29-C29</f>
        <v>-5</v>
      </c>
      <c r="E29" s="14">
        <v>13</v>
      </c>
      <c r="F29" s="59">
        <v>21</v>
      </c>
      <c r="G29" s="13">
        <f>AC29-F29</f>
        <v>14</v>
      </c>
      <c r="H29" s="59">
        <v>21</v>
      </c>
      <c r="I29" s="13">
        <f>AD29-H29</f>
        <v>0</v>
      </c>
      <c r="J29" s="59">
        <v>30</v>
      </c>
      <c r="K29" s="13">
        <f>AE29-J29</f>
        <v>8</v>
      </c>
      <c r="L29" s="59">
        <v>24</v>
      </c>
      <c r="M29" s="13"/>
      <c r="N29" s="49"/>
      <c r="O29" s="13"/>
      <c r="P29" s="49"/>
      <c r="Q29" s="13"/>
      <c r="R29" s="49"/>
      <c r="S29" s="13"/>
      <c r="T29" s="49"/>
      <c r="U29" s="13"/>
      <c r="V29" s="49"/>
      <c r="W29" s="13"/>
      <c r="AC29" s="14">
        <v>35</v>
      </c>
      <c r="AD29" s="14">
        <v>21</v>
      </c>
      <c r="AE29" s="14">
        <v>38</v>
      </c>
      <c r="AF29" s="14">
        <f>L29+M29</f>
        <v>24</v>
      </c>
      <c r="AG29" s="14"/>
      <c r="AH29" s="14"/>
      <c r="AI29" s="14"/>
      <c r="AJ29" s="14"/>
      <c r="AK29" s="60"/>
    </row>
    <row r="30" spans="2:39" x14ac:dyDescent="0.3">
      <c r="B30" s="67" t="s">
        <v>34</v>
      </c>
      <c r="C30" s="28">
        <f t="shared" ref="C30:I30" si="45">C27-C29</f>
        <v>966</v>
      </c>
      <c r="D30" s="57">
        <f t="shared" si="45"/>
        <v>340</v>
      </c>
      <c r="E30" s="58">
        <f t="shared" si="45"/>
        <v>1305</v>
      </c>
      <c r="F30" s="28">
        <f t="shared" si="45"/>
        <v>1390</v>
      </c>
      <c r="G30" s="57">
        <f t="shared" si="45"/>
        <v>606</v>
      </c>
      <c r="H30" s="28">
        <f t="shared" si="45"/>
        <v>1792</v>
      </c>
      <c r="I30" s="57">
        <f t="shared" si="45"/>
        <v>469</v>
      </c>
      <c r="J30" s="28">
        <f t="shared" ref="J30:W30" si="46">J27-J29</f>
        <v>1569</v>
      </c>
      <c r="K30" s="57">
        <f t="shared" si="46"/>
        <v>-93</v>
      </c>
      <c r="L30" s="28">
        <f>L27-L29+1</f>
        <v>1190</v>
      </c>
      <c r="M30" s="57">
        <f t="shared" si="46"/>
        <v>580.7634300000002</v>
      </c>
      <c r="N30" s="28">
        <f t="shared" si="46"/>
        <v>1094.9230815600004</v>
      </c>
      <c r="O30" s="57">
        <f t="shared" si="46"/>
        <v>803.52189611639994</v>
      </c>
      <c r="P30" s="28">
        <f t="shared" si="46"/>
        <v>954.87552367961621</v>
      </c>
      <c r="Q30" s="57">
        <f t="shared" si="46"/>
        <v>838.91029914233923</v>
      </c>
      <c r="R30" s="28">
        <f t="shared" si="46"/>
        <v>903.00173086584311</v>
      </c>
      <c r="S30" s="57">
        <f t="shared" si="46"/>
        <v>974.42580775241811</v>
      </c>
      <c r="T30" s="28">
        <f t="shared" si="46"/>
        <v>755.1078623227362</v>
      </c>
      <c r="U30" s="57">
        <f t="shared" si="46"/>
        <v>1031.6874820423131</v>
      </c>
      <c r="V30" s="28">
        <f t="shared" si="46"/>
        <v>757.18153127493326</v>
      </c>
      <c r="W30" s="57">
        <f t="shared" si="46"/>
        <v>1241.1135954094757</v>
      </c>
      <c r="AC30" s="58">
        <f>AC27-AC29</f>
        <v>1995</v>
      </c>
      <c r="AD30" s="58">
        <f>AD27-AD29</f>
        <v>2262</v>
      </c>
      <c r="AE30" s="58">
        <f>AE27-AE29</f>
        <v>1476</v>
      </c>
      <c r="AF30" s="58">
        <f>AF27-AF29</f>
        <v>1769.7634300000002</v>
      </c>
      <c r="AG30" s="58">
        <f>AG27-AG29</f>
        <v>1899.4449776764004</v>
      </c>
      <c r="AH30" s="58">
        <f>AH27-AH29</f>
        <v>1794.7858228219552</v>
      </c>
      <c r="AI30" s="58">
        <f>AI27-AI29</f>
        <v>1878.4275386182608</v>
      </c>
      <c r="AJ30" s="58">
        <f>AJ27-AJ29</f>
        <v>1787.7953443650495</v>
      </c>
      <c r="AK30" s="29">
        <f>AK27-AK29</f>
        <v>1999.2951266844084</v>
      </c>
    </row>
    <row r="31" spans="2:39" x14ac:dyDescent="0.3">
      <c r="B31" s="66"/>
      <c r="D31" s="1"/>
      <c r="E31" s="2"/>
      <c r="G31" s="1"/>
      <c r="I31" s="1"/>
      <c r="K31" s="1"/>
      <c r="M31" s="1"/>
      <c r="O31" s="1"/>
      <c r="Q31" s="1"/>
      <c r="S31" s="1"/>
      <c r="U31" s="1"/>
      <c r="W31" s="1"/>
      <c r="AC31" s="2"/>
      <c r="AD31" s="2"/>
      <c r="AE31" s="2"/>
      <c r="AF31" s="2"/>
      <c r="AG31" s="2"/>
      <c r="AH31" s="2"/>
      <c r="AI31" s="2"/>
      <c r="AJ31" s="2"/>
      <c r="AK31" s="22"/>
    </row>
    <row r="32" spans="2:39" x14ac:dyDescent="0.3">
      <c r="B32" s="67" t="s">
        <v>17</v>
      </c>
      <c r="C32" s="3"/>
      <c r="D32" s="4"/>
      <c r="E32" s="5"/>
      <c r="F32" s="3"/>
      <c r="G32" s="4"/>
      <c r="H32" s="3"/>
      <c r="I32" s="4"/>
      <c r="J32" s="3"/>
      <c r="K32" s="4"/>
      <c r="L32" s="3"/>
      <c r="M32" s="4"/>
      <c r="N32" s="3"/>
      <c r="O32" s="4"/>
      <c r="P32" s="3"/>
      <c r="Q32" s="4"/>
      <c r="R32" s="3"/>
      <c r="S32" s="4"/>
      <c r="T32" s="3"/>
      <c r="U32" s="4"/>
      <c r="V32" s="3"/>
      <c r="W32" s="4"/>
      <c r="AC32" s="5"/>
      <c r="AD32" s="5"/>
      <c r="AE32" s="5"/>
      <c r="AF32" s="5"/>
      <c r="AG32" s="5"/>
      <c r="AH32" s="5"/>
      <c r="AI32" s="5"/>
      <c r="AJ32" s="5"/>
      <c r="AK32" s="25"/>
    </row>
    <row r="33" spans="2:37" x14ac:dyDescent="0.3">
      <c r="B33" s="66" t="s">
        <v>18</v>
      </c>
      <c r="C33" s="49">
        <f t="shared" ref="C33:G33" si="47">C30/C37*10</f>
        <v>3.7059594909240841</v>
      </c>
      <c r="D33" s="11">
        <f t="shared" si="47"/>
        <v>1.303700597090272</v>
      </c>
      <c r="E33" s="12">
        <f t="shared" si="47"/>
        <v>5.0039096447141329</v>
      </c>
      <c r="F33" s="49">
        <f t="shared" si="47"/>
        <v>5.341625996333339</v>
      </c>
      <c r="G33" s="11">
        <f t="shared" si="47"/>
        <v>2.3394816945478967</v>
      </c>
      <c r="H33" s="49">
        <f t="shared" ref="H33:J33" si="48">H30/H37*10</f>
        <v>6.9826560098555195</v>
      </c>
      <c r="I33" s="11">
        <f t="shared" si="48"/>
        <v>1.8316858055051177</v>
      </c>
      <c r="J33" s="49">
        <f t="shared" si="48"/>
        <v>6.2066689015685403</v>
      </c>
      <c r="K33" s="11">
        <f t="shared" ref="K33:L33" si="49">K30/K37*10</f>
        <v>-0.36817745209389802</v>
      </c>
      <c r="L33" s="49">
        <f t="shared" si="49"/>
        <v>4.7321286895159744</v>
      </c>
      <c r="M33" s="11">
        <f t="shared" ref="M33:W33" si="50">M30/M37*10</f>
        <v>2.3094515032980696</v>
      </c>
      <c r="N33" s="49">
        <f t="shared" si="50"/>
        <v>4.3346880688984966</v>
      </c>
      <c r="O33" s="11">
        <f t="shared" si="50"/>
        <v>3.1810606926214402</v>
      </c>
      <c r="P33" s="49">
        <f t="shared" si="50"/>
        <v>3.7802541653245987</v>
      </c>
      <c r="Q33" s="11">
        <f t="shared" si="50"/>
        <v>3.3211597470274867</v>
      </c>
      <c r="R33" s="49">
        <f t="shared" si="50"/>
        <v>3.5748911452318923</v>
      </c>
      <c r="S33" s="11">
        <f t="shared" si="50"/>
        <v>3.8576517328260622</v>
      </c>
      <c r="T33" s="49">
        <f t="shared" si="50"/>
        <v>2.9893945032909137</v>
      </c>
      <c r="U33" s="11">
        <f t="shared" si="50"/>
        <v>4.0843448225323442</v>
      </c>
      <c r="V33" s="49">
        <f t="shared" si="50"/>
        <v>2.9976039457780761</v>
      </c>
      <c r="W33" s="11">
        <f t="shared" si="50"/>
        <v>4.9134413044834169</v>
      </c>
      <c r="AC33" s="12">
        <f>AC30/AC37*10</f>
        <v>7.701759043932431</v>
      </c>
      <c r="AD33" s="12">
        <f>AD30/AD37*10</f>
        <v>8.8342714116259629</v>
      </c>
      <c r="AE33" s="12">
        <f>AE30/AE37*10</f>
        <v>5.8433324654902519</v>
      </c>
      <c r="AF33" s="12">
        <f>AF30/AF37*10</f>
        <v>7.0063117254447063</v>
      </c>
      <c r="AG33" s="12">
        <f>AG30/AG37*10</f>
        <v>7.5197076588542808</v>
      </c>
      <c r="AH33" s="12">
        <f>AH30/AH37*10</f>
        <v>7.1053728096864273</v>
      </c>
      <c r="AI33" s="12">
        <f>AI30/AI37*10</f>
        <v>7.436501775392296</v>
      </c>
      <c r="AJ33" s="12">
        <f>AJ30/AJ37*10</f>
        <v>7.0776982231576016</v>
      </c>
      <c r="AK33" s="55">
        <f>AK30/AK37*10</f>
        <v>7.915004147595833</v>
      </c>
    </row>
    <row r="34" spans="2:37" x14ac:dyDescent="0.3">
      <c r="B34" s="66" t="s">
        <v>19</v>
      </c>
      <c r="C34" s="49">
        <f t="shared" ref="C34:G34" si="51">C30/C38*10</f>
        <v>3.6943885244307046</v>
      </c>
      <c r="D34" s="11">
        <f t="shared" si="51"/>
        <v>1.3001220768743524</v>
      </c>
      <c r="E34" s="12">
        <f t="shared" si="51"/>
        <v>4.9901744421206757</v>
      </c>
      <c r="F34" s="49">
        <f t="shared" si="51"/>
        <v>5.3291566036502847</v>
      </c>
      <c r="G34" s="11">
        <f t="shared" si="51"/>
        <v>2.3332870179710574</v>
      </c>
      <c r="H34" s="49">
        <f t="shared" ref="H34:J34" si="52">H30/H38*10</f>
        <v>6.9627557029777467</v>
      </c>
      <c r="I34" s="11">
        <f t="shared" si="52"/>
        <v>1.8257676331985957</v>
      </c>
      <c r="J34" s="49">
        <f t="shared" si="52"/>
        <v>6.1920457911139435</v>
      </c>
      <c r="K34" s="11">
        <f t="shared" ref="K34:L34" si="53">K30/K38*10</f>
        <v>-0.36731554115569803</v>
      </c>
      <c r="L34" s="49">
        <f t="shared" si="53"/>
        <v>4.7237643063270802</v>
      </c>
      <c r="M34" s="11">
        <f t="shared" ref="M34:W34" si="54">M30/M38*10</f>
        <v>2.3053693790370478</v>
      </c>
      <c r="N34" s="49">
        <f t="shared" si="54"/>
        <v>4.3245404755599566</v>
      </c>
      <c r="O34" s="11">
        <f t="shared" si="54"/>
        <v>3.1736137645424516</v>
      </c>
      <c r="P34" s="49">
        <f t="shared" si="54"/>
        <v>3.7714045130828899</v>
      </c>
      <c r="Q34" s="11">
        <f t="shared" si="54"/>
        <v>3.3133848441995362</v>
      </c>
      <c r="R34" s="49">
        <f t="shared" si="54"/>
        <v>3.5665222520163349</v>
      </c>
      <c r="S34" s="11">
        <f t="shared" si="54"/>
        <v>3.848620891297394</v>
      </c>
      <c r="T34" s="49">
        <f t="shared" si="54"/>
        <v>2.9823962696774</v>
      </c>
      <c r="U34" s="11">
        <f t="shared" si="54"/>
        <v>4.074783287848728</v>
      </c>
      <c r="V34" s="49">
        <f t="shared" si="54"/>
        <v>2.9905864936919588</v>
      </c>
      <c r="W34" s="11">
        <f t="shared" si="54"/>
        <v>4.9019388379948996</v>
      </c>
      <c r="AC34" s="12">
        <f>AC30/AC38*10</f>
        <v>7.6813656779740258</v>
      </c>
      <c r="AD34" s="12">
        <f>AD30/AD38*10</f>
        <v>8.8057279025484512</v>
      </c>
      <c r="AE34" s="12">
        <f>AE30/AE38*10</f>
        <v>5.8296531047936586</v>
      </c>
      <c r="AF34" s="12">
        <f>AF30/AF38*10</f>
        <v>6.9899098065377885</v>
      </c>
      <c r="AG34" s="12">
        <f>AG30/AG38*10</f>
        <v>7.5021038695772013</v>
      </c>
      <c r="AH34" s="12">
        <f>AH30/AH38*10</f>
        <v>7.0887389867572175</v>
      </c>
      <c r="AI34" s="12">
        <f>AI30/AI38*10</f>
        <v>7.4190927727885194</v>
      </c>
      <c r="AJ34" s="12">
        <f>AJ30/AJ38*10</f>
        <v>7.0611291870009207</v>
      </c>
      <c r="AK34" s="55">
        <f>AK30/AK38*10</f>
        <v>7.8964749611616476</v>
      </c>
    </row>
    <row r="35" spans="2:37" x14ac:dyDescent="0.3">
      <c r="B35" s="66"/>
      <c r="C35" s="49"/>
      <c r="D35" s="11"/>
      <c r="E35" s="12"/>
      <c r="F35" s="49"/>
      <c r="G35" s="11"/>
      <c r="H35" s="49"/>
      <c r="I35" s="11"/>
      <c r="J35" s="49"/>
      <c r="K35" s="11"/>
      <c r="L35" s="49"/>
      <c r="M35" s="11"/>
      <c r="N35" s="49"/>
      <c r="O35" s="11"/>
      <c r="P35" s="49"/>
      <c r="Q35" s="11"/>
      <c r="R35" s="49"/>
      <c r="S35" s="11"/>
      <c r="T35" s="49"/>
      <c r="U35" s="11"/>
      <c r="V35" s="49"/>
      <c r="W35" s="11"/>
      <c r="AC35" s="12"/>
      <c r="AD35" s="12"/>
      <c r="AE35" s="12"/>
      <c r="AF35" s="12"/>
      <c r="AG35" s="12"/>
      <c r="AH35" s="12"/>
      <c r="AI35" s="12"/>
      <c r="AJ35" s="12"/>
      <c r="AK35" s="55"/>
    </row>
    <row r="36" spans="2:37" x14ac:dyDescent="0.3">
      <c r="B36" s="67" t="s">
        <v>20</v>
      </c>
      <c r="C36" s="3"/>
      <c r="D36" s="4"/>
      <c r="E36" s="5"/>
      <c r="F36" s="3"/>
      <c r="G36" s="4"/>
      <c r="H36" s="3"/>
      <c r="I36" s="4"/>
      <c r="J36" s="28"/>
      <c r="K36" s="4"/>
      <c r="L36" s="28"/>
      <c r="M36" s="4"/>
      <c r="N36" s="3"/>
      <c r="O36" s="4"/>
      <c r="P36" s="3"/>
      <c r="Q36" s="4"/>
      <c r="R36" s="3"/>
      <c r="S36" s="4"/>
      <c r="T36" s="3"/>
      <c r="U36" s="4"/>
      <c r="V36" s="3"/>
      <c r="W36" s="4"/>
      <c r="AC36" s="5"/>
      <c r="AD36" s="5"/>
      <c r="AE36" s="5"/>
      <c r="AF36" s="5"/>
      <c r="AG36" s="5"/>
      <c r="AH36" s="5"/>
      <c r="AI36" s="5"/>
      <c r="AJ36" s="5"/>
      <c r="AK36" s="25"/>
    </row>
    <row r="37" spans="2:37" x14ac:dyDescent="0.3">
      <c r="B37" s="66" t="s">
        <v>18</v>
      </c>
      <c r="C37" s="49">
        <v>2606.6124100000002</v>
      </c>
      <c r="D37" s="11">
        <f>E37</f>
        <v>2607.9607599999999</v>
      </c>
      <c r="E37" s="12">
        <v>2607.9607599999999</v>
      </c>
      <c r="F37" s="49">
        <v>2602.2039</v>
      </c>
      <c r="G37" s="11">
        <f>AC37</f>
        <v>2590.3173400000001</v>
      </c>
      <c r="H37" s="49">
        <v>2566.3587000000002</v>
      </c>
      <c r="I37" s="11">
        <f>AD37</f>
        <v>2560.4828000000002</v>
      </c>
      <c r="J37" s="49">
        <v>2527.92605</v>
      </c>
      <c r="K37" s="11">
        <f>AE37</f>
        <v>2525.95588</v>
      </c>
      <c r="L37" s="49">
        <v>2514.72451</v>
      </c>
      <c r="M37" s="11">
        <f>L37</f>
        <v>2514.72451</v>
      </c>
      <c r="N37" s="49">
        <f>AF37</f>
        <v>2525.95588</v>
      </c>
      <c r="O37" s="11">
        <f>N37</f>
        <v>2525.95588</v>
      </c>
      <c r="P37" s="49">
        <f>AG37</f>
        <v>2525.95588</v>
      </c>
      <c r="Q37" s="11">
        <f>P37</f>
        <v>2525.95588</v>
      </c>
      <c r="R37" s="49">
        <f>AH37</f>
        <v>2525.95588</v>
      </c>
      <c r="S37" s="11">
        <f>R37</f>
        <v>2525.95588</v>
      </c>
      <c r="T37" s="49">
        <f>AI37</f>
        <v>2525.95588</v>
      </c>
      <c r="U37" s="11">
        <f>T37</f>
        <v>2525.95588</v>
      </c>
      <c r="V37" s="49">
        <f>AJ37</f>
        <v>2525.95588</v>
      </c>
      <c r="W37" s="11">
        <f>V37</f>
        <v>2525.95588</v>
      </c>
      <c r="AC37" s="12">
        <v>2590.3173400000001</v>
      </c>
      <c r="AD37" s="12">
        <v>2560.4828000000002</v>
      </c>
      <c r="AE37" s="12">
        <v>2525.95588</v>
      </c>
      <c r="AF37" s="12">
        <f>AE37</f>
        <v>2525.95588</v>
      </c>
      <c r="AG37" s="12">
        <f>AF37</f>
        <v>2525.95588</v>
      </c>
      <c r="AH37" s="12">
        <f>AG37</f>
        <v>2525.95588</v>
      </c>
      <c r="AI37" s="12">
        <f>AH37</f>
        <v>2525.95588</v>
      </c>
      <c r="AJ37" s="12">
        <f>AI37</f>
        <v>2525.95588</v>
      </c>
      <c r="AK37" s="55">
        <f>AJ37</f>
        <v>2525.95588</v>
      </c>
    </row>
    <row r="38" spans="2:37" ht="15" thickBot="1" x14ac:dyDescent="0.35">
      <c r="B38" s="70" t="s">
        <v>19</v>
      </c>
      <c r="C38" s="50">
        <v>2614.7764200000001</v>
      </c>
      <c r="D38" s="51">
        <f>E38</f>
        <v>2615.13904</v>
      </c>
      <c r="E38" s="52">
        <v>2615.13904</v>
      </c>
      <c r="F38" s="50">
        <v>2608.2926499999999</v>
      </c>
      <c r="G38" s="51">
        <f>AC38</f>
        <v>2597.1944100000001</v>
      </c>
      <c r="H38" s="50">
        <v>2573.6936300000002</v>
      </c>
      <c r="I38" s="51">
        <f>AD38</f>
        <v>2568.78253</v>
      </c>
      <c r="J38" s="50">
        <v>2533.89599</v>
      </c>
      <c r="K38" s="51">
        <f>AE38</f>
        <v>2531.8830699999999</v>
      </c>
      <c r="L38" s="50">
        <v>2519.1773400000002</v>
      </c>
      <c r="M38" s="51">
        <f>L38</f>
        <v>2519.1773400000002</v>
      </c>
      <c r="N38" s="50">
        <f>AF38</f>
        <v>2531.8830699999999</v>
      </c>
      <c r="O38" s="51">
        <f>N38</f>
        <v>2531.8830699999999</v>
      </c>
      <c r="P38" s="50">
        <f>AG38</f>
        <v>2531.8830699999999</v>
      </c>
      <c r="Q38" s="51">
        <f>P38</f>
        <v>2531.8830699999999</v>
      </c>
      <c r="R38" s="50">
        <f>AH38</f>
        <v>2531.8830699999999</v>
      </c>
      <c r="S38" s="51">
        <f>R38</f>
        <v>2531.8830699999999</v>
      </c>
      <c r="T38" s="50">
        <f>AI38</f>
        <v>2531.8830699999999</v>
      </c>
      <c r="U38" s="51">
        <f>T38</f>
        <v>2531.8830699999999</v>
      </c>
      <c r="V38" s="50">
        <f>AJ38</f>
        <v>2531.8830699999999</v>
      </c>
      <c r="W38" s="51">
        <f>V38</f>
        <v>2531.8830699999999</v>
      </c>
      <c r="AC38" s="52">
        <v>2597.1944100000001</v>
      </c>
      <c r="AD38" s="52">
        <v>2568.78253</v>
      </c>
      <c r="AE38" s="52">
        <v>2531.8830699999999</v>
      </c>
      <c r="AF38" s="52">
        <f>AE38</f>
        <v>2531.8830699999999</v>
      </c>
      <c r="AG38" s="52">
        <f>AF38</f>
        <v>2531.8830699999999</v>
      </c>
      <c r="AH38" s="52">
        <f>AG38</f>
        <v>2531.8830699999999</v>
      </c>
      <c r="AI38" s="52">
        <f>AH38</f>
        <v>2531.8830699999999</v>
      </c>
      <c r="AJ38" s="52">
        <f>AI38</f>
        <v>2531.8830699999999</v>
      </c>
      <c r="AK38" s="56">
        <f>AJ38</f>
        <v>2531.8830699999999</v>
      </c>
    </row>
    <row r="39" spans="2:37" x14ac:dyDescent="0.3">
      <c r="C39" s="49"/>
      <c r="D39" s="49"/>
      <c r="E39" s="49"/>
      <c r="F39" s="49"/>
      <c r="G39" s="49"/>
      <c r="H39" s="49"/>
      <c r="I39" s="49"/>
      <c r="J39" s="49"/>
      <c r="K39" s="49"/>
      <c r="L39" s="49"/>
      <c r="M39" s="49"/>
      <c r="N39" s="49"/>
      <c r="O39" s="49"/>
      <c r="P39" s="49"/>
      <c r="Q39" s="49"/>
      <c r="R39" s="49"/>
      <c r="S39" s="49"/>
      <c r="T39" s="49"/>
      <c r="U39" s="49"/>
      <c r="V39" s="49"/>
      <c r="W39" s="49"/>
      <c r="AC39" s="49"/>
      <c r="AD39" s="49"/>
      <c r="AE39" s="49"/>
      <c r="AF39" s="49"/>
      <c r="AG39" s="49"/>
      <c r="AH39" s="49"/>
      <c r="AI39" s="49"/>
      <c r="AJ39" s="49"/>
      <c r="AK39" s="49"/>
    </row>
    <row r="40" spans="2:37" x14ac:dyDescent="0.3">
      <c r="B40" s="211" t="s">
        <v>220</v>
      </c>
      <c r="C40" s="49"/>
      <c r="D40" s="49"/>
      <c r="E40" s="49"/>
      <c r="F40" s="49"/>
      <c r="G40" s="49"/>
      <c r="H40" s="49"/>
      <c r="I40" s="49"/>
      <c r="J40" s="49"/>
      <c r="K40" s="49"/>
      <c r="L40" s="49"/>
      <c r="M40" s="49"/>
      <c r="N40" s="49"/>
      <c r="O40" s="49"/>
      <c r="P40" s="49"/>
      <c r="Q40" s="49"/>
      <c r="R40" s="49"/>
      <c r="S40" s="49"/>
      <c r="T40" s="49"/>
      <c r="U40" s="49"/>
      <c r="V40" s="49"/>
      <c r="W40" s="49"/>
      <c r="AC40" s="49"/>
      <c r="AD40" s="49"/>
      <c r="AE40" s="49" t="s">
        <v>223</v>
      </c>
      <c r="AF40" s="49"/>
      <c r="AG40" s="49"/>
      <c r="AH40" s="49"/>
      <c r="AI40" s="49"/>
      <c r="AJ40" s="49"/>
      <c r="AK40" s="49"/>
    </row>
    <row r="41" spans="2:37" x14ac:dyDescent="0.3">
      <c r="C41" s="49">
        <v>1.48</v>
      </c>
      <c r="D41" s="49"/>
      <c r="E41" s="49">
        <v>1.33</v>
      </c>
      <c r="F41" s="49">
        <v>1.79</v>
      </c>
      <c r="G41" s="49"/>
      <c r="H41" s="49">
        <v>2.56</v>
      </c>
      <c r="I41" s="49"/>
      <c r="J41" s="49">
        <v>2.64</v>
      </c>
      <c r="K41" s="49"/>
      <c r="L41" s="49">
        <v>2.35</v>
      </c>
      <c r="M41" s="49"/>
      <c r="N41" s="49"/>
      <c r="O41" s="49"/>
      <c r="P41" s="49"/>
      <c r="Q41" s="49"/>
      <c r="R41" s="49"/>
      <c r="S41" s="49"/>
      <c r="T41" s="49"/>
      <c r="U41" s="49"/>
      <c r="V41" s="49"/>
      <c r="W41" s="49"/>
      <c r="AC41" s="49">
        <v>1.56</v>
      </c>
      <c r="AD41" s="49">
        <v>2.06</v>
      </c>
      <c r="AE41" s="49">
        <v>2.35</v>
      </c>
      <c r="AF41" s="49"/>
      <c r="AG41" s="49"/>
      <c r="AH41" s="49"/>
      <c r="AI41" s="49"/>
      <c r="AJ41" s="49"/>
      <c r="AK41" s="49"/>
    </row>
    <row r="42" spans="2:37" x14ac:dyDescent="0.3">
      <c r="C42" s="49"/>
      <c r="D42" s="49"/>
      <c r="E42" s="49"/>
      <c r="F42" s="49"/>
      <c r="G42" s="49"/>
      <c r="H42" s="49"/>
      <c r="I42" s="49"/>
      <c r="J42" s="49"/>
      <c r="K42" s="49"/>
      <c r="L42" s="49"/>
      <c r="M42" s="49"/>
      <c r="N42" s="49"/>
      <c r="O42" s="49"/>
      <c r="P42" s="49"/>
      <c r="Q42" s="49"/>
      <c r="R42" s="49"/>
      <c r="S42" s="49"/>
      <c r="T42" s="49"/>
      <c r="U42" s="49"/>
      <c r="V42" s="49"/>
      <c r="W42" s="49"/>
      <c r="AC42" s="49"/>
      <c r="AD42" s="203"/>
      <c r="AE42" s="203"/>
      <c r="AF42" s="49"/>
      <c r="AG42" s="49"/>
      <c r="AH42" s="49"/>
      <c r="AI42" s="49"/>
      <c r="AJ42" s="49"/>
      <c r="AK42" s="49"/>
    </row>
    <row r="43" spans="2:37" ht="15" thickBot="1" x14ac:dyDescent="0.35"/>
    <row r="44" spans="2:37" x14ac:dyDescent="0.3">
      <c r="B44" s="74" t="s">
        <v>64</v>
      </c>
      <c r="C44" s="73" t="str">
        <f t="shared" ref="C44:J44" si="55">C3</f>
        <v>H1'21</v>
      </c>
      <c r="D44" s="71" t="str">
        <f t="shared" si="55"/>
        <v>H2'21</v>
      </c>
      <c r="E44" s="72" t="str">
        <f t="shared" si="55"/>
        <v>FY21</v>
      </c>
      <c r="F44" s="73" t="str">
        <f t="shared" si="55"/>
        <v>H1'22</v>
      </c>
      <c r="G44" s="71" t="str">
        <f t="shared" si="55"/>
        <v>H2'22</v>
      </c>
      <c r="H44" s="73" t="str">
        <f t="shared" si="55"/>
        <v>H1'23</v>
      </c>
      <c r="I44" s="71" t="str">
        <f t="shared" si="55"/>
        <v>H2'23</v>
      </c>
      <c r="J44" s="73" t="str">
        <f t="shared" si="55"/>
        <v>H1'24</v>
      </c>
      <c r="K44" s="71" t="str">
        <f t="shared" ref="K44:L44" si="56">K3</f>
        <v>H2'24</v>
      </c>
      <c r="L44" s="73" t="str">
        <f t="shared" si="56"/>
        <v>H1'25</v>
      </c>
      <c r="M44" s="227" t="s">
        <v>45</v>
      </c>
      <c r="N44" s="226" t="s">
        <v>47</v>
      </c>
      <c r="O44" s="227" t="s">
        <v>48</v>
      </c>
      <c r="P44" s="226" t="s">
        <v>50</v>
      </c>
      <c r="Q44" s="227" t="s">
        <v>51</v>
      </c>
      <c r="R44" s="226" t="s">
        <v>53</v>
      </c>
      <c r="S44" s="227" t="s">
        <v>54</v>
      </c>
      <c r="T44" s="226" t="s">
        <v>56</v>
      </c>
      <c r="U44" s="227" t="s">
        <v>57</v>
      </c>
      <c r="V44" s="226" t="s">
        <v>59</v>
      </c>
      <c r="W44" s="227" t="s">
        <v>60</v>
      </c>
      <c r="AC44" s="72" t="str">
        <f>AC3</f>
        <v>FY22</v>
      </c>
      <c r="AD44" s="72" t="str">
        <f>AD3</f>
        <v>FY23</v>
      </c>
      <c r="AE44" s="72" t="str">
        <f>AE3</f>
        <v>FY24</v>
      </c>
      <c r="AF44" s="225" t="s">
        <v>46</v>
      </c>
      <c r="AG44" s="225" t="s">
        <v>49</v>
      </c>
      <c r="AH44" s="225" t="s">
        <v>52</v>
      </c>
      <c r="AI44" s="225" t="s">
        <v>55</v>
      </c>
      <c r="AJ44" s="225" t="s">
        <v>58</v>
      </c>
      <c r="AK44" s="228" t="s">
        <v>61</v>
      </c>
    </row>
    <row r="45" spans="2:37" x14ac:dyDescent="0.3">
      <c r="B45" s="66" t="s">
        <v>66</v>
      </c>
      <c r="C45" s="203">
        <v>10552</v>
      </c>
      <c r="D45" s="215">
        <f>E45</f>
        <v>10725</v>
      </c>
      <c r="E45" s="197">
        <v>10725</v>
      </c>
      <c r="F45" s="203">
        <v>11038</v>
      </c>
      <c r="G45" s="215">
        <f>AC45</f>
        <v>11512</v>
      </c>
      <c r="H45" s="201">
        <v>11313</v>
      </c>
      <c r="I45" s="215">
        <f>AD45</f>
        <v>12250</v>
      </c>
      <c r="J45" s="201">
        <v>12119</v>
      </c>
      <c r="K45" s="215">
        <f>AE45</f>
        <v>12234</v>
      </c>
      <c r="L45" s="201">
        <v>12403</v>
      </c>
      <c r="M45" s="215">
        <f t="shared" ref="M45:W45" si="57">L45</f>
        <v>12403</v>
      </c>
      <c r="N45" s="203">
        <f>AF45</f>
        <v>12403</v>
      </c>
      <c r="O45" s="215">
        <f t="shared" si="57"/>
        <v>12403</v>
      </c>
      <c r="P45" s="203">
        <f>AG45</f>
        <v>12403</v>
      </c>
      <c r="Q45" s="215">
        <f t="shared" si="57"/>
        <v>12403</v>
      </c>
      <c r="R45" s="203">
        <f>AH45</f>
        <v>12403</v>
      </c>
      <c r="S45" s="215">
        <f t="shared" si="57"/>
        <v>12403</v>
      </c>
      <c r="T45" s="203">
        <f>AI45</f>
        <v>12403</v>
      </c>
      <c r="U45" s="215">
        <f t="shared" si="57"/>
        <v>12403</v>
      </c>
      <c r="V45" s="203">
        <f>AJ45</f>
        <v>12403</v>
      </c>
      <c r="W45" s="215">
        <f t="shared" si="57"/>
        <v>12403</v>
      </c>
      <c r="Z45" s="203"/>
      <c r="AC45" s="197">
        <v>11512</v>
      </c>
      <c r="AD45" s="197">
        <v>12250</v>
      </c>
      <c r="AE45" s="197">
        <v>12234</v>
      </c>
      <c r="AF45" s="197">
        <f>M45</f>
        <v>12403</v>
      </c>
      <c r="AG45" s="197">
        <f>O45</f>
        <v>12403</v>
      </c>
      <c r="AH45" s="197">
        <f>Q45</f>
        <v>12403</v>
      </c>
      <c r="AI45" s="197">
        <f>S45</f>
        <v>12403</v>
      </c>
      <c r="AJ45" s="197">
        <f>U45</f>
        <v>12403</v>
      </c>
      <c r="AK45" s="223">
        <f>W45</f>
        <v>12403</v>
      </c>
    </row>
    <row r="46" spans="2:37" x14ac:dyDescent="0.3">
      <c r="B46" s="85" t="s">
        <v>65</v>
      </c>
      <c r="C46" s="203">
        <v>5401</v>
      </c>
      <c r="D46" s="215">
        <f>E46</f>
        <v>5505</v>
      </c>
      <c r="E46" s="197">
        <v>5505</v>
      </c>
      <c r="F46" s="203">
        <v>5819</v>
      </c>
      <c r="G46" s="215">
        <f>AC46</f>
        <v>6145</v>
      </c>
      <c r="H46" s="201">
        <v>6993</v>
      </c>
      <c r="I46" s="215">
        <f>AD46</f>
        <v>6750</v>
      </c>
      <c r="J46" s="201">
        <v>6756</v>
      </c>
      <c r="K46" s="215">
        <f>AE46</f>
        <v>6806</v>
      </c>
      <c r="L46" s="201">
        <v>6927</v>
      </c>
      <c r="M46" s="215">
        <f t="shared" ref="M46:W46" si="58">L46</f>
        <v>6927</v>
      </c>
      <c r="N46" s="203">
        <f>AF46</f>
        <v>6927</v>
      </c>
      <c r="O46" s="215">
        <f t="shared" si="58"/>
        <v>6927</v>
      </c>
      <c r="P46" s="203">
        <f>AG46</f>
        <v>6927</v>
      </c>
      <c r="Q46" s="215">
        <f t="shared" si="58"/>
        <v>6927</v>
      </c>
      <c r="R46" s="203">
        <f>AH46</f>
        <v>6927</v>
      </c>
      <c r="S46" s="215">
        <f t="shared" si="58"/>
        <v>6927</v>
      </c>
      <c r="T46" s="203">
        <f>AI46</f>
        <v>6927</v>
      </c>
      <c r="U46" s="215">
        <f t="shared" si="58"/>
        <v>6927</v>
      </c>
      <c r="V46" s="203">
        <f>AJ46</f>
        <v>6927</v>
      </c>
      <c r="W46" s="215">
        <f t="shared" si="58"/>
        <v>6927</v>
      </c>
      <c r="Z46" s="203"/>
      <c r="AC46" s="197">
        <v>6145</v>
      </c>
      <c r="AD46" s="197">
        <v>6750</v>
      </c>
      <c r="AE46" s="197">
        <v>6806</v>
      </c>
      <c r="AF46" s="197">
        <f>M46</f>
        <v>6927</v>
      </c>
      <c r="AG46" s="197">
        <f>O46</f>
        <v>6927</v>
      </c>
      <c r="AH46" s="197">
        <f>Q46</f>
        <v>6927</v>
      </c>
      <c r="AI46" s="197">
        <f>S46</f>
        <v>6927</v>
      </c>
      <c r="AJ46" s="197">
        <f>U46</f>
        <v>6927</v>
      </c>
      <c r="AK46" s="223">
        <f>W46</f>
        <v>6927</v>
      </c>
    </row>
    <row r="47" spans="2:37" x14ac:dyDescent="0.3">
      <c r="B47" s="85" t="s">
        <v>67</v>
      </c>
      <c r="C47" s="203">
        <v>3051</v>
      </c>
      <c r="D47" s="215">
        <f>E47</f>
        <v>3177</v>
      </c>
      <c r="E47" s="197">
        <v>3177</v>
      </c>
      <c r="F47" s="203">
        <v>3232</v>
      </c>
      <c r="G47" s="215">
        <f>AC47</f>
        <v>3591</v>
      </c>
      <c r="H47" s="201">
        <v>3614</v>
      </c>
      <c r="I47" s="215">
        <f>AD47</f>
        <v>3901</v>
      </c>
      <c r="J47" s="201">
        <v>4065</v>
      </c>
      <c r="K47" s="215">
        <f>AE47</f>
        <v>3982</v>
      </c>
      <c r="L47" s="201">
        <v>4266</v>
      </c>
      <c r="M47" s="215">
        <f>Schedules!M11</f>
        <v>4409.4911999999995</v>
      </c>
      <c r="N47" s="203">
        <f>Schedules!N11</f>
        <v>4691.0339779999995</v>
      </c>
      <c r="O47" s="215">
        <f>Schedules!O11</f>
        <v>4882.5640383199998</v>
      </c>
      <c r="P47" s="203">
        <f>Schedules!P11</f>
        <v>5093.8964635207994</v>
      </c>
      <c r="Q47" s="215">
        <f>Schedules!Q11</f>
        <v>5259.8578876795518</v>
      </c>
      <c r="R47" s="203">
        <f>Schedules!R11</f>
        <v>5405.4719199437786</v>
      </c>
      <c r="S47" s="215">
        <f>Schedules!S11</f>
        <v>5551.3000230762518</v>
      </c>
      <c r="T47" s="203">
        <f>Schedules!T11</f>
        <v>5635.0543423824274</v>
      </c>
      <c r="U47" s="215">
        <f>Schedules!U11</f>
        <v>5765.6255427184551</v>
      </c>
      <c r="V47" s="203">
        <f>Schedules!V11</f>
        <v>5963.7847167483733</v>
      </c>
      <c r="W47" s="215">
        <f>Schedules!W11</f>
        <v>6252.0192199512649</v>
      </c>
      <c r="Z47" s="203"/>
      <c r="AC47" s="197">
        <v>3591</v>
      </c>
      <c r="AD47" s="197">
        <v>3901</v>
      </c>
      <c r="AE47" s="197">
        <v>3982</v>
      </c>
      <c r="AF47" s="197">
        <f>Schedules!AF11</f>
        <v>4409.4911999999995</v>
      </c>
      <c r="AG47" s="197">
        <f>Schedules!AG11</f>
        <v>4882.5640383199998</v>
      </c>
      <c r="AH47" s="197">
        <f>Schedules!AH11</f>
        <v>5259.8578876795518</v>
      </c>
      <c r="AI47" s="197">
        <f>Schedules!AI11</f>
        <v>5551.3000230762527</v>
      </c>
      <c r="AJ47" s="197">
        <f>Schedules!AJ11</f>
        <v>5765.6255427184551</v>
      </c>
      <c r="AK47" s="223">
        <f>Schedules!AK11</f>
        <v>6252.0192199512649</v>
      </c>
    </row>
    <row r="48" spans="2:37" x14ac:dyDescent="0.3">
      <c r="B48" s="85" t="s">
        <v>172</v>
      </c>
      <c r="C48" s="203">
        <v>695</v>
      </c>
      <c r="D48" s="215">
        <f>E48</f>
        <v>685</v>
      </c>
      <c r="E48" s="197">
        <v>685</v>
      </c>
      <c r="F48" s="203">
        <v>669</v>
      </c>
      <c r="G48" s="215">
        <f>AC48</f>
        <v>761</v>
      </c>
      <c r="H48" s="201">
        <v>757</v>
      </c>
      <c r="I48" s="215">
        <f>AD48</f>
        <v>855</v>
      </c>
      <c r="J48" s="201">
        <v>889</v>
      </c>
      <c r="K48" s="215">
        <f>AE48</f>
        <v>932</v>
      </c>
      <c r="L48" s="201">
        <v>996</v>
      </c>
      <c r="M48" s="215">
        <f t="shared" ref="M48:W48" si="59">L48</f>
        <v>996</v>
      </c>
      <c r="N48" s="203">
        <f>AF48</f>
        <v>996</v>
      </c>
      <c r="O48" s="215">
        <f t="shared" si="59"/>
        <v>996</v>
      </c>
      <c r="P48" s="203">
        <f>AG48</f>
        <v>996</v>
      </c>
      <c r="Q48" s="215">
        <f t="shared" si="59"/>
        <v>996</v>
      </c>
      <c r="R48" s="203">
        <f>AH48</f>
        <v>996</v>
      </c>
      <c r="S48" s="215">
        <f t="shared" si="59"/>
        <v>996</v>
      </c>
      <c r="T48" s="203">
        <f>AI48</f>
        <v>996</v>
      </c>
      <c r="U48" s="215">
        <f t="shared" si="59"/>
        <v>996</v>
      </c>
      <c r="V48" s="203">
        <f>AJ48</f>
        <v>996</v>
      </c>
      <c r="W48" s="215">
        <f t="shared" si="59"/>
        <v>996</v>
      </c>
      <c r="Z48" s="203"/>
      <c r="AC48" s="197">
        <v>761</v>
      </c>
      <c r="AD48" s="197">
        <v>855</v>
      </c>
      <c r="AE48" s="197">
        <v>932</v>
      </c>
      <c r="AF48" s="197">
        <f>M48</f>
        <v>996</v>
      </c>
      <c r="AG48" s="197">
        <f>O48</f>
        <v>996</v>
      </c>
      <c r="AH48" s="197">
        <f>Q48</f>
        <v>996</v>
      </c>
      <c r="AI48" s="197">
        <f>S48</f>
        <v>996</v>
      </c>
      <c r="AJ48" s="197">
        <f>U48</f>
        <v>996</v>
      </c>
      <c r="AK48" s="223">
        <f>W48</f>
        <v>996</v>
      </c>
    </row>
    <row r="49" spans="2:39" x14ac:dyDescent="0.3">
      <c r="B49" s="66" t="s">
        <v>68</v>
      </c>
      <c r="C49" s="203">
        <v>38</v>
      </c>
      <c r="D49" s="215">
        <f>E49</f>
        <v>36</v>
      </c>
      <c r="E49" s="197">
        <v>36</v>
      </c>
      <c r="F49" s="203">
        <v>217</v>
      </c>
      <c r="G49" s="215">
        <f>AC49</f>
        <v>243</v>
      </c>
      <c r="H49" s="201">
        <v>40</v>
      </c>
      <c r="I49" s="215">
        <f>AD49</f>
        <v>37</v>
      </c>
      <c r="J49" s="201">
        <v>65</v>
      </c>
      <c r="K49" s="215">
        <f>AE49</f>
        <v>58</v>
      </c>
      <c r="L49" s="201">
        <v>73</v>
      </c>
      <c r="M49" s="215">
        <f t="shared" ref="M49:W49" si="60">L49</f>
        <v>73</v>
      </c>
      <c r="N49" s="203">
        <f>AF49</f>
        <v>73</v>
      </c>
      <c r="O49" s="215">
        <f t="shared" si="60"/>
        <v>73</v>
      </c>
      <c r="P49" s="203">
        <f>AG49</f>
        <v>73</v>
      </c>
      <c r="Q49" s="215">
        <f t="shared" si="60"/>
        <v>73</v>
      </c>
      <c r="R49" s="203">
        <f>AH49</f>
        <v>73</v>
      </c>
      <c r="S49" s="215">
        <f t="shared" si="60"/>
        <v>73</v>
      </c>
      <c r="T49" s="203">
        <f>AI49</f>
        <v>73</v>
      </c>
      <c r="U49" s="215">
        <f t="shared" si="60"/>
        <v>73</v>
      </c>
      <c r="V49" s="203">
        <f>AJ49</f>
        <v>73</v>
      </c>
      <c r="W49" s="215">
        <f t="shared" si="60"/>
        <v>73</v>
      </c>
      <c r="Z49" s="203"/>
      <c r="AC49" s="197">
        <v>243</v>
      </c>
      <c r="AD49" s="197">
        <v>37</v>
      </c>
      <c r="AE49" s="197">
        <v>58</v>
      </c>
      <c r="AF49" s="197">
        <f>M49</f>
        <v>73</v>
      </c>
      <c r="AG49" s="197">
        <f>O49</f>
        <v>73</v>
      </c>
      <c r="AH49" s="197">
        <f>Q49</f>
        <v>73</v>
      </c>
      <c r="AI49" s="197">
        <f>S49</f>
        <v>73</v>
      </c>
      <c r="AJ49" s="197">
        <f>U49</f>
        <v>73</v>
      </c>
      <c r="AK49" s="223">
        <f>W49</f>
        <v>73</v>
      </c>
    </row>
    <row r="50" spans="2:39" x14ac:dyDescent="0.3">
      <c r="B50" s="66" t="s">
        <v>174</v>
      </c>
      <c r="C50" s="203">
        <v>83</v>
      </c>
      <c r="D50" s="215">
        <f t="shared" ref="D50:D51" si="61">E50</f>
        <v>65</v>
      </c>
      <c r="E50" s="197">
        <v>65</v>
      </c>
      <c r="F50" s="203">
        <v>28</v>
      </c>
      <c r="G50" s="215">
        <f>AC50</f>
        <v>4</v>
      </c>
      <c r="H50" s="201">
        <v>5</v>
      </c>
      <c r="I50" s="215">
        <f>AD50</f>
        <v>5</v>
      </c>
      <c r="J50" s="201">
        <v>7</v>
      </c>
      <c r="K50" s="215">
        <f>AE50</f>
        <v>0</v>
      </c>
      <c r="L50" s="201">
        <v>0</v>
      </c>
      <c r="M50" s="215">
        <f t="shared" ref="M50:W50" si="62">L50</f>
        <v>0</v>
      </c>
      <c r="N50" s="203">
        <f>AF50</f>
        <v>0</v>
      </c>
      <c r="O50" s="215">
        <f t="shared" si="62"/>
        <v>0</v>
      </c>
      <c r="P50" s="203">
        <f>AG50</f>
        <v>0</v>
      </c>
      <c r="Q50" s="215">
        <f t="shared" si="62"/>
        <v>0</v>
      </c>
      <c r="R50" s="203">
        <f>AH50</f>
        <v>0</v>
      </c>
      <c r="S50" s="215">
        <f t="shared" si="62"/>
        <v>0</v>
      </c>
      <c r="T50" s="203">
        <f>AI50</f>
        <v>0</v>
      </c>
      <c r="U50" s="215">
        <f t="shared" si="62"/>
        <v>0</v>
      </c>
      <c r="V50" s="203">
        <f>AJ50</f>
        <v>0</v>
      </c>
      <c r="W50" s="215">
        <f t="shared" si="62"/>
        <v>0</v>
      </c>
      <c r="Z50" s="203"/>
      <c r="AC50" s="197">
        <v>4</v>
      </c>
      <c r="AD50" s="197">
        <v>5</v>
      </c>
      <c r="AE50" s="197">
        <v>0</v>
      </c>
      <c r="AF50" s="197">
        <f>M50</f>
        <v>0</v>
      </c>
      <c r="AG50" s="197">
        <f>O50</f>
        <v>0</v>
      </c>
      <c r="AH50" s="197">
        <f>Q50</f>
        <v>0</v>
      </c>
      <c r="AI50" s="197">
        <f>S50</f>
        <v>0</v>
      </c>
      <c r="AJ50" s="197">
        <f>U50</f>
        <v>0</v>
      </c>
      <c r="AK50" s="223">
        <f>W50</f>
        <v>0</v>
      </c>
    </row>
    <row r="51" spans="2:39" x14ac:dyDescent="0.3">
      <c r="B51" s="66" t="s">
        <v>173</v>
      </c>
      <c r="C51" s="203">
        <v>1578</v>
      </c>
      <c r="D51" s="215">
        <f t="shared" si="61"/>
        <v>1623</v>
      </c>
      <c r="E51" s="197">
        <v>1623</v>
      </c>
      <c r="F51" s="203">
        <v>1687</v>
      </c>
      <c r="G51" s="215">
        <f>AC51</f>
        <v>1844</v>
      </c>
      <c r="H51" s="201">
        <v>1767</v>
      </c>
      <c r="I51" s="215">
        <f>AD51</f>
        <v>1870</v>
      </c>
      <c r="J51" s="201">
        <v>1851</v>
      </c>
      <c r="K51" s="215">
        <f>AE51</f>
        <v>1713</v>
      </c>
      <c r="L51" s="201">
        <v>1684</v>
      </c>
      <c r="M51" s="215">
        <f t="shared" ref="M51:W51" si="63">L51</f>
        <v>1684</v>
      </c>
      <c r="N51" s="203">
        <f>AF51</f>
        <v>1684</v>
      </c>
      <c r="O51" s="215">
        <f t="shared" si="63"/>
        <v>1684</v>
      </c>
      <c r="P51" s="203">
        <f>AG51</f>
        <v>1684</v>
      </c>
      <c r="Q51" s="215">
        <f t="shared" si="63"/>
        <v>1684</v>
      </c>
      <c r="R51" s="203">
        <f>AH51</f>
        <v>1684</v>
      </c>
      <c r="S51" s="215">
        <f t="shared" si="63"/>
        <v>1684</v>
      </c>
      <c r="T51" s="203">
        <f>AI51</f>
        <v>1684</v>
      </c>
      <c r="U51" s="215">
        <f t="shared" si="63"/>
        <v>1684</v>
      </c>
      <c r="V51" s="203">
        <f>AJ51</f>
        <v>1684</v>
      </c>
      <c r="W51" s="215">
        <f t="shared" si="63"/>
        <v>1684</v>
      </c>
      <c r="Z51" s="203"/>
      <c r="AC51" s="197">
        <v>1844</v>
      </c>
      <c r="AD51" s="197">
        <v>1870</v>
      </c>
      <c r="AE51" s="197">
        <v>1713</v>
      </c>
      <c r="AF51" s="197">
        <f>M51</f>
        <v>1684</v>
      </c>
      <c r="AG51" s="197">
        <f>O51</f>
        <v>1684</v>
      </c>
      <c r="AH51" s="197">
        <f>Q51</f>
        <v>1684</v>
      </c>
      <c r="AI51" s="197">
        <f>S51</f>
        <v>1684</v>
      </c>
      <c r="AJ51" s="197">
        <f>U51</f>
        <v>1684</v>
      </c>
      <c r="AK51" s="223">
        <f>W51</f>
        <v>1684</v>
      </c>
    </row>
    <row r="52" spans="2:39" s="3" customFormat="1" x14ac:dyDescent="0.3">
      <c r="B52" s="67" t="s">
        <v>69</v>
      </c>
      <c r="C52" s="204">
        <f t="shared" ref="C52:H52" si="64">SUM(C45:C51)</f>
        <v>21398</v>
      </c>
      <c r="D52" s="217">
        <f t="shared" si="64"/>
        <v>21816</v>
      </c>
      <c r="E52" s="218">
        <f t="shared" si="64"/>
        <v>21816</v>
      </c>
      <c r="F52" s="204">
        <f t="shared" si="64"/>
        <v>22690</v>
      </c>
      <c r="G52" s="217">
        <f t="shared" si="64"/>
        <v>24100</v>
      </c>
      <c r="H52" s="202">
        <f t="shared" si="64"/>
        <v>24489</v>
      </c>
      <c r="I52" s="217">
        <f t="shared" ref="I52" si="65">SUM(I45:I51)-1</f>
        <v>25667</v>
      </c>
      <c r="J52" s="202">
        <f>SUM(J45:J51)+2</f>
        <v>25754</v>
      </c>
      <c r="K52" s="217">
        <f t="shared" ref="K52" si="66">SUM(K45:K51)-1</f>
        <v>25724</v>
      </c>
      <c r="L52" s="202">
        <f>SUM(L45:L51)</f>
        <v>26349</v>
      </c>
      <c r="M52" s="217">
        <f t="shared" ref="M52:W52" si="67">SUM(M45:M51)</f>
        <v>26492.4912</v>
      </c>
      <c r="N52" s="204">
        <f t="shared" si="67"/>
        <v>26774.033977999999</v>
      </c>
      <c r="O52" s="217">
        <f t="shared" si="67"/>
        <v>26965.564038320001</v>
      </c>
      <c r="P52" s="204">
        <f t="shared" si="67"/>
        <v>27176.896463520799</v>
      </c>
      <c r="Q52" s="217">
        <f t="shared" si="67"/>
        <v>27342.857887679551</v>
      </c>
      <c r="R52" s="204">
        <f t="shared" si="67"/>
        <v>27488.471919943779</v>
      </c>
      <c r="S52" s="217">
        <f t="shared" si="67"/>
        <v>27634.300023076252</v>
      </c>
      <c r="T52" s="204">
        <f t="shared" si="67"/>
        <v>27718.054342382427</v>
      </c>
      <c r="U52" s="217">
        <f t="shared" si="67"/>
        <v>27848.625542718455</v>
      </c>
      <c r="V52" s="204">
        <f t="shared" si="67"/>
        <v>28046.784716748374</v>
      </c>
      <c r="W52" s="217">
        <f t="shared" si="67"/>
        <v>28335.019219951264</v>
      </c>
      <c r="Y52"/>
      <c r="Z52" s="203"/>
      <c r="AC52" s="218">
        <f>SUM(AC45:AC51)</f>
        <v>24100</v>
      </c>
      <c r="AD52" s="218">
        <f>SUM(AD45:AD51)-1</f>
        <v>25667</v>
      </c>
      <c r="AE52" s="218">
        <f>SUM(AE45:AE51)-1</f>
        <v>25724</v>
      </c>
      <c r="AF52" s="218">
        <f>SUM(AF45:AF51)</f>
        <v>26492.4912</v>
      </c>
      <c r="AG52" s="218">
        <f>SUM(AG45:AG51)</f>
        <v>26965.564038320001</v>
      </c>
      <c r="AH52" s="218">
        <f>SUM(AH45:AH51)</f>
        <v>27342.857887679551</v>
      </c>
      <c r="AI52" s="218">
        <f>SUM(AI45:AI51)</f>
        <v>27634.300023076252</v>
      </c>
      <c r="AJ52" s="218">
        <f>SUM(AJ45:AJ51)</f>
        <v>27848.625542718455</v>
      </c>
      <c r="AK52" s="224">
        <f>SUM(AK45:AK51)</f>
        <v>28335.019219951264</v>
      </c>
      <c r="AM52"/>
    </row>
    <row r="53" spans="2:39" x14ac:dyDescent="0.3">
      <c r="B53" s="66"/>
      <c r="C53" s="203"/>
      <c r="D53" s="215"/>
      <c r="E53" s="197"/>
      <c r="F53" s="203"/>
      <c r="G53" s="215"/>
      <c r="H53" s="201"/>
      <c r="I53" s="215"/>
      <c r="J53" s="201"/>
      <c r="K53" s="215"/>
      <c r="L53" s="201"/>
      <c r="M53" s="215"/>
      <c r="N53" s="203"/>
      <c r="O53" s="215"/>
      <c r="P53" s="203"/>
      <c r="Q53" s="215"/>
      <c r="R53" s="203"/>
      <c r="S53" s="215"/>
      <c r="T53" s="203"/>
      <c r="U53" s="215"/>
      <c r="V53" s="203"/>
      <c r="W53" s="215"/>
      <c r="Z53" s="203"/>
      <c r="AC53" s="197"/>
      <c r="AD53" s="197"/>
      <c r="AE53" s="197"/>
      <c r="AF53" s="197"/>
      <c r="AG53" s="197"/>
      <c r="AH53" s="197"/>
      <c r="AI53" s="197"/>
      <c r="AJ53" s="197"/>
      <c r="AK53" s="223"/>
    </row>
    <row r="54" spans="2:39" x14ac:dyDescent="0.3">
      <c r="B54" s="66" t="s">
        <v>70</v>
      </c>
      <c r="C54" s="203">
        <v>6139</v>
      </c>
      <c r="D54" s="215">
        <f t="shared" ref="D54:D61" si="68">E54</f>
        <v>6555</v>
      </c>
      <c r="E54" s="197">
        <v>6555</v>
      </c>
      <c r="F54" s="203">
        <v>6694</v>
      </c>
      <c r="G54" s="215">
        <f>AC54</f>
        <v>7369</v>
      </c>
      <c r="H54" s="201">
        <v>7567</v>
      </c>
      <c r="I54" s="215">
        <f>AD54</f>
        <v>8104</v>
      </c>
      <c r="J54" s="201">
        <v>8252</v>
      </c>
      <c r="K54" s="215">
        <f>AE54</f>
        <v>8255</v>
      </c>
      <c r="L54" s="201">
        <v>8423</v>
      </c>
      <c r="M54" s="215">
        <f>Schedules!$K$18</f>
        <v>8255</v>
      </c>
      <c r="N54" s="203">
        <f>Schedules!$K$18</f>
        <v>8255</v>
      </c>
      <c r="O54" s="215">
        <f>Schedules!$K$18</f>
        <v>8255</v>
      </c>
      <c r="P54" s="203">
        <f>Schedules!$K$18</f>
        <v>8255</v>
      </c>
      <c r="Q54" s="215">
        <f>Schedules!$K$18</f>
        <v>8255</v>
      </c>
      <c r="R54" s="203">
        <f>Schedules!$K$18</f>
        <v>8255</v>
      </c>
      <c r="S54" s="215">
        <f>Schedules!$K$18</f>
        <v>8255</v>
      </c>
      <c r="T54" s="203">
        <f>Schedules!$K$18</f>
        <v>8255</v>
      </c>
      <c r="U54" s="215">
        <f>Schedules!$K$18</f>
        <v>8255</v>
      </c>
      <c r="V54" s="203">
        <f>Schedules!$K$18</f>
        <v>8255</v>
      </c>
      <c r="W54" s="215">
        <f>Schedules!$K$18</f>
        <v>8255</v>
      </c>
      <c r="Z54" s="203"/>
      <c r="AC54" s="197">
        <v>7369</v>
      </c>
      <c r="AD54" s="197">
        <v>8104</v>
      </c>
      <c r="AE54" s="197">
        <v>8255</v>
      </c>
      <c r="AF54" s="197">
        <f>Schedules!$K$18</f>
        <v>8255</v>
      </c>
      <c r="AG54" s="197">
        <f>Schedules!$K$18</f>
        <v>8255</v>
      </c>
      <c r="AH54" s="197">
        <f>Schedules!$K$18</f>
        <v>8255</v>
      </c>
      <c r="AI54" s="197">
        <f>Schedules!$K$18</f>
        <v>8255</v>
      </c>
      <c r="AJ54" s="197">
        <f>Schedules!$K$18</f>
        <v>8255</v>
      </c>
      <c r="AK54" s="223">
        <f>Schedules!$K$18</f>
        <v>8255</v>
      </c>
    </row>
    <row r="55" spans="2:39" x14ac:dyDescent="0.3">
      <c r="B55" s="66" t="s">
        <v>71</v>
      </c>
      <c r="C55" s="203">
        <v>1829</v>
      </c>
      <c r="D55" s="215">
        <f t="shared" si="68"/>
        <v>1126</v>
      </c>
      <c r="E55" s="197">
        <v>1126</v>
      </c>
      <c r="F55" s="203">
        <v>2233</v>
      </c>
      <c r="G55" s="215">
        <f>AC55</f>
        <v>1388</v>
      </c>
      <c r="H55" s="201">
        <v>2469</v>
      </c>
      <c r="I55" s="215">
        <f>AD55</f>
        <v>1814</v>
      </c>
      <c r="J55" s="201">
        <v>2458</v>
      </c>
      <c r="K55" s="215">
        <f>AE55</f>
        <v>1581</v>
      </c>
      <c r="L55" s="201">
        <v>2203</v>
      </c>
      <c r="M55" s="215">
        <f>Schedules!$K$19</f>
        <v>1581</v>
      </c>
      <c r="N55" s="203">
        <f>Schedules!$K$19</f>
        <v>1581</v>
      </c>
      <c r="O55" s="215">
        <f>Schedules!$K$19</f>
        <v>1581</v>
      </c>
      <c r="P55" s="203">
        <f>Schedules!$K$19</f>
        <v>1581</v>
      </c>
      <c r="Q55" s="215">
        <f>Schedules!$K$19</f>
        <v>1581</v>
      </c>
      <c r="R55" s="203">
        <f>Schedules!$K$19</f>
        <v>1581</v>
      </c>
      <c r="S55" s="215">
        <f>Schedules!$K$19</f>
        <v>1581</v>
      </c>
      <c r="T55" s="203">
        <f>Schedules!$K$19</f>
        <v>1581</v>
      </c>
      <c r="U55" s="215">
        <f>Schedules!$K$19</f>
        <v>1581</v>
      </c>
      <c r="V55" s="203">
        <f>Schedules!$K$19</f>
        <v>1581</v>
      </c>
      <c r="W55" s="215">
        <f>Schedules!$K$19</f>
        <v>1581</v>
      </c>
      <c r="Z55" s="203"/>
      <c r="AC55" s="197">
        <v>1388</v>
      </c>
      <c r="AD55" s="197">
        <v>1814</v>
      </c>
      <c r="AE55" s="197">
        <v>1581</v>
      </c>
      <c r="AF55" s="197">
        <f>Schedules!$K$19</f>
        <v>1581</v>
      </c>
      <c r="AG55" s="197">
        <f>Schedules!$K$19</f>
        <v>1581</v>
      </c>
      <c r="AH55" s="197">
        <f>Schedules!$K$19</f>
        <v>1581</v>
      </c>
      <c r="AI55" s="197">
        <f>Schedules!$K$19</f>
        <v>1581</v>
      </c>
      <c r="AJ55" s="197">
        <f>Schedules!$K$19</f>
        <v>1581</v>
      </c>
      <c r="AK55" s="223">
        <f>Schedules!$K$19</f>
        <v>1581</v>
      </c>
    </row>
    <row r="56" spans="2:39" x14ac:dyDescent="0.3">
      <c r="B56" s="66" t="s">
        <v>72</v>
      </c>
      <c r="C56" s="203">
        <v>133</v>
      </c>
      <c r="D56" s="215">
        <f t="shared" si="68"/>
        <v>141</v>
      </c>
      <c r="E56" s="197">
        <v>141</v>
      </c>
      <c r="F56" s="203">
        <v>77</v>
      </c>
      <c r="G56" s="215">
        <f>AC56</f>
        <v>145</v>
      </c>
      <c r="H56" s="201">
        <v>97</v>
      </c>
      <c r="I56" s="215">
        <f>AD56</f>
        <v>31</v>
      </c>
      <c r="J56" s="201">
        <v>110</v>
      </c>
      <c r="K56" s="215">
        <f>AE56</f>
        <v>122</v>
      </c>
      <c r="L56" s="201">
        <v>97</v>
      </c>
      <c r="M56" s="215">
        <f t="shared" ref="M56:W56" si="69">L56</f>
        <v>97</v>
      </c>
      <c r="N56" s="203">
        <f>AF56</f>
        <v>97</v>
      </c>
      <c r="O56" s="215">
        <f t="shared" si="69"/>
        <v>97</v>
      </c>
      <c r="P56" s="203">
        <f>AG56</f>
        <v>97</v>
      </c>
      <c r="Q56" s="215">
        <f t="shared" si="69"/>
        <v>97</v>
      </c>
      <c r="R56" s="203">
        <f>AH56</f>
        <v>97</v>
      </c>
      <c r="S56" s="215">
        <f t="shared" si="69"/>
        <v>97</v>
      </c>
      <c r="T56" s="203">
        <f>AI56</f>
        <v>97</v>
      </c>
      <c r="U56" s="215">
        <f t="shared" si="69"/>
        <v>97</v>
      </c>
      <c r="V56" s="203">
        <f>AJ56</f>
        <v>97</v>
      </c>
      <c r="W56" s="215">
        <f t="shared" si="69"/>
        <v>97</v>
      </c>
      <c r="Z56" s="203"/>
      <c r="AC56" s="197">
        <v>145</v>
      </c>
      <c r="AD56" s="197">
        <v>31</v>
      </c>
      <c r="AE56" s="197">
        <v>122</v>
      </c>
      <c r="AF56" s="197">
        <f>M56</f>
        <v>97</v>
      </c>
      <c r="AG56" s="197">
        <f>O56</f>
        <v>97</v>
      </c>
      <c r="AH56" s="197">
        <f>Q56</f>
        <v>97</v>
      </c>
      <c r="AI56" s="197">
        <f>S56</f>
        <v>97</v>
      </c>
      <c r="AJ56" s="197">
        <f>U56</f>
        <v>97</v>
      </c>
      <c r="AK56" s="223">
        <f>W56</f>
        <v>97</v>
      </c>
    </row>
    <row r="57" spans="2:39" x14ac:dyDescent="0.3">
      <c r="B57" s="66" t="s">
        <v>175</v>
      </c>
      <c r="C57" s="203">
        <v>299</v>
      </c>
      <c r="D57" s="215">
        <f t="shared" si="68"/>
        <v>413</v>
      </c>
      <c r="E57" s="197">
        <v>413</v>
      </c>
      <c r="F57" s="203">
        <v>353</v>
      </c>
      <c r="G57" s="215">
        <f>AC57</f>
        <v>435</v>
      </c>
      <c r="H57" s="201">
        <v>448</v>
      </c>
      <c r="I57" s="215">
        <f>AD57</f>
        <v>435</v>
      </c>
      <c r="J57" s="201">
        <v>456</v>
      </c>
      <c r="K57" s="215">
        <f>AE57</f>
        <v>416</v>
      </c>
      <c r="L57" s="201">
        <v>420</v>
      </c>
      <c r="M57" s="215">
        <f t="shared" ref="M57:W57" si="70">L57</f>
        <v>420</v>
      </c>
      <c r="N57" s="203">
        <f>AF57</f>
        <v>420</v>
      </c>
      <c r="O57" s="215">
        <f t="shared" si="70"/>
        <v>420</v>
      </c>
      <c r="P57" s="203">
        <f>AG57</f>
        <v>420</v>
      </c>
      <c r="Q57" s="215">
        <f t="shared" si="70"/>
        <v>420</v>
      </c>
      <c r="R57" s="203">
        <f>AH57</f>
        <v>420</v>
      </c>
      <c r="S57" s="215">
        <f t="shared" si="70"/>
        <v>420</v>
      </c>
      <c r="T57" s="203">
        <f>AI57</f>
        <v>420</v>
      </c>
      <c r="U57" s="215">
        <f t="shared" si="70"/>
        <v>420</v>
      </c>
      <c r="V57" s="203">
        <f>AJ57</f>
        <v>420</v>
      </c>
      <c r="W57" s="215">
        <f t="shared" si="70"/>
        <v>420</v>
      </c>
      <c r="Z57" s="203"/>
      <c r="AC57" s="197">
        <v>435</v>
      </c>
      <c r="AD57" s="197">
        <v>435</v>
      </c>
      <c r="AE57" s="197">
        <v>416</v>
      </c>
      <c r="AF57" s="197">
        <f>M57</f>
        <v>420</v>
      </c>
      <c r="AG57" s="197">
        <f>O57</f>
        <v>420</v>
      </c>
      <c r="AH57" s="197">
        <f>Q57</f>
        <v>420</v>
      </c>
      <c r="AI57" s="197">
        <f>S57</f>
        <v>420</v>
      </c>
      <c r="AJ57" s="197">
        <f>U57</f>
        <v>420</v>
      </c>
      <c r="AK57" s="223">
        <f>W57</f>
        <v>420</v>
      </c>
    </row>
    <row r="58" spans="2:39" x14ac:dyDescent="0.3">
      <c r="B58" s="66" t="s">
        <v>73</v>
      </c>
      <c r="C58" s="203">
        <v>9</v>
      </c>
      <c r="D58" s="215">
        <f t="shared" si="68"/>
        <v>8</v>
      </c>
      <c r="E58" s="197">
        <v>8</v>
      </c>
      <c r="F58" s="203">
        <v>26</v>
      </c>
      <c r="G58" s="215">
        <f>AC58</f>
        <v>32</v>
      </c>
      <c r="H58" s="201">
        <v>10</v>
      </c>
      <c r="I58" s="215">
        <f>AD58</f>
        <v>15</v>
      </c>
      <c r="J58" s="201">
        <v>9</v>
      </c>
      <c r="K58" s="215">
        <f>AE58</f>
        <v>8</v>
      </c>
      <c r="L58" s="201">
        <v>19</v>
      </c>
      <c r="M58" s="215">
        <f t="shared" ref="M58:W58" si="71">L58</f>
        <v>19</v>
      </c>
      <c r="N58" s="203">
        <f>AF58</f>
        <v>19</v>
      </c>
      <c r="O58" s="215">
        <f t="shared" si="71"/>
        <v>19</v>
      </c>
      <c r="P58" s="203">
        <f>AG58</f>
        <v>19</v>
      </c>
      <c r="Q58" s="215">
        <f t="shared" si="71"/>
        <v>19</v>
      </c>
      <c r="R58" s="203">
        <f>AH58</f>
        <v>19</v>
      </c>
      <c r="S58" s="215">
        <f t="shared" si="71"/>
        <v>19</v>
      </c>
      <c r="T58" s="203">
        <f>AI58</f>
        <v>19</v>
      </c>
      <c r="U58" s="215">
        <f t="shared" si="71"/>
        <v>19</v>
      </c>
      <c r="V58" s="203">
        <f>AJ58</f>
        <v>19</v>
      </c>
      <c r="W58" s="215">
        <f t="shared" si="71"/>
        <v>19</v>
      </c>
      <c r="Z58" s="203"/>
      <c r="AC58" s="197">
        <v>32</v>
      </c>
      <c r="AD58" s="197">
        <v>15</v>
      </c>
      <c r="AE58" s="197">
        <v>8</v>
      </c>
      <c r="AF58" s="197">
        <f>M58</f>
        <v>19</v>
      </c>
      <c r="AG58" s="197">
        <f>O58</f>
        <v>19</v>
      </c>
      <c r="AH58" s="197">
        <f>Q58</f>
        <v>19</v>
      </c>
      <c r="AI58" s="197">
        <f>S58</f>
        <v>19</v>
      </c>
      <c r="AJ58" s="197">
        <f>U58</f>
        <v>19</v>
      </c>
      <c r="AK58" s="223">
        <f>W58</f>
        <v>19</v>
      </c>
    </row>
    <row r="59" spans="2:39" x14ac:dyDescent="0.3">
      <c r="B59" s="66" t="s">
        <v>74</v>
      </c>
      <c r="C59" s="203">
        <v>1955</v>
      </c>
      <c r="D59" s="215">
        <f t="shared" si="68"/>
        <v>2078</v>
      </c>
      <c r="E59" s="197">
        <v>2078</v>
      </c>
      <c r="F59" s="203">
        <v>1997</v>
      </c>
      <c r="G59" s="215">
        <f>AC59</f>
        <v>2527</v>
      </c>
      <c r="H59" s="201">
        <v>1796</v>
      </c>
      <c r="I59" s="215">
        <f>AD59</f>
        <v>1609</v>
      </c>
      <c r="J59" s="201">
        <v>1639</v>
      </c>
      <c r="K59" s="215">
        <f>AE59</f>
        <v>2683</v>
      </c>
      <c r="L59" s="201">
        <v>1916</v>
      </c>
      <c r="M59" s="215">
        <f t="shared" ref="M59:W59" si="72">M143</f>
        <v>3846.2722300000005</v>
      </c>
      <c r="N59" s="203">
        <f t="shared" si="72"/>
        <v>5159.6525335599999</v>
      </c>
      <c r="O59" s="215">
        <f t="shared" si="72"/>
        <v>6271.6443693563997</v>
      </c>
      <c r="P59" s="203">
        <f t="shared" si="72"/>
        <v>7516.187467835216</v>
      </c>
      <c r="Q59" s="215">
        <f t="shared" si="72"/>
        <v>8689.1363428188033</v>
      </c>
      <c r="R59" s="203">
        <f t="shared" si="72"/>
        <v>9946.5240414204181</v>
      </c>
      <c r="S59" s="215">
        <f t="shared" si="72"/>
        <v>11275.121746040362</v>
      </c>
      <c r="T59" s="203">
        <f t="shared" si="72"/>
        <v>12446.475289056923</v>
      </c>
      <c r="U59" s="215">
        <f t="shared" si="72"/>
        <v>13847.591570763208</v>
      </c>
      <c r="V59" s="203">
        <f t="shared" si="72"/>
        <v>14906.613928008223</v>
      </c>
      <c r="W59" s="215">
        <f t="shared" si="72"/>
        <v>16359.493020214806</v>
      </c>
      <c r="Z59" s="203"/>
      <c r="AC59" s="197">
        <v>2527</v>
      </c>
      <c r="AD59" s="197">
        <v>1609</v>
      </c>
      <c r="AE59" s="197">
        <v>2683</v>
      </c>
      <c r="AF59" s="197">
        <f>AF143</f>
        <v>3846.27223</v>
      </c>
      <c r="AG59" s="197">
        <f>AG143</f>
        <v>6272.6443693563997</v>
      </c>
      <c r="AH59" s="197">
        <f>AH143</f>
        <v>8689.1363428188015</v>
      </c>
      <c r="AI59" s="197">
        <f>AI143</f>
        <v>11275.121746040362</v>
      </c>
      <c r="AJ59" s="197">
        <f>AJ143</f>
        <v>13847.591570763208</v>
      </c>
      <c r="AK59" s="223">
        <f>AK143</f>
        <v>16359.493020214806</v>
      </c>
    </row>
    <row r="60" spans="2:39" s="3" customFormat="1" x14ac:dyDescent="0.3">
      <c r="B60" s="67" t="s">
        <v>75</v>
      </c>
      <c r="C60" s="204">
        <f>SUM(C54:C59)-1</f>
        <v>10363</v>
      </c>
      <c r="D60" s="217">
        <f t="shared" ref="D60:I60" si="73">SUM(D54:D59)</f>
        <v>10321</v>
      </c>
      <c r="E60" s="218">
        <f t="shared" si="73"/>
        <v>10321</v>
      </c>
      <c r="F60" s="204">
        <f t="shared" si="73"/>
        <v>11380</v>
      </c>
      <c r="G60" s="217">
        <f t="shared" si="73"/>
        <v>11896</v>
      </c>
      <c r="H60" s="202">
        <f>SUM(H54:H59)-1</f>
        <v>12386</v>
      </c>
      <c r="I60" s="217">
        <f t="shared" si="73"/>
        <v>12008</v>
      </c>
      <c r="J60" s="202">
        <f>SUM(J54:J59)-1</f>
        <v>12923</v>
      </c>
      <c r="K60" s="217">
        <f t="shared" ref="K60" si="74">SUM(K54:K59)</f>
        <v>13065</v>
      </c>
      <c r="L60" s="202">
        <f>SUM(L54:L59)</f>
        <v>13078</v>
      </c>
      <c r="M60" s="217">
        <f t="shared" ref="M60:W60" si="75">SUM(M54:M59)</f>
        <v>14218.27223</v>
      </c>
      <c r="N60" s="204">
        <f t="shared" si="75"/>
        <v>15531.65253356</v>
      </c>
      <c r="O60" s="217">
        <f t="shared" si="75"/>
        <v>16643.6443693564</v>
      </c>
      <c r="P60" s="204">
        <f t="shared" si="75"/>
        <v>17888.187467835218</v>
      </c>
      <c r="Q60" s="217">
        <f t="shared" si="75"/>
        <v>19061.136342818805</v>
      </c>
      <c r="R60" s="204">
        <f t="shared" si="75"/>
        <v>20318.524041420416</v>
      </c>
      <c r="S60" s="217">
        <f t="shared" si="75"/>
        <v>21647.121746040364</v>
      </c>
      <c r="T60" s="204">
        <f t="shared" si="75"/>
        <v>22818.475289056922</v>
      </c>
      <c r="U60" s="217">
        <f t="shared" si="75"/>
        <v>24219.591570763208</v>
      </c>
      <c r="V60" s="204">
        <f t="shared" si="75"/>
        <v>25278.613928008221</v>
      </c>
      <c r="W60" s="217">
        <f t="shared" si="75"/>
        <v>26731.493020214806</v>
      </c>
      <c r="Y60"/>
      <c r="Z60" s="203"/>
      <c r="AC60" s="218">
        <f>SUM(AC54:AC59)</f>
        <v>11896</v>
      </c>
      <c r="AD60" s="218">
        <f>SUM(AD54:AD59)</f>
        <v>12008</v>
      </c>
      <c r="AE60" s="218">
        <f>SUM(AE54:AE59)</f>
        <v>13065</v>
      </c>
      <c r="AF60" s="218">
        <f>SUM(AF54:AF59)</f>
        <v>14218.27223</v>
      </c>
      <c r="AG60" s="218">
        <f>SUM(AG54:AG59)</f>
        <v>16644.6443693564</v>
      </c>
      <c r="AH60" s="218">
        <f>SUM(AH54:AH59)</f>
        <v>19061.136342818801</v>
      </c>
      <c r="AI60" s="218">
        <f>SUM(AI54:AI59)</f>
        <v>21647.121746040364</v>
      </c>
      <c r="AJ60" s="218">
        <f>SUM(AJ54:AJ59)</f>
        <v>24219.591570763208</v>
      </c>
      <c r="AK60" s="224">
        <f>SUM(AK54:AK59)</f>
        <v>26731.493020214806</v>
      </c>
      <c r="AM60"/>
    </row>
    <row r="61" spans="2:39" x14ac:dyDescent="0.3">
      <c r="B61" s="66" t="s">
        <v>176</v>
      </c>
      <c r="C61" s="203">
        <v>11</v>
      </c>
      <c r="D61" s="215">
        <f t="shared" si="68"/>
        <v>11</v>
      </c>
      <c r="E61" s="197">
        <v>11</v>
      </c>
      <c r="F61" s="203">
        <v>0</v>
      </c>
      <c r="G61" s="215">
        <f>AC61</f>
        <v>15</v>
      </c>
      <c r="H61" s="201">
        <v>1</v>
      </c>
      <c r="I61" s="215">
        <f>AD61</f>
        <v>1</v>
      </c>
      <c r="J61" s="201">
        <v>60</v>
      </c>
      <c r="K61" s="215">
        <f>AE61</f>
        <v>395</v>
      </c>
      <c r="L61" s="201">
        <v>367</v>
      </c>
      <c r="M61" s="215">
        <f t="shared" ref="M61" si="76">L61</f>
        <v>367</v>
      </c>
      <c r="N61" s="203">
        <f>AF61</f>
        <v>367</v>
      </c>
      <c r="O61" s="215">
        <f t="shared" ref="O61" si="77">N61</f>
        <v>367</v>
      </c>
      <c r="P61" s="203">
        <f>AG61</f>
        <v>367</v>
      </c>
      <c r="Q61" s="215">
        <f t="shared" ref="Q61" si="78">P61</f>
        <v>367</v>
      </c>
      <c r="R61" s="203">
        <f>AH61</f>
        <v>367</v>
      </c>
      <c r="S61" s="215">
        <f t="shared" ref="S61" si="79">R61</f>
        <v>367</v>
      </c>
      <c r="T61" s="203">
        <f>AI61</f>
        <v>367</v>
      </c>
      <c r="U61" s="215">
        <f t="shared" ref="U61" si="80">T61</f>
        <v>367</v>
      </c>
      <c r="V61" s="203">
        <f>AJ61</f>
        <v>367</v>
      </c>
      <c r="W61" s="215">
        <f t="shared" ref="W61" si="81">V61</f>
        <v>367</v>
      </c>
      <c r="Z61" s="203"/>
      <c r="AC61" s="197">
        <v>15</v>
      </c>
      <c r="AD61" s="197">
        <v>1</v>
      </c>
      <c r="AE61" s="197">
        <v>395</v>
      </c>
      <c r="AF61" s="197">
        <f>M61</f>
        <v>367</v>
      </c>
      <c r="AG61" s="197">
        <f>O61</f>
        <v>367</v>
      </c>
      <c r="AH61" s="197">
        <f>Q61</f>
        <v>367</v>
      </c>
      <c r="AI61" s="197">
        <f>S61</f>
        <v>367</v>
      </c>
      <c r="AJ61" s="197">
        <f>U61</f>
        <v>367</v>
      </c>
      <c r="AK61" s="223">
        <f>W61</f>
        <v>367</v>
      </c>
    </row>
    <row r="62" spans="2:39" s="3" customFormat="1" x14ac:dyDescent="0.3">
      <c r="B62" s="67" t="s">
        <v>76</v>
      </c>
      <c r="C62" s="204">
        <f t="shared" ref="C62:I62" si="82">C61+C52+C60</f>
        <v>31772</v>
      </c>
      <c r="D62" s="217">
        <f>D61+D52+D60-1</f>
        <v>32147</v>
      </c>
      <c r="E62" s="218">
        <f>E61+E52+E60-1</f>
        <v>32147</v>
      </c>
      <c r="F62" s="204">
        <f t="shared" si="82"/>
        <v>34070</v>
      </c>
      <c r="G62" s="217">
        <f>G61+G52+G60+1</f>
        <v>36012</v>
      </c>
      <c r="H62" s="202">
        <f>H61+H52+H60-1</f>
        <v>36875</v>
      </c>
      <c r="I62" s="217">
        <f t="shared" si="82"/>
        <v>37676</v>
      </c>
      <c r="J62" s="202">
        <f t="shared" ref="J62" si="83">J61+J52+J60</f>
        <v>38737</v>
      </c>
      <c r="K62" s="217">
        <f>K61+K52+K60+1</f>
        <v>39185</v>
      </c>
      <c r="L62" s="202">
        <f>L61+L52+L60+1</f>
        <v>39795</v>
      </c>
      <c r="M62" s="217">
        <f t="shared" ref="M62:W62" si="84">M61+M52+M60</f>
        <v>41077.763429999999</v>
      </c>
      <c r="N62" s="204">
        <f t="shared" si="84"/>
        <v>42672.686511560001</v>
      </c>
      <c r="O62" s="217">
        <f t="shared" si="84"/>
        <v>43976.2084076764</v>
      </c>
      <c r="P62" s="204">
        <f t="shared" si="84"/>
        <v>45432.083931356014</v>
      </c>
      <c r="Q62" s="217">
        <f t="shared" si="84"/>
        <v>46770.994230498356</v>
      </c>
      <c r="R62" s="204">
        <f t="shared" si="84"/>
        <v>48173.995961364199</v>
      </c>
      <c r="S62" s="217">
        <f t="shared" si="84"/>
        <v>49648.421769116612</v>
      </c>
      <c r="T62" s="204">
        <f t="shared" si="84"/>
        <v>50903.529631439349</v>
      </c>
      <c r="U62" s="217">
        <f t="shared" si="84"/>
        <v>52435.21711348166</v>
      </c>
      <c r="V62" s="204">
        <f t="shared" si="84"/>
        <v>53692.398644756599</v>
      </c>
      <c r="W62" s="217">
        <f t="shared" si="84"/>
        <v>55433.51224016607</v>
      </c>
      <c r="Y62"/>
      <c r="Z62" s="203"/>
      <c r="AC62" s="218">
        <f>AC61+AC52+AC60+1</f>
        <v>36012</v>
      </c>
      <c r="AD62" s="218">
        <f>AD61+AD52+AD60</f>
        <v>37676</v>
      </c>
      <c r="AE62" s="218">
        <f>AE61+AE52+AE60+1</f>
        <v>39185</v>
      </c>
      <c r="AF62" s="218">
        <f>AF61+AF52+AF60</f>
        <v>41077.763429999999</v>
      </c>
      <c r="AG62" s="218">
        <f>AG61+AG52+AG60-1</f>
        <v>43976.2084076764</v>
      </c>
      <c r="AH62" s="218">
        <f>AH61+AH52+AH60</f>
        <v>46770.994230498356</v>
      </c>
      <c r="AI62" s="218">
        <f>AI61+AI52+AI60</f>
        <v>49648.421769116612</v>
      </c>
      <c r="AJ62" s="218">
        <f>AJ61+AJ52+AJ60</f>
        <v>52435.21711348166</v>
      </c>
      <c r="AK62" s="224">
        <f>AK61+AK52+AK60</f>
        <v>55433.51224016607</v>
      </c>
      <c r="AM62"/>
    </row>
    <row r="63" spans="2:39" x14ac:dyDescent="0.3">
      <c r="B63" s="67"/>
      <c r="C63" s="203"/>
      <c r="D63" s="215"/>
      <c r="E63" s="197"/>
      <c r="F63" s="203"/>
      <c r="G63" s="215"/>
      <c r="H63" s="201"/>
      <c r="I63" s="215"/>
      <c r="J63" s="201"/>
      <c r="K63" s="215"/>
      <c r="L63" s="201"/>
      <c r="M63" s="215"/>
      <c r="N63" s="203"/>
      <c r="O63" s="215"/>
      <c r="P63" s="203"/>
      <c r="Q63" s="215"/>
      <c r="R63" s="203"/>
      <c r="S63" s="215"/>
      <c r="T63" s="203"/>
      <c r="U63" s="215"/>
      <c r="V63" s="203"/>
      <c r="W63" s="215"/>
      <c r="AC63" s="197"/>
      <c r="AD63" s="197"/>
      <c r="AE63" s="197"/>
      <c r="AF63" s="197"/>
      <c r="AG63" s="197"/>
      <c r="AH63" s="197"/>
      <c r="AI63" s="197"/>
      <c r="AJ63" s="197"/>
      <c r="AK63" s="223"/>
    </row>
    <row r="64" spans="2:39" x14ac:dyDescent="0.3">
      <c r="B64" s="66" t="s">
        <v>77</v>
      </c>
      <c r="C64" s="203">
        <v>406</v>
      </c>
      <c r="D64" s="215">
        <f t="shared" ref="D64:D67" si="85">E64</f>
        <v>406</v>
      </c>
      <c r="E64" s="197">
        <v>406</v>
      </c>
      <c r="F64" s="203">
        <v>406</v>
      </c>
      <c r="G64" s="215">
        <f>AC64</f>
        <v>400</v>
      </c>
      <c r="H64" s="201">
        <v>400</v>
      </c>
      <c r="I64" s="215">
        <f>AD64</f>
        <v>396</v>
      </c>
      <c r="J64" s="201">
        <v>396</v>
      </c>
      <c r="K64" s="215">
        <f>AE64</f>
        <v>393</v>
      </c>
      <c r="L64" s="201">
        <v>391</v>
      </c>
      <c r="M64" s="215">
        <f t="shared" ref="M64:W64" si="86">L64</f>
        <v>391</v>
      </c>
      <c r="N64" s="203">
        <f>AF64</f>
        <v>391</v>
      </c>
      <c r="O64" s="215">
        <f t="shared" si="86"/>
        <v>391</v>
      </c>
      <c r="P64" s="203">
        <f>AG64</f>
        <v>391</v>
      </c>
      <c r="Q64" s="215">
        <f t="shared" si="86"/>
        <v>391</v>
      </c>
      <c r="R64" s="203">
        <f>AH64</f>
        <v>391</v>
      </c>
      <c r="S64" s="215">
        <f t="shared" si="86"/>
        <v>391</v>
      </c>
      <c r="T64" s="203">
        <f>AI64</f>
        <v>391</v>
      </c>
      <c r="U64" s="215">
        <f t="shared" si="86"/>
        <v>391</v>
      </c>
      <c r="V64" s="203">
        <f>AJ64</f>
        <v>391</v>
      </c>
      <c r="W64" s="215">
        <f t="shared" si="86"/>
        <v>391</v>
      </c>
      <c r="Z64" s="203"/>
      <c r="AC64" s="197">
        <v>400</v>
      </c>
      <c r="AD64" s="197">
        <v>396</v>
      </c>
      <c r="AE64" s="197">
        <v>393</v>
      </c>
      <c r="AF64" s="197">
        <f>M64</f>
        <v>391</v>
      </c>
      <c r="AG64" s="197">
        <f>O64</f>
        <v>391</v>
      </c>
      <c r="AH64" s="197">
        <f>Q64</f>
        <v>391</v>
      </c>
      <c r="AI64" s="197">
        <f>S64</f>
        <v>391</v>
      </c>
      <c r="AJ64" s="197">
        <f>U64</f>
        <v>391</v>
      </c>
      <c r="AK64" s="223">
        <f>W64</f>
        <v>391</v>
      </c>
    </row>
    <row r="65" spans="2:39" x14ac:dyDescent="0.3">
      <c r="B65" s="66" t="s">
        <v>78</v>
      </c>
      <c r="C65" s="203">
        <v>3052</v>
      </c>
      <c r="D65" s="215">
        <f t="shared" si="85"/>
        <v>3052</v>
      </c>
      <c r="E65" s="197">
        <v>3052</v>
      </c>
      <c r="F65" s="203">
        <v>3052</v>
      </c>
      <c r="G65" s="215">
        <f>AC65</f>
        <v>3052</v>
      </c>
      <c r="H65" s="201">
        <v>3052</v>
      </c>
      <c r="I65" s="215">
        <f>AD65</f>
        <v>3052</v>
      </c>
      <c r="J65" s="201">
        <v>3052</v>
      </c>
      <c r="K65" s="215">
        <f>AE65</f>
        <v>3052</v>
      </c>
      <c r="L65" s="201">
        <v>3052</v>
      </c>
      <c r="M65" s="215">
        <f t="shared" ref="M65:W65" si="87">L65</f>
        <v>3052</v>
      </c>
      <c r="N65" s="203">
        <f>AF65</f>
        <v>3052</v>
      </c>
      <c r="O65" s="215">
        <f t="shared" si="87"/>
        <v>3052</v>
      </c>
      <c r="P65" s="203">
        <f>AG65</f>
        <v>3052</v>
      </c>
      <c r="Q65" s="215">
        <f t="shared" si="87"/>
        <v>3052</v>
      </c>
      <c r="R65" s="203">
        <f>AH65</f>
        <v>3052</v>
      </c>
      <c r="S65" s="215">
        <f t="shared" si="87"/>
        <v>3052</v>
      </c>
      <c r="T65" s="203">
        <f>AI65</f>
        <v>3052</v>
      </c>
      <c r="U65" s="215">
        <f t="shared" si="87"/>
        <v>3052</v>
      </c>
      <c r="V65" s="203">
        <f>AJ65</f>
        <v>3052</v>
      </c>
      <c r="W65" s="215">
        <f t="shared" si="87"/>
        <v>3052</v>
      </c>
      <c r="Z65" s="203"/>
      <c r="AC65" s="197">
        <v>3052</v>
      </c>
      <c r="AD65" s="197">
        <v>3052</v>
      </c>
      <c r="AE65" s="197">
        <v>3052</v>
      </c>
      <c r="AF65" s="197">
        <f>M65</f>
        <v>3052</v>
      </c>
      <c r="AG65" s="197">
        <f>O65</f>
        <v>3052</v>
      </c>
      <c r="AH65" s="197">
        <f>Q65</f>
        <v>3052</v>
      </c>
      <c r="AI65" s="197">
        <f>S65</f>
        <v>3052</v>
      </c>
      <c r="AJ65" s="197">
        <f>U65</f>
        <v>3052</v>
      </c>
      <c r="AK65" s="223">
        <f>W65</f>
        <v>3052</v>
      </c>
    </row>
    <row r="66" spans="2:39" x14ac:dyDescent="0.3">
      <c r="B66" s="66" t="s">
        <v>80</v>
      </c>
      <c r="C66" s="203">
        <v>10011</v>
      </c>
      <c r="D66" s="215">
        <f t="shared" si="85"/>
        <v>10066</v>
      </c>
      <c r="E66" s="197">
        <v>10066</v>
      </c>
      <c r="F66" s="203">
        <v>10909</v>
      </c>
      <c r="G66" s="215">
        <f>AC66</f>
        <v>10496</v>
      </c>
      <c r="H66" s="201">
        <v>11170</v>
      </c>
      <c r="I66" s="215">
        <f>AD66</f>
        <v>10006</v>
      </c>
      <c r="J66" s="201">
        <v>11178</v>
      </c>
      <c r="K66" s="215">
        <f>AE66</f>
        <v>10828</v>
      </c>
      <c r="L66" s="201">
        <v>11911</v>
      </c>
      <c r="M66" s="215">
        <f t="shared" ref="M66:W66" si="88">L66</f>
        <v>11911</v>
      </c>
      <c r="N66" s="203">
        <f>AF66</f>
        <v>11911</v>
      </c>
      <c r="O66" s="215">
        <f t="shared" si="88"/>
        <v>11911</v>
      </c>
      <c r="P66" s="203">
        <f>AG66</f>
        <v>11911</v>
      </c>
      <c r="Q66" s="215">
        <f t="shared" si="88"/>
        <v>11911</v>
      </c>
      <c r="R66" s="203">
        <f>AH66</f>
        <v>11911</v>
      </c>
      <c r="S66" s="215">
        <f t="shared" si="88"/>
        <v>11911</v>
      </c>
      <c r="T66" s="203">
        <f>AI66</f>
        <v>11911</v>
      </c>
      <c r="U66" s="215">
        <f t="shared" si="88"/>
        <v>11911</v>
      </c>
      <c r="V66" s="203">
        <f>AJ66</f>
        <v>11911</v>
      </c>
      <c r="W66" s="215">
        <f t="shared" si="88"/>
        <v>11911</v>
      </c>
      <c r="Z66" s="203"/>
      <c r="AC66" s="197">
        <v>10496</v>
      </c>
      <c r="AD66" s="197">
        <v>10006</v>
      </c>
      <c r="AE66" s="197">
        <v>10828</v>
      </c>
      <c r="AF66" s="197">
        <f>M66</f>
        <v>11911</v>
      </c>
      <c r="AG66" s="197">
        <f>O66</f>
        <v>11911</v>
      </c>
      <c r="AH66" s="197">
        <f>Q66</f>
        <v>11911</v>
      </c>
      <c r="AI66" s="197">
        <f>S66</f>
        <v>11911</v>
      </c>
      <c r="AJ66" s="197">
        <f>U66</f>
        <v>11911</v>
      </c>
      <c r="AK66" s="223">
        <f>W66</f>
        <v>11911</v>
      </c>
    </row>
    <row r="67" spans="2:39" x14ac:dyDescent="0.3">
      <c r="B67" s="66" t="s">
        <v>177</v>
      </c>
      <c r="C67" s="203">
        <v>966</v>
      </c>
      <c r="D67" s="215">
        <f t="shared" si="85"/>
        <v>1305</v>
      </c>
      <c r="E67" s="197">
        <v>1305</v>
      </c>
      <c r="F67" s="203">
        <v>1390</v>
      </c>
      <c r="G67" s="215">
        <f>AC67</f>
        <v>1996</v>
      </c>
      <c r="H67" s="201">
        <v>1793</v>
      </c>
      <c r="I67" s="215">
        <f>AD67</f>
        <v>2262</v>
      </c>
      <c r="J67" s="201">
        <v>1569</v>
      </c>
      <c r="K67" s="215">
        <f>AE67</f>
        <v>1476</v>
      </c>
      <c r="L67" s="201">
        <v>1190</v>
      </c>
      <c r="M67" s="215">
        <f>L67+M30</f>
        <v>1770.7634300000002</v>
      </c>
      <c r="N67" s="203">
        <f>AF67+N30</f>
        <v>2865.6865115600003</v>
      </c>
      <c r="O67" s="215">
        <f>N67+O30</f>
        <v>3669.2084076764004</v>
      </c>
      <c r="P67" s="203">
        <f>AG67+P30</f>
        <v>4624.0839313560164</v>
      </c>
      <c r="Q67" s="215">
        <f>P67+Q30</f>
        <v>5462.994230498356</v>
      </c>
      <c r="R67" s="203">
        <f>AH67+R30</f>
        <v>6365.9959613641995</v>
      </c>
      <c r="S67" s="215">
        <f>R67+S30</f>
        <v>7340.4217691166177</v>
      </c>
      <c r="T67" s="203">
        <f>AI67+T30</f>
        <v>8095.5296314393536</v>
      </c>
      <c r="U67" s="215">
        <f>T67+U30</f>
        <v>9127.2171134816672</v>
      </c>
      <c r="V67" s="203">
        <f>AJ67+V30</f>
        <v>9884.3986447566003</v>
      </c>
      <c r="W67" s="215">
        <f>V67+W30</f>
        <v>11125.512240166076</v>
      </c>
      <c r="Z67" s="203"/>
      <c r="AC67" s="197">
        <v>1996</v>
      </c>
      <c r="AD67" s="197">
        <v>2262</v>
      </c>
      <c r="AE67" s="197">
        <v>1476</v>
      </c>
      <c r="AF67" s="197">
        <f>M67</f>
        <v>1770.7634300000002</v>
      </c>
      <c r="AG67" s="197">
        <f>O67</f>
        <v>3669.2084076764004</v>
      </c>
      <c r="AH67" s="197">
        <f>Q67</f>
        <v>5462.994230498356</v>
      </c>
      <c r="AI67" s="197">
        <f>S67</f>
        <v>7340.4217691166177</v>
      </c>
      <c r="AJ67" s="197">
        <f>U67</f>
        <v>9127.2171134816672</v>
      </c>
      <c r="AK67" s="223">
        <f>W67</f>
        <v>11125.512240166076</v>
      </c>
    </row>
    <row r="68" spans="2:39" x14ac:dyDescent="0.3">
      <c r="B68" s="67" t="s">
        <v>81</v>
      </c>
      <c r="C68" s="204">
        <f t="shared" ref="C68:G68" si="89">SUM(C64:C67)</f>
        <v>14435</v>
      </c>
      <c r="D68" s="217">
        <f t="shared" si="89"/>
        <v>14829</v>
      </c>
      <c r="E68" s="218">
        <f t="shared" si="89"/>
        <v>14829</v>
      </c>
      <c r="F68" s="204">
        <f t="shared" si="89"/>
        <v>15757</v>
      </c>
      <c r="G68" s="217">
        <f t="shared" si="89"/>
        <v>15944</v>
      </c>
      <c r="H68" s="202">
        <f t="shared" ref="H68:I68" si="90">SUM(H64:H67)</f>
        <v>16415</v>
      </c>
      <c r="I68" s="217">
        <f t="shared" si="90"/>
        <v>15716</v>
      </c>
      <c r="J68" s="202">
        <f>SUM(J64:J67)-2</f>
        <v>16193</v>
      </c>
      <c r="K68" s="217">
        <f t="shared" ref="K68" si="91">SUM(K64:K67)</f>
        <v>15749</v>
      </c>
      <c r="L68" s="202">
        <f>SUM(L64:L67)</f>
        <v>16544</v>
      </c>
      <c r="M68" s="217">
        <f t="shared" ref="M68:W68" si="92">SUM(M64:M67)</f>
        <v>17124.763429999999</v>
      </c>
      <c r="N68" s="204">
        <f t="shared" si="92"/>
        <v>18219.686511560001</v>
      </c>
      <c r="O68" s="217">
        <f t="shared" si="92"/>
        <v>19023.2084076764</v>
      </c>
      <c r="P68" s="204">
        <f t="shared" si="92"/>
        <v>19978.083931356017</v>
      </c>
      <c r="Q68" s="217">
        <f t="shared" si="92"/>
        <v>20816.994230498356</v>
      </c>
      <c r="R68" s="204">
        <f t="shared" si="92"/>
        <v>21719.995961364199</v>
      </c>
      <c r="S68" s="217">
        <f t="shared" si="92"/>
        <v>22694.42176911662</v>
      </c>
      <c r="T68" s="204">
        <f t="shared" si="92"/>
        <v>23449.529631439353</v>
      </c>
      <c r="U68" s="217">
        <f t="shared" si="92"/>
        <v>24481.217113481667</v>
      </c>
      <c r="V68" s="204">
        <f t="shared" si="92"/>
        <v>25238.398644756599</v>
      </c>
      <c r="W68" s="217">
        <f t="shared" si="92"/>
        <v>26479.512240166077</v>
      </c>
      <c r="AC68" s="218">
        <f>SUM(AC64:AC67)</f>
        <v>15944</v>
      </c>
      <c r="AD68" s="218">
        <f>SUM(AD64:AD67)</f>
        <v>15716</v>
      </c>
      <c r="AE68" s="218">
        <f>SUM(AE64:AE67)</f>
        <v>15749</v>
      </c>
      <c r="AF68" s="218">
        <f>SUM(AF64:AF67)</f>
        <v>17124.763429999999</v>
      </c>
      <c r="AG68" s="218">
        <f>SUM(AG64:AG67)</f>
        <v>19023.2084076764</v>
      </c>
      <c r="AH68" s="218">
        <f>SUM(AH64:AH67)</f>
        <v>20816.994230498356</v>
      </c>
      <c r="AI68" s="218">
        <f>SUM(AI64:AI67)</f>
        <v>22694.42176911662</v>
      </c>
      <c r="AJ68" s="218">
        <f>SUM(AJ64:AJ67)</f>
        <v>24481.217113481667</v>
      </c>
      <c r="AK68" s="224">
        <f>SUM(AK64:AK67)</f>
        <v>26479.512240166077</v>
      </c>
    </row>
    <row r="69" spans="2:39" x14ac:dyDescent="0.3">
      <c r="B69" s="66" t="s">
        <v>82</v>
      </c>
      <c r="C69" s="203">
        <v>244</v>
      </c>
      <c r="D69" s="215">
        <f t="shared" ref="D69" si="93">E69</f>
        <v>246</v>
      </c>
      <c r="E69" s="197">
        <v>246</v>
      </c>
      <c r="F69" s="203">
        <v>265</v>
      </c>
      <c r="G69" s="215">
        <f>AC69</f>
        <v>309</v>
      </c>
      <c r="H69" s="201">
        <v>343</v>
      </c>
      <c r="I69" s="215">
        <f>AD69</f>
        <v>998</v>
      </c>
      <c r="J69" s="201">
        <v>1016</v>
      </c>
      <c r="K69" s="215">
        <f>AE69</f>
        <v>1048</v>
      </c>
      <c r="L69" s="201">
        <v>1089</v>
      </c>
      <c r="M69" s="215">
        <f t="shared" ref="M69:W69" si="94">L69</f>
        <v>1089</v>
      </c>
      <c r="N69" s="203">
        <f>AF69</f>
        <v>1089</v>
      </c>
      <c r="O69" s="215">
        <f t="shared" si="94"/>
        <v>1089</v>
      </c>
      <c r="P69" s="203">
        <f>AG69</f>
        <v>1089</v>
      </c>
      <c r="Q69" s="215">
        <f t="shared" si="94"/>
        <v>1089</v>
      </c>
      <c r="R69" s="203">
        <f>AH69</f>
        <v>1089</v>
      </c>
      <c r="S69" s="215">
        <f t="shared" si="94"/>
        <v>1089</v>
      </c>
      <c r="T69" s="203">
        <f>AI69</f>
        <v>1089</v>
      </c>
      <c r="U69" s="215">
        <f t="shared" si="94"/>
        <v>1089</v>
      </c>
      <c r="V69" s="203">
        <f>AJ69</f>
        <v>1089</v>
      </c>
      <c r="W69" s="215">
        <f t="shared" si="94"/>
        <v>1089</v>
      </c>
      <c r="Z69" s="203"/>
      <c r="AC69" s="197">
        <v>309</v>
      </c>
      <c r="AD69" s="197">
        <v>998</v>
      </c>
      <c r="AE69" s="197">
        <v>1048</v>
      </c>
      <c r="AF69" s="197">
        <f>M69</f>
        <v>1089</v>
      </c>
      <c r="AG69" s="197">
        <f>O69</f>
        <v>1089</v>
      </c>
      <c r="AH69" s="197">
        <f>Q69</f>
        <v>1089</v>
      </c>
      <c r="AI69" s="197">
        <f>S69</f>
        <v>1089</v>
      </c>
      <c r="AJ69" s="197">
        <f>U69</f>
        <v>1089</v>
      </c>
      <c r="AK69" s="223">
        <f>W69</f>
        <v>1089</v>
      </c>
    </row>
    <row r="70" spans="2:39" s="3" customFormat="1" x14ac:dyDescent="0.3">
      <c r="B70" s="67" t="s">
        <v>83</v>
      </c>
      <c r="C70" s="218">
        <f t="shared" ref="C70:W70" si="95">C68+C69</f>
        <v>14679</v>
      </c>
      <c r="D70" s="218">
        <f t="shared" si="95"/>
        <v>15075</v>
      </c>
      <c r="E70" s="218">
        <f t="shared" si="95"/>
        <v>15075</v>
      </c>
      <c r="F70" s="218">
        <f t="shared" si="95"/>
        <v>16022</v>
      </c>
      <c r="G70" s="218">
        <f t="shared" si="95"/>
        <v>16253</v>
      </c>
      <c r="H70" s="218">
        <f t="shared" si="95"/>
        <v>16758</v>
      </c>
      <c r="I70" s="218">
        <f>I68+I69+1</f>
        <v>16715</v>
      </c>
      <c r="J70" s="202">
        <f t="shared" si="95"/>
        <v>17209</v>
      </c>
      <c r="K70" s="218">
        <f>K68+K69</f>
        <v>16797</v>
      </c>
      <c r="L70" s="202">
        <f>L68+L69-1</f>
        <v>17632</v>
      </c>
      <c r="M70" s="218">
        <f t="shared" si="95"/>
        <v>18213.763429999999</v>
      </c>
      <c r="N70" s="202">
        <f t="shared" si="95"/>
        <v>19308.686511560001</v>
      </c>
      <c r="O70" s="218">
        <f t="shared" si="95"/>
        <v>20112.2084076764</v>
      </c>
      <c r="P70" s="202">
        <f t="shared" si="95"/>
        <v>21067.083931356017</v>
      </c>
      <c r="Q70" s="218">
        <f t="shared" si="95"/>
        <v>21905.994230498356</v>
      </c>
      <c r="R70" s="202">
        <f t="shared" si="95"/>
        <v>22808.995961364199</v>
      </c>
      <c r="S70" s="218">
        <f t="shared" si="95"/>
        <v>23783.42176911662</v>
      </c>
      <c r="T70" s="202">
        <f t="shared" si="95"/>
        <v>24538.529631439353</v>
      </c>
      <c r="U70" s="218">
        <f t="shared" si="95"/>
        <v>25570.217113481667</v>
      </c>
      <c r="V70" s="202">
        <f t="shared" si="95"/>
        <v>26327.398644756599</v>
      </c>
      <c r="W70" s="218">
        <f t="shared" si="95"/>
        <v>27568.512240166077</v>
      </c>
      <c r="Y70"/>
      <c r="AC70" s="218">
        <f>AC68+AC69</f>
        <v>16253</v>
      </c>
      <c r="AD70" s="218">
        <f>AD68+AD69+1</f>
        <v>16715</v>
      </c>
      <c r="AE70" s="218">
        <f>AE68+AE69</f>
        <v>16797</v>
      </c>
      <c r="AF70" s="218">
        <f>AF68+AF69</f>
        <v>18213.763429999999</v>
      </c>
      <c r="AG70" s="218">
        <f>AG68+AG69</f>
        <v>20112.2084076764</v>
      </c>
      <c r="AH70" s="218">
        <f>AH68+AH69</f>
        <v>21905.994230498356</v>
      </c>
      <c r="AI70" s="218">
        <f>AI68+AI69</f>
        <v>23783.42176911662</v>
      </c>
      <c r="AJ70" s="218">
        <f>AJ68+AJ69</f>
        <v>25570.217113481667</v>
      </c>
      <c r="AK70" s="229">
        <f>AK68+AK69</f>
        <v>27568.512240166077</v>
      </c>
      <c r="AM70"/>
    </row>
    <row r="71" spans="2:39" x14ac:dyDescent="0.3">
      <c r="B71" s="66"/>
      <c r="C71" s="203"/>
      <c r="D71" s="215"/>
      <c r="E71" s="197"/>
      <c r="F71" s="203"/>
      <c r="G71" s="215"/>
      <c r="H71" s="201"/>
      <c r="I71" s="215"/>
      <c r="J71" s="201"/>
      <c r="K71" s="215"/>
      <c r="L71" s="201"/>
      <c r="M71" s="215"/>
      <c r="N71" s="203"/>
      <c r="O71" s="215"/>
      <c r="P71" s="203"/>
      <c r="Q71" s="215"/>
      <c r="R71" s="203"/>
      <c r="S71" s="215"/>
      <c r="T71" s="203"/>
      <c r="U71" s="215"/>
      <c r="V71" s="203"/>
      <c r="W71" s="215"/>
      <c r="AC71" s="197"/>
      <c r="AD71" s="197"/>
      <c r="AE71" s="197"/>
      <c r="AF71" s="197"/>
      <c r="AG71" s="197"/>
      <c r="AH71" s="197"/>
      <c r="AI71" s="197"/>
      <c r="AJ71" s="197"/>
      <c r="AK71" s="223"/>
    </row>
    <row r="72" spans="2:39" x14ac:dyDescent="0.3">
      <c r="B72" s="66" t="s">
        <v>85</v>
      </c>
      <c r="C72" s="203">
        <v>308</v>
      </c>
      <c r="D72" s="215">
        <f>E72</f>
        <v>253</v>
      </c>
      <c r="E72" s="197">
        <v>253</v>
      </c>
      <c r="F72" s="203">
        <v>266</v>
      </c>
      <c r="G72" s="215">
        <f>AC72</f>
        <v>318</v>
      </c>
      <c r="H72" s="201">
        <v>294</v>
      </c>
      <c r="I72" s="215">
        <f>AD72</f>
        <v>294</v>
      </c>
      <c r="J72" s="201">
        <v>299</v>
      </c>
      <c r="K72" s="215">
        <f>AE72</f>
        <v>313</v>
      </c>
      <c r="L72" s="201">
        <v>316</v>
      </c>
      <c r="M72" s="215">
        <f t="shared" ref="M72:W72" si="96">L72</f>
        <v>316</v>
      </c>
      <c r="N72" s="203">
        <f>AF72</f>
        <v>316</v>
      </c>
      <c r="O72" s="215">
        <f t="shared" si="96"/>
        <v>316</v>
      </c>
      <c r="P72" s="203">
        <f>AG72</f>
        <v>316</v>
      </c>
      <c r="Q72" s="215">
        <f t="shared" si="96"/>
        <v>316</v>
      </c>
      <c r="R72" s="203">
        <f>AH72</f>
        <v>316</v>
      </c>
      <c r="S72" s="215">
        <f t="shared" si="96"/>
        <v>316</v>
      </c>
      <c r="T72" s="203">
        <f>AI72</f>
        <v>316</v>
      </c>
      <c r="U72" s="215">
        <f t="shared" si="96"/>
        <v>316</v>
      </c>
      <c r="V72" s="203">
        <f>AJ72</f>
        <v>316</v>
      </c>
      <c r="W72" s="215">
        <f t="shared" si="96"/>
        <v>316</v>
      </c>
      <c r="Z72" s="203"/>
      <c r="AC72" s="197">
        <v>318</v>
      </c>
      <c r="AD72" s="197">
        <v>294</v>
      </c>
      <c r="AE72" s="197">
        <v>313</v>
      </c>
      <c r="AF72" s="197">
        <f>M72</f>
        <v>316</v>
      </c>
      <c r="AG72" s="197">
        <f>O72</f>
        <v>316</v>
      </c>
      <c r="AH72" s="197">
        <f>Q72</f>
        <v>316</v>
      </c>
      <c r="AI72" s="197">
        <f>S72</f>
        <v>316</v>
      </c>
      <c r="AJ72" s="197">
        <f>U72</f>
        <v>316</v>
      </c>
      <c r="AK72" s="223">
        <f>W72</f>
        <v>316</v>
      </c>
    </row>
    <row r="73" spans="2:39" x14ac:dyDescent="0.3">
      <c r="B73" s="66" t="s">
        <v>84</v>
      </c>
      <c r="C73" s="203">
        <v>550</v>
      </c>
      <c r="D73" s="215">
        <f>E73</f>
        <v>477</v>
      </c>
      <c r="E73" s="197">
        <v>477</v>
      </c>
      <c r="F73" s="203">
        <v>435</v>
      </c>
      <c r="G73" s="215">
        <f>AC73</f>
        <v>361</v>
      </c>
      <c r="H73" s="201">
        <v>374</v>
      </c>
      <c r="I73" s="215">
        <f>AD73</f>
        <v>349</v>
      </c>
      <c r="J73" s="201">
        <v>395</v>
      </c>
      <c r="K73" s="215">
        <f>AE73</f>
        <v>277</v>
      </c>
      <c r="L73" s="201">
        <v>261</v>
      </c>
      <c r="M73" s="215">
        <f t="shared" ref="M73:W73" si="97">L73</f>
        <v>261</v>
      </c>
      <c r="N73" s="203">
        <f>AF73</f>
        <v>261</v>
      </c>
      <c r="O73" s="215">
        <f t="shared" si="97"/>
        <v>261</v>
      </c>
      <c r="P73" s="203">
        <f>AG73</f>
        <v>261</v>
      </c>
      <c r="Q73" s="215">
        <f t="shared" si="97"/>
        <v>261</v>
      </c>
      <c r="R73" s="203">
        <f>AH73</f>
        <v>261</v>
      </c>
      <c r="S73" s="215">
        <f t="shared" si="97"/>
        <v>261</v>
      </c>
      <c r="T73" s="203">
        <f>AI73</f>
        <v>261</v>
      </c>
      <c r="U73" s="215">
        <f t="shared" si="97"/>
        <v>261</v>
      </c>
      <c r="V73" s="203">
        <f>AJ73</f>
        <v>261</v>
      </c>
      <c r="W73" s="215">
        <f t="shared" si="97"/>
        <v>261</v>
      </c>
      <c r="Z73" s="203"/>
      <c r="AC73" s="197">
        <v>361</v>
      </c>
      <c r="AD73" s="197">
        <v>349</v>
      </c>
      <c r="AE73" s="197">
        <v>277</v>
      </c>
      <c r="AF73" s="197">
        <f>M73</f>
        <v>261</v>
      </c>
      <c r="AG73" s="197">
        <f>O73</f>
        <v>261</v>
      </c>
      <c r="AH73" s="197">
        <f>Q73</f>
        <v>261</v>
      </c>
      <c r="AI73" s="197">
        <f>S73</f>
        <v>261</v>
      </c>
      <c r="AJ73" s="197">
        <f>U73</f>
        <v>261</v>
      </c>
      <c r="AK73" s="223">
        <f>W73</f>
        <v>261</v>
      </c>
    </row>
    <row r="74" spans="2:39" x14ac:dyDescent="0.3">
      <c r="B74" s="66" t="s">
        <v>178</v>
      </c>
      <c r="C74" s="203">
        <v>2566</v>
      </c>
      <c r="D74" s="215">
        <f>E74</f>
        <v>2825</v>
      </c>
      <c r="E74" s="197">
        <v>2825</v>
      </c>
      <c r="F74" s="203">
        <v>2949</v>
      </c>
      <c r="G74" s="215">
        <f>AC74</f>
        <v>3139</v>
      </c>
      <c r="H74" s="201">
        <v>3134</v>
      </c>
      <c r="I74" s="215">
        <f>AD74</f>
        <v>3134</v>
      </c>
      <c r="J74" s="201">
        <v>3192</v>
      </c>
      <c r="K74" s="215">
        <f>AE74</f>
        <v>3153</v>
      </c>
      <c r="L74" s="201">
        <v>3232</v>
      </c>
      <c r="M74" s="215">
        <f t="shared" ref="M74:W74" si="98">L74</f>
        <v>3232</v>
      </c>
      <c r="N74" s="203">
        <f>AF74</f>
        <v>3232</v>
      </c>
      <c r="O74" s="215">
        <f t="shared" si="98"/>
        <v>3232</v>
      </c>
      <c r="P74" s="203">
        <f>AG74</f>
        <v>3232</v>
      </c>
      <c r="Q74" s="215">
        <f t="shared" si="98"/>
        <v>3232</v>
      </c>
      <c r="R74" s="203">
        <f>AH74</f>
        <v>3232</v>
      </c>
      <c r="S74" s="215">
        <f t="shared" si="98"/>
        <v>3232</v>
      </c>
      <c r="T74" s="203">
        <f>AI74</f>
        <v>3232</v>
      </c>
      <c r="U74" s="215">
        <f t="shared" si="98"/>
        <v>3232</v>
      </c>
      <c r="V74" s="203">
        <f>AJ74</f>
        <v>3232</v>
      </c>
      <c r="W74" s="215">
        <f t="shared" si="98"/>
        <v>3232</v>
      </c>
      <c r="Z74" s="203"/>
      <c r="AC74" s="197">
        <v>3139</v>
      </c>
      <c r="AD74" s="197">
        <v>3134</v>
      </c>
      <c r="AE74" s="197">
        <v>3153</v>
      </c>
      <c r="AF74" s="197">
        <f>M74</f>
        <v>3232</v>
      </c>
      <c r="AG74" s="197">
        <f>O74</f>
        <v>3232</v>
      </c>
      <c r="AH74" s="197">
        <f>Q74</f>
        <v>3232</v>
      </c>
      <c r="AI74" s="197">
        <f>S74</f>
        <v>3232</v>
      </c>
      <c r="AJ74" s="197">
        <f>U74</f>
        <v>3232</v>
      </c>
      <c r="AK74" s="223">
        <f>W74</f>
        <v>3232</v>
      </c>
    </row>
    <row r="75" spans="2:39" x14ac:dyDescent="0.3">
      <c r="B75" s="66" t="s">
        <v>179</v>
      </c>
      <c r="C75" s="203">
        <v>8680</v>
      </c>
      <c r="D75" s="215">
        <f t="shared" ref="D75:D77" si="99">E75</f>
        <v>8787</v>
      </c>
      <c r="E75" s="197">
        <v>8787</v>
      </c>
      <c r="F75" s="203">
        <v>8236</v>
      </c>
      <c r="G75" s="215">
        <f>AC75</f>
        <v>9238</v>
      </c>
      <c r="H75" s="201">
        <v>9732</v>
      </c>
      <c r="I75" s="215">
        <f>AD75</f>
        <v>9678</v>
      </c>
      <c r="J75" s="201">
        <v>10318</v>
      </c>
      <c r="K75" s="215">
        <f>AE75</f>
        <v>10907</v>
      </c>
      <c r="L75" s="201">
        <v>11014</v>
      </c>
      <c r="M75" s="215">
        <f>Schedules!M31</f>
        <v>11514</v>
      </c>
      <c r="N75" s="203">
        <f>Schedules!N31</f>
        <v>12014</v>
      </c>
      <c r="O75" s="215">
        <f>Schedules!O31</f>
        <v>12514</v>
      </c>
      <c r="P75" s="203">
        <f>Schedules!P31</f>
        <v>13014</v>
      </c>
      <c r="Q75" s="215">
        <f>Schedules!Q31</f>
        <v>13514</v>
      </c>
      <c r="R75" s="203">
        <f>Schedules!R31</f>
        <v>14014</v>
      </c>
      <c r="S75" s="215">
        <f>Schedules!S31</f>
        <v>14514</v>
      </c>
      <c r="T75" s="203">
        <f>Schedules!T31</f>
        <v>15014</v>
      </c>
      <c r="U75" s="215">
        <f>Schedules!U31</f>
        <v>15514</v>
      </c>
      <c r="V75" s="203">
        <f>Schedules!V31</f>
        <v>16014</v>
      </c>
      <c r="W75" s="215">
        <f>Schedules!W31</f>
        <v>16514</v>
      </c>
      <c r="Z75" s="203"/>
      <c r="AC75" s="197">
        <v>9238</v>
      </c>
      <c r="AD75" s="197">
        <v>9678</v>
      </c>
      <c r="AE75" s="197">
        <v>10907</v>
      </c>
      <c r="AF75" s="197">
        <f>Schedules!AF31</f>
        <v>11514</v>
      </c>
      <c r="AG75" s="197">
        <f>Schedules!AG31</f>
        <v>12514</v>
      </c>
      <c r="AH75" s="197">
        <f>Schedules!AH31</f>
        <v>13514</v>
      </c>
      <c r="AI75" s="197">
        <f>Schedules!AI31</f>
        <v>14514</v>
      </c>
      <c r="AJ75" s="197">
        <f>Schedules!AJ31</f>
        <v>15514</v>
      </c>
      <c r="AK75" s="223">
        <f>Schedules!AK31</f>
        <v>16514</v>
      </c>
    </row>
    <row r="76" spans="2:39" x14ac:dyDescent="0.3">
      <c r="B76" s="66" t="s">
        <v>180</v>
      </c>
      <c r="C76" s="203">
        <v>409</v>
      </c>
      <c r="D76" s="215">
        <f t="shared" si="99"/>
        <v>405</v>
      </c>
      <c r="E76" s="197">
        <v>405</v>
      </c>
      <c r="F76" s="203">
        <v>402</v>
      </c>
      <c r="G76" s="215">
        <f>AC76</f>
        <v>400</v>
      </c>
      <c r="H76" s="201">
        <v>390</v>
      </c>
      <c r="I76" s="215">
        <f>AD76</f>
        <v>384</v>
      </c>
      <c r="J76" s="201">
        <v>396</v>
      </c>
      <c r="K76" s="215">
        <f>AE76</f>
        <v>352</v>
      </c>
      <c r="L76" s="201">
        <v>391</v>
      </c>
      <c r="M76" s="215">
        <f t="shared" ref="M76:W76" si="100">L76</f>
        <v>391</v>
      </c>
      <c r="N76" s="203">
        <f>AF76</f>
        <v>391</v>
      </c>
      <c r="O76" s="215">
        <f t="shared" si="100"/>
        <v>391</v>
      </c>
      <c r="P76" s="203">
        <f>AG76</f>
        <v>391</v>
      </c>
      <c r="Q76" s="215">
        <f t="shared" si="100"/>
        <v>391</v>
      </c>
      <c r="R76" s="203">
        <f>AH76</f>
        <v>391</v>
      </c>
      <c r="S76" s="215">
        <f t="shared" si="100"/>
        <v>391</v>
      </c>
      <c r="T76" s="203">
        <f>AI76</f>
        <v>391</v>
      </c>
      <c r="U76" s="215">
        <f t="shared" si="100"/>
        <v>391</v>
      </c>
      <c r="V76" s="203">
        <f>AJ76</f>
        <v>391</v>
      </c>
      <c r="W76" s="215">
        <f t="shared" si="100"/>
        <v>391</v>
      </c>
      <c r="Z76" s="203"/>
      <c r="AC76" s="197">
        <v>400</v>
      </c>
      <c r="AD76" s="197">
        <v>384</v>
      </c>
      <c r="AE76" s="197">
        <v>352</v>
      </c>
      <c r="AF76" s="197">
        <f>M76</f>
        <v>391</v>
      </c>
      <c r="AG76" s="197">
        <f>O76</f>
        <v>391</v>
      </c>
      <c r="AH76" s="197">
        <f>Q76</f>
        <v>391</v>
      </c>
      <c r="AI76" s="197">
        <f>S76</f>
        <v>391</v>
      </c>
      <c r="AJ76" s="197">
        <f>U76</f>
        <v>391</v>
      </c>
      <c r="AK76" s="223">
        <f>W76</f>
        <v>391</v>
      </c>
    </row>
    <row r="77" spans="2:39" x14ac:dyDescent="0.3">
      <c r="B77" s="66" t="s">
        <v>181</v>
      </c>
      <c r="C77" s="203">
        <v>82</v>
      </c>
      <c r="D77" s="215">
        <f t="shared" si="99"/>
        <v>108</v>
      </c>
      <c r="E77" s="197">
        <v>108</v>
      </c>
      <c r="F77" s="203">
        <v>94</v>
      </c>
      <c r="G77" s="215">
        <f>AC77</f>
        <v>179</v>
      </c>
      <c r="H77" s="201">
        <v>207</v>
      </c>
      <c r="I77" s="215">
        <f>AD77</f>
        <v>173</v>
      </c>
      <c r="J77" s="201">
        <v>128</v>
      </c>
      <c r="K77" s="215">
        <f>AE77</f>
        <v>133</v>
      </c>
      <c r="L77" s="201">
        <v>135</v>
      </c>
      <c r="M77" s="215">
        <f t="shared" ref="M77:W77" si="101">L77</f>
        <v>135</v>
      </c>
      <c r="N77" s="203">
        <f>AF77</f>
        <v>135</v>
      </c>
      <c r="O77" s="215">
        <f t="shared" si="101"/>
        <v>135</v>
      </c>
      <c r="P77" s="203">
        <f>AG77</f>
        <v>135</v>
      </c>
      <c r="Q77" s="215">
        <f t="shared" si="101"/>
        <v>135</v>
      </c>
      <c r="R77" s="203">
        <f>AH77</f>
        <v>135</v>
      </c>
      <c r="S77" s="215">
        <f t="shared" si="101"/>
        <v>135</v>
      </c>
      <c r="T77" s="203">
        <f>AI77</f>
        <v>135</v>
      </c>
      <c r="U77" s="215">
        <f t="shared" si="101"/>
        <v>135</v>
      </c>
      <c r="V77" s="203">
        <f>AJ77</f>
        <v>135</v>
      </c>
      <c r="W77" s="215">
        <f t="shared" si="101"/>
        <v>135</v>
      </c>
      <c r="Z77" s="203"/>
      <c r="AC77" s="197">
        <v>179</v>
      </c>
      <c r="AD77" s="197">
        <v>173</v>
      </c>
      <c r="AE77" s="197">
        <v>133</v>
      </c>
      <c r="AF77" s="197">
        <f>M77</f>
        <v>135</v>
      </c>
      <c r="AG77" s="197">
        <f>O77</f>
        <v>135</v>
      </c>
      <c r="AH77" s="197">
        <f>Q77</f>
        <v>135</v>
      </c>
      <c r="AI77" s="197">
        <f>S77</f>
        <v>135</v>
      </c>
      <c r="AJ77" s="197">
        <f>U77</f>
        <v>135</v>
      </c>
      <c r="AK77" s="223">
        <f>W77</f>
        <v>135</v>
      </c>
    </row>
    <row r="78" spans="2:39" x14ac:dyDescent="0.3">
      <c r="B78" s="66" t="s">
        <v>182</v>
      </c>
      <c r="C78" s="203">
        <v>0</v>
      </c>
      <c r="D78" s="215">
        <f t="shared" ref="D78" si="102">E78</f>
        <v>0</v>
      </c>
      <c r="E78" s="197">
        <v>0</v>
      </c>
      <c r="F78" s="203">
        <v>3</v>
      </c>
      <c r="G78" s="215">
        <f>AC78</f>
        <v>18</v>
      </c>
      <c r="H78" s="201">
        <v>22</v>
      </c>
      <c r="I78" s="215">
        <f>AD78</f>
        <v>14</v>
      </c>
      <c r="J78" s="201">
        <v>10</v>
      </c>
      <c r="K78" s="215">
        <f>AE78</f>
        <v>11</v>
      </c>
      <c r="L78" s="201">
        <v>8</v>
      </c>
      <c r="M78" s="215">
        <f t="shared" ref="M78:W78" si="103">L78</f>
        <v>8</v>
      </c>
      <c r="N78" s="203">
        <f>AF78</f>
        <v>8</v>
      </c>
      <c r="O78" s="215">
        <f t="shared" si="103"/>
        <v>8</v>
      </c>
      <c r="P78" s="203">
        <f>AG78</f>
        <v>8</v>
      </c>
      <c r="Q78" s="215">
        <f t="shared" si="103"/>
        <v>8</v>
      </c>
      <c r="R78" s="203">
        <f>AH78</f>
        <v>8</v>
      </c>
      <c r="S78" s="215">
        <f t="shared" si="103"/>
        <v>8</v>
      </c>
      <c r="T78" s="203">
        <f>AI78</f>
        <v>8</v>
      </c>
      <c r="U78" s="215">
        <f t="shared" si="103"/>
        <v>8</v>
      </c>
      <c r="V78" s="203">
        <f>AJ78</f>
        <v>8</v>
      </c>
      <c r="W78" s="215">
        <f t="shared" si="103"/>
        <v>8</v>
      </c>
      <c r="Z78" s="203"/>
      <c r="AC78" s="197">
        <v>18</v>
      </c>
      <c r="AD78" s="197">
        <v>14</v>
      </c>
      <c r="AE78" s="197">
        <v>11</v>
      </c>
      <c r="AF78" s="197">
        <f>M78</f>
        <v>8</v>
      </c>
      <c r="AG78" s="197">
        <f>O78</f>
        <v>8</v>
      </c>
      <c r="AH78" s="197">
        <f>Q78</f>
        <v>8</v>
      </c>
      <c r="AI78" s="197">
        <f>S78</f>
        <v>8</v>
      </c>
      <c r="AJ78" s="197">
        <f>U78</f>
        <v>8</v>
      </c>
      <c r="AK78" s="223">
        <f>W78</f>
        <v>8</v>
      </c>
    </row>
    <row r="79" spans="2:39" s="3" customFormat="1" x14ac:dyDescent="0.3">
      <c r="B79" s="67" t="s">
        <v>86</v>
      </c>
      <c r="C79" s="204">
        <f t="shared" ref="C79:I79" si="104">SUM(C72:C78)</f>
        <v>12595</v>
      </c>
      <c r="D79" s="217">
        <f>SUM(D72:D78)-1</f>
        <v>12854</v>
      </c>
      <c r="E79" s="218">
        <f>SUM(E72:E78)-1</f>
        <v>12854</v>
      </c>
      <c r="F79" s="204">
        <f t="shared" si="104"/>
        <v>12385</v>
      </c>
      <c r="G79" s="217">
        <f t="shared" si="104"/>
        <v>13653</v>
      </c>
      <c r="H79" s="202">
        <f t="shared" si="104"/>
        <v>14153</v>
      </c>
      <c r="I79" s="217">
        <f t="shared" si="104"/>
        <v>14026</v>
      </c>
      <c r="J79" s="202">
        <f t="shared" ref="J79:W79" si="105">SUM(J72:J78)</f>
        <v>14738</v>
      </c>
      <c r="K79" s="217">
        <f t="shared" ref="K79" si="106">SUM(K72:K78)</f>
        <v>15146</v>
      </c>
      <c r="L79" s="202">
        <f>SUM(L72:L78)+1</f>
        <v>15358</v>
      </c>
      <c r="M79" s="217">
        <f t="shared" si="105"/>
        <v>15857</v>
      </c>
      <c r="N79" s="204">
        <f t="shared" si="105"/>
        <v>16357</v>
      </c>
      <c r="O79" s="217">
        <f t="shared" si="105"/>
        <v>16857</v>
      </c>
      <c r="P79" s="204">
        <f t="shared" si="105"/>
        <v>17357</v>
      </c>
      <c r="Q79" s="217">
        <f t="shared" si="105"/>
        <v>17857</v>
      </c>
      <c r="R79" s="204">
        <f t="shared" si="105"/>
        <v>18357</v>
      </c>
      <c r="S79" s="217">
        <f t="shared" si="105"/>
        <v>18857</v>
      </c>
      <c r="T79" s="204">
        <f t="shared" si="105"/>
        <v>19357</v>
      </c>
      <c r="U79" s="217">
        <f t="shared" si="105"/>
        <v>19857</v>
      </c>
      <c r="V79" s="204">
        <f t="shared" si="105"/>
        <v>20357</v>
      </c>
      <c r="W79" s="217">
        <f t="shared" si="105"/>
        <v>20857</v>
      </c>
      <c r="Y79"/>
      <c r="AC79" s="218">
        <f>SUM(AC72:AC78)</f>
        <v>13653</v>
      </c>
      <c r="AD79" s="218">
        <f>SUM(AD72:AD78)</f>
        <v>14026</v>
      </c>
      <c r="AE79" s="218">
        <f>SUM(AE72:AE78)</f>
        <v>15146</v>
      </c>
      <c r="AF79" s="218">
        <f>SUM(AF72:AF78)</f>
        <v>15857</v>
      </c>
      <c r="AG79" s="218">
        <f>SUM(AG72:AG78)</f>
        <v>16857</v>
      </c>
      <c r="AH79" s="218">
        <f>SUM(AH72:AH78)</f>
        <v>17857</v>
      </c>
      <c r="AI79" s="218">
        <f>SUM(AI72:AI78)</f>
        <v>18857</v>
      </c>
      <c r="AJ79" s="218">
        <f>SUM(AJ72:AJ78)</f>
        <v>19857</v>
      </c>
      <c r="AK79" s="224">
        <f>SUM(AK72:AK78)</f>
        <v>20857</v>
      </c>
      <c r="AM79"/>
    </row>
    <row r="80" spans="2:39" x14ac:dyDescent="0.3">
      <c r="B80" s="66"/>
      <c r="C80" s="203"/>
      <c r="D80" s="215"/>
      <c r="E80" s="197"/>
      <c r="F80" s="203"/>
      <c r="G80" s="215"/>
      <c r="H80" s="201"/>
      <c r="I80" s="215"/>
      <c r="J80" s="201"/>
      <c r="K80" s="215"/>
      <c r="L80" s="201"/>
      <c r="M80" s="215"/>
      <c r="N80" s="203"/>
      <c r="O80" s="215"/>
      <c r="P80" s="203"/>
      <c r="Q80" s="215"/>
      <c r="R80" s="203"/>
      <c r="S80" s="215"/>
      <c r="T80" s="203"/>
      <c r="U80" s="215"/>
      <c r="V80" s="203"/>
      <c r="W80" s="215"/>
      <c r="AC80" s="197"/>
      <c r="AD80" s="197"/>
      <c r="AE80" s="197"/>
      <c r="AF80" s="197"/>
      <c r="AG80" s="197"/>
      <c r="AH80" s="197"/>
      <c r="AI80" s="197"/>
      <c r="AJ80" s="197"/>
      <c r="AK80" s="223"/>
    </row>
    <row r="81" spans="2:39" x14ac:dyDescent="0.3">
      <c r="B81" s="66" t="s">
        <v>88</v>
      </c>
      <c r="C81" s="203">
        <v>187</v>
      </c>
      <c r="D81" s="215">
        <f>E81</f>
        <v>163</v>
      </c>
      <c r="E81" s="197">
        <v>163</v>
      </c>
      <c r="F81" s="203">
        <v>151</v>
      </c>
      <c r="G81" s="215">
        <f>AC81</f>
        <v>150</v>
      </c>
      <c r="H81" s="201">
        <v>135</v>
      </c>
      <c r="I81" s="215">
        <f>AD81</f>
        <v>164</v>
      </c>
      <c r="J81" s="201">
        <v>148</v>
      </c>
      <c r="K81" s="215">
        <f>AE81</f>
        <v>158</v>
      </c>
      <c r="L81" s="201">
        <v>149</v>
      </c>
      <c r="M81" s="215">
        <f t="shared" ref="M81:W81" si="107">L81</f>
        <v>149</v>
      </c>
      <c r="N81" s="203">
        <f>AF81</f>
        <v>149</v>
      </c>
      <c r="O81" s="215">
        <f t="shared" si="107"/>
        <v>149</v>
      </c>
      <c r="P81" s="203">
        <f>AG81</f>
        <v>149</v>
      </c>
      <c r="Q81" s="215">
        <f t="shared" si="107"/>
        <v>149</v>
      </c>
      <c r="R81" s="203">
        <f>AH81</f>
        <v>149</v>
      </c>
      <c r="S81" s="215">
        <f t="shared" si="107"/>
        <v>149</v>
      </c>
      <c r="T81" s="203">
        <f>AI81</f>
        <v>149</v>
      </c>
      <c r="U81" s="215">
        <f t="shared" si="107"/>
        <v>149</v>
      </c>
      <c r="V81" s="203">
        <f>AJ81</f>
        <v>149</v>
      </c>
      <c r="W81" s="215">
        <f t="shared" si="107"/>
        <v>149</v>
      </c>
      <c r="Z81" s="203"/>
      <c r="AC81" s="197">
        <v>150</v>
      </c>
      <c r="AD81" s="197">
        <v>164</v>
      </c>
      <c r="AE81" s="197">
        <v>158</v>
      </c>
      <c r="AF81" s="197">
        <f>M81</f>
        <v>149</v>
      </c>
      <c r="AG81" s="197">
        <f>O81</f>
        <v>149</v>
      </c>
      <c r="AH81" s="197">
        <f>Q81</f>
        <v>149</v>
      </c>
      <c r="AI81" s="197">
        <f>S81</f>
        <v>149</v>
      </c>
      <c r="AJ81" s="197">
        <f>U81</f>
        <v>149</v>
      </c>
      <c r="AK81" s="223">
        <f>W81</f>
        <v>149</v>
      </c>
    </row>
    <row r="82" spans="2:39" x14ac:dyDescent="0.3">
      <c r="B82" s="66" t="s">
        <v>183</v>
      </c>
      <c r="C82" s="203">
        <v>2345</v>
      </c>
      <c r="D82" s="215">
        <f>E82</f>
        <v>2337</v>
      </c>
      <c r="E82" s="197">
        <v>2337</v>
      </c>
      <c r="F82" s="203">
        <v>2976</v>
      </c>
      <c r="G82" s="215">
        <f>AC82</f>
        <v>3019</v>
      </c>
      <c r="H82" s="201">
        <v>3222</v>
      </c>
      <c r="I82" s="215">
        <f>AD82</f>
        <v>3461</v>
      </c>
      <c r="J82" s="201">
        <v>3068</v>
      </c>
      <c r="K82" s="215">
        <f>AE82</f>
        <v>2930</v>
      </c>
      <c r="L82" s="201">
        <v>2727</v>
      </c>
      <c r="M82" s="215">
        <f>Schedules!$K$20</f>
        <v>2930</v>
      </c>
      <c r="N82" s="203">
        <f>Schedules!$K$20</f>
        <v>2930</v>
      </c>
      <c r="O82" s="215">
        <f>Schedules!$K$20</f>
        <v>2930</v>
      </c>
      <c r="P82" s="203">
        <f>Schedules!$K$20</f>
        <v>2930</v>
      </c>
      <c r="Q82" s="215">
        <f>Schedules!$K$20</f>
        <v>2930</v>
      </c>
      <c r="R82" s="203">
        <f>Schedules!$K$20</f>
        <v>2930</v>
      </c>
      <c r="S82" s="215">
        <f>Schedules!$K$20</f>
        <v>2930</v>
      </c>
      <c r="T82" s="203">
        <f>Schedules!$K$20</f>
        <v>2930</v>
      </c>
      <c r="U82" s="215">
        <f>Schedules!$K$20</f>
        <v>2930</v>
      </c>
      <c r="V82" s="203">
        <f>Schedules!$K$20</f>
        <v>2930</v>
      </c>
      <c r="W82" s="215">
        <f>Schedules!$K$20</f>
        <v>2930</v>
      </c>
      <c r="Z82" s="203"/>
      <c r="AC82" s="197">
        <v>3019</v>
      </c>
      <c r="AD82" s="197">
        <v>3461</v>
      </c>
      <c r="AE82" s="197">
        <v>2930</v>
      </c>
      <c r="AF82" s="197">
        <f>Schedules!$K$20</f>
        <v>2930</v>
      </c>
      <c r="AG82" s="197">
        <f>Schedules!$K$20</f>
        <v>2930</v>
      </c>
      <c r="AH82" s="197">
        <f>Schedules!$K$20</f>
        <v>2930</v>
      </c>
      <c r="AI82" s="197">
        <f>Schedules!$K$20</f>
        <v>2930</v>
      </c>
      <c r="AJ82" s="197">
        <f>Schedules!$K$20</f>
        <v>2930</v>
      </c>
      <c r="AK82" s="223">
        <f>Schedules!$K$20</f>
        <v>2930</v>
      </c>
    </row>
    <row r="83" spans="2:39" x14ac:dyDescent="0.3">
      <c r="B83" s="66" t="s">
        <v>87</v>
      </c>
      <c r="C83" s="203">
        <v>349</v>
      </c>
      <c r="D83" s="215">
        <f>E83</f>
        <v>282</v>
      </c>
      <c r="E83" s="197">
        <v>282</v>
      </c>
      <c r="F83" s="203">
        <v>423</v>
      </c>
      <c r="G83" s="215">
        <f>AC83</f>
        <v>263</v>
      </c>
      <c r="H83" s="201">
        <v>391</v>
      </c>
      <c r="I83" s="215">
        <f>AD83</f>
        <v>113</v>
      </c>
      <c r="J83" s="201">
        <v>320</v>
      </c>
      <c r="K83" s="215">
        <f>AE83</f>
        <v>149</v>
      </c>
      <c r="L83" s="201">
        <v>280</v>
      </c>
      <c r="M83" s="215">
        <f t="shared" ref="M83:U83" si="108">L83</f>
        <v>280</v>
      </c>
      <c r="N83" s="203">
        <f>AF83</f>
        <v>280</v>
      </c>
      <c r="O83" s="215">
        <f t="shared" si="108"/>
        <v>280</v>
      </c>
      <c r="P83" s="203">
        <f>AG83</f>
        <v>280</v>
      </c>
      <c r="Q83" s="215">
        <f t="shared" si="108"/>
        <v>280</v>
      </c>
      <c r="R83" s="203">
        <f>AH83</f>
        <v>280</v>
      </c>
      <c r="S83" s="215">
        <f t="shared" si="108"/>
        <v>280</v>
      </c>
      <c r="T83" s="203">
        <f>AI83</f>
        <v>280</v>
      </c>
      <c r="U83" s="215">
        <f t="shared" si="108"/>
        <v>280</v>
      </c>
      <c r="V83" s="203">
        <f>AJ83</f>
        <v>280</v>
      </c>
      <c r="W83" s="215">
        <f t="shared" ref="M83:W88" si="109">V83</f>
        <v>280</v>
      </c>
      <c r="Z83" s="203"/>
      <c r="AC83" s="197">
        <v>263</v>
      </c>
      <c r="AD83" s="197">
        <v>113</v>
      </c>
      <c r="AE83" s="197">
        <v>149</v>
      </c>
      <c r="AF83" s="197">
        <f>M83</f>
        <v>280</v>
      </c>
      <c r="AG83" s="197">
        <f>O83</f>
        <v>280</v>
      </c>
      <c r="AH83" s="197">
        <f>Q83</f>
        <v>280</v>
      </c>
      <c r="AI83" s="197">
        <f>S83</f>
        <v>280</v>
      </c>
      <c r="AJ83" s="197">
        <f>U83</f>
        <v>280</v>
      </c>
      <c r="AK83" s="223">
        <f>W83</f>
        <v>280</v>
      </c>
    </row>
    <row r="84" spans="2:39" x14ac:dyDescent="0.3">
      <c r="B84" s="66" t="s">
        <v>184</v>
      </c>
      <c r="C84" s="203">
        <v>753</v>
      </c>
      <c r="D84" s="215">
        <f t="shared" ref="D84:D90" si="110">E84</f>
        <v>1134</v>
      </c>
      <c r="E84" s="197">
        <v>1134</v>
      </c>
      <c r="F84" s="203">
        <v>886</v>
      </c>
      <c r="G84" s="215">
        <f>AC84</f>
        <v>1311</v>
      </c>
      <c r="H84" s="201">
        <v>971</v>
      </c>
      <c r="I84" s="215">
        <f>AD84</f>
        <v>1556</v>
      </c>
      <c r="J84" s="201">
        <v>1041</v>
      </c>
      <c r="K84" s="215">
        <f>AE84</f>
        <v>1607</v>
      </c>
      <c r="L84" s="201">
        <v>1039</v>
      </c>
      <c r="M84" s="215">
        <f t="shared" si="109"/>
        <v>1039</v>
      </c>
      <c r="N84" s="203">
        <f>AF84</f>
        <v>1039</v>
      </c>
      <c r="O84" s="215">
        <f t="shared" si="109"/>
        <v>1039</v>
      </c>
      <c r="P84" s="203">
        <f>AG84</f>
        <v>1039</v>
      </c>
      <c r="Q84" s="215">
        <f t="shared" si="109"/>
        <v>1039</v>
      </c>
      <c r="R84" s="203">
        <f>AH84</f>
        <v>1039</v>
      </c>
      <c r="S84" s="215">
        <f t="shared" si="109"/>
        <v>1039</v>
      </c>
      <c r="T84" s="203">
        <f>AI84</f>
        <v>1039</v>
      </c>
      <c r="U84" s="215">
        <f t="shared" si="109"/>
        <v>1039</v>
      </c>
      <c r="V84" s="203">
        <f>AJ84</f>
        <v>1039</v>
      </c>
      <c r="W84" s="215">
        <f t="shared" si="109"/>
        <v>1039</v>
      </c>
      <c r="Z84" s="203"/>
      <c r="AC84" s="197">
        <v>1311</v>
      </c>
      <c r="AD84" s="197">
        <v>1556</v>
      </c>
      <c r="AE84" s="197">
        <v>1607</v>
      </c>
      <c r="AF84" s="197">
        <f>M84</f>
        <v>1039</v>
      </c>
      <c r="AG84" s="197">
        <f>O84</f>
        <v>1039</v>
      </c>
      <c r="AH84" s="197">
        <f>Q84</f>
        <v>1039</v>
      </c>
      <c r="AI84" s="197">
        <f>S84</f>
        <v>1039</v>
      </c>
      <c r="AJ84" s="197">
        <f>U84</f>
        <v>1039</v>
      </c>
      <c r="AK84" s="223">
        <f>W84</f>
        <v>1039</v>
      </c>
    </row>
    <row r="85" spans="2:39" x14ac:dyDescent="0.3">
      <c r="B85" s="66" t="s">
        <v>185</v>
      </c>
      <c r="C85" s="203">
        <v>237</v>
      </c>
      <c r="D85" s="215">
        <f t="shared" si="110"/>
        <v>70</v>
      </c>
      <c r="E85" s="197">
        <v>70</v>
      </c>
      <c r="F85" s="203">
        <v>785</v>
      </c>
      <c r="G85" s="215">
        <f>AC85</f>
        <v>842</v>
      </c>
      <c r="H85" s="201">
        <v>575</v>
      </c>
      <c r="I85" s="215">
        <f>AD85</f>
        <v>580</v>
      </c>
      <c r="J85" s="201">
        <v>739</v>
      </c>
      <c r="K85" s="215">
        <f>AE85</f>
        <v>1778</v>
      </c>
      <c r="L85" s="201">
        <v>1110</v>
      </c>
      <c r="M85" s="215">
        <f t="shared" si="109"/>
        <v>1110</v>
      </c>
      <c r="N85" s="203">
        <f>AF85</f>
        <v>1110</v>
      </c>
      <c r="O85" s="215">
        <f t="shared" si="109"/>
        <v>1110</v>
      </c>
      <c r="P85" s="203">
        <f>AG85</f>
        <v>1110</v>
      </c>
      <c r="Q85" s="215">
        <f t="shared" si="109"/>
        <v>1110</v>
      </c>
      <c r="R85" s="203">
        <f>AH85</f>
        <v>1110</v>
      </c>
      <c r="S85" s="215">
        <f t="shared" si="109"/>
        <v>1110</v>
      </c>
      <c r="T85" s="203">
        <f>AI85</f>
        <v>1110</v>
      </c>
      <c r="U85" s="215">
        <f t="shared" si="109"/>
        <v>1110</v>
      </c>
      <c r="V85" s="203">
        <f>AJ85</f>
        <v>1110</v>
      </c>
      <c r="W85" s="215">
        <f t="shared" si="109"/>
        <v>1110</v>
      </c>
      <c r="Z85" s="203"/>
      <c r="AC85" s="197">
        <v>842</v>
      </c>
      <c r="AD85" s="197">
        <v>580</v>
      </c>
      <c r="AE85" s="197">
        <v>1778</v>
      </c>
      <c r="AF85" s="197">
        <f>M85</f>
        <v>1110</v>
      </c>
      <c r="AG85" s="197">
        <f>O85</f>
        <v>1110</v>
      </c>
      <c r="AH85" s="197">
        <f>Q85</f>
        <v>1110</v>
      </c>
      <c r="AI85" s="197">
        <f>S85</f>
        <v>1110</v>
      </c>
      <c r="AJ85" s="197">
        <f>U85</f>
        <v>1110</v>
      </c>
      <c r="AK85" s="223">
        <f>W85</f>
        <v>1110</v>
      </c>
    </row>
    <row r="86" spans="2:39" x14ac:dyDescent="0.3">
      <c r="B86" s="66" t="s">
        <v>186</v>
      </c>
      <c r="C86" s="203">
        <v>103</v>
      </c>
      <c r="D86" s="215">
        <f t="shared" si="110"/>
        <v>103</v>
      </c>
      <c r="E86" s="197">
        <v>103</v>
      </c>
      <c r="F86" s="203">
        <v>105</v>
      </c>
      <c r="G86" s="215">
        <f>AC86</f>
        <v>107</v>
      </c>
      <c r="H86" s="201">
        <v>100</v>
      </c>
      <c r="I86" s="215">
        <f>AD86</f>
        <v>99</v>
      </c>
      <c r="J86" s="201">
        <v>97</v>
      </c>
      <c r="K86" s="215">
        <f>AE86</f>
        <v>96</v>
      </c>
      <c r="L86" s="201">
        <v>96</v>
      </c>
      <c r="M86" s="215">
        <f t="shared" si="109"/>
        <v>96</v>
      </c>
      <c r="N86" s="203">
        <f>AF86</f>
        <v>96</v>
      </c>
      <c r="O86" s="215">
        <f t="shared" si="109"/>
        <v>96</v>
      </c>
      <c r="P86" s="203">
        <f>AG86</f>
        <v>96</v>
      </c>
      <c r="Q86" s="215">
        <f t="shared" si="109"/>
        <v>96</v>
      </c>
      <c r="R86" s="203">
        <f>AH86</f>
        <v>96</v>
      </c>
      <c r="S86" s="215">
        <f t="shared" si="109"/>
        <v>96</v>
      </c>
      <c r="T86" s="203">
        <f>AI86</f>
        <v>96</v>
      </c>
      <c r="U86" s="215">
        <f t="shared" si="109"/>
        <v>96</v>
      </c>
      <c r="V86" s="203">
        <f>AJ86</f>
        <v>96</v>
      </c>
      <c r="W86" s="215">
        <f t="shared" si="109"/>
        <v>96</v>
      </c>
      <c r="Z86" s="203"/>
      <c r="AC86" s="197">
        <v>107</v>
      </c>
      <c r="AD86" s="197">
        <v>99</v>
      </c>
      <c r="AE86" s="197">
        <v>96</v>
      </c>
      <c r="AF86" s="197">
        <f>M86</f>
        <v>96</v>
      </c>
      <c r="AG86" s="197">
        <f>O86</f>
        <v>96</v>
      </c>
      <c r="AH86" s="197">
        <f>Q86</f>
        <v>96</v>
      </c>
      <c r="AI86" s="197">
        <f>S86</f>
        <v>96</v>
      </c>
      <c r="AJ86" s="197">
        <f>U86</f>
        <v>96</v>
      </c>
      <c r="AK86" s="223">
        <f>W86</f>
        <v>96</v>
      </c>
    </row>
    <row r="87" spans="2:39" x14ac:dyDescent="0.3">
      <c r="B87" s="66" t="s">
        <v>187</v>
      </c>
      <c r="C87" s="203">
        <v>507</v>
      </c>
      <c r="D87" s="215">
        <f t="shared" si="110"/>
        <v>122</v>
      </c>
      <c r="E87" s="197">
        <v>122</v>
      </c>
      <c r="F87" s="203">
        <v>333</v>
      </c>
      <c r="G87" s="215">
        <f>AC87</f>
        <v>406</v>
      </c>
      <c r="H87" s="201">
        <v>558</v>
      </c>
      <c r="I87" s="215">
        <f>AD87</f>
        <v>956</v>
      </c>
      <c r="J87" s="201">
        <v>1341</v>
      </c>
      <c r="K87" s="215">
        <f>AE87</f>
        <v>352</v>
      </c>
      <c r="L87" s="201">
        <v>1188</v>
      </c>
      <c r="M87" s="215">
        <f t="shared" si="109"/>
        <v>1188</v>
      </c>
      <c r="N87" s="203">
        <f>AF87</f>
        <v>1188</v>
      </c>
      <c r="O87" s="215">
        <f t="shared" si="109"/>
        <v>1188</v>
      </c>
      <c r="P87" s="203">
        <f>AG87</f>
        <v>1188</v>
      </c>
      <c r="Q87" s="215">
        <f t="shared" si="109"/>
        <v>1188</v>
      </c>
      <c r="R87" s="203">
        <f>AH87</f>
        <v>1188</v>
      </c>
      <c r="S87" s="215">
        <f t="shared" si="109"/>
        <v>1188</v>
      </c>
      <c r="T87" s="203">
        <f>AI87</f>
        <v>1188</v>
      </c>
      <c r="U87" s="215">
        <f t="shared" si="109"/>
        <v>1188</v>
      </c>
      <c r="V87" s="203">
        <f>AJ87</f>
        <v>1188</v>
      </c>
      <c r="W87" s="215">
        <f t="shared" si="109"/>
        <v>1188</v>
      </c>
      <c r="Z87" s="203"/>
      <c r="AC87" s="197">
        <v>406</v>
      </c>
      <c r="AD87" s="197">
        <v>956</v>
      </c>
      <c r="AE87" s="197">
        <v>352</v>
      </c>
      <c r="AF87" s="197">
        <f>M87</f>
        <v>1188</v>
      </c>
      <c r="AG87" s="197">
        <f>O87</f>
        <v>1188</v>
      </c>
      <c r="AH87" s="197">
        <f>Q87</f>
        <v>1188</v>
      </c>
      <c r="AI87" s="197">
        <f>S87</f>
        <v>1188</v>
      </c>
      <c r="AJ87" s="197">
        <f>U87</f>
        <v>1188</v>
      </c>
      <c r="AK87" s="223">
        <f>W87</f>
        <v>1188</v>
      </c>
    </row>
    <row r="88" spans="2:39" x14ac:dyDescent="0.3">
      <c r="B88" s="66" t="s">
        <v>73</v>
      </c>
      <c r="C88" s="203">
        <v>16</v>
      </c>
      <c r="D88" s="215">
        <f t="shared" si="110"/>
        <v>6</v>
      </c>
      <c r="E88" s="197">
        <v>6</v>
      </c>
      <c r="F88" s="203">
        <v>4</v>
      </c>
      <c r="G88" s="215">
        <f>AC88</f>
        <v>9</v>
      </c>
      <c r="H88" s="201">
        <v>11</v>
      </c>
      <c r="I88" s="215">
        <f>AD88</f>
        <v>6</v>
      </c>
      <c r="J88" s="201">
        <v>17</v>
      </c>
      <c r="K88" s="215">
        <f>AE88</f>
        <v>21</v>
      </c>
      <c r="L88" s="201">
        <v>36</v>
      </c>
      <c r="M88" s="215">
        <f t="shared" si="109"/>
        <v>36</v>
      </c>
      <c r="N88" s="203">
        <f>AF88</f>
        <v>36</v>
      </c>
      <c r="O88" s="215">
        <f t="shared" si="109"/>
        <v>36</v>
      </c>
      <c r="P88" s="203">
        <f>AG88</f>
        <v>36</v>
      </c>
      <c r="Q88" s="215">
        <f t="shared" si="109"/>
        <v>36</v>
      </c>
      <c r="R88" s="203">
        <f>AH88</f>
        <v>36</v>
      </c>
      <c r="S88" s="215">
        <f t="shared" si="109"/>
        <v>36</v>
      </c>
      <c r="T88" s="203">
        <f>AI88</f>
        <v>36</v>
      </c>
      <c r="U88" s="215">
        <f t="shared" si="109"/>
        <v>36</v>
      </c>
      <c r="V88" s="203">
        <f>AJ88</f>
        <v>36</v>
      </c>
      <c r="W88" s="215">
        <f t="shared" si="109"/>
        <v>36</v>
      </c>
      <c r="Z88" s="203"/>
      <c r="AC88" s="197">
        <v>9</v>
      </c>
      <c r="AD88" s="197">
        <v>6</v>
      </c>
      <c r="AE88" s="197">
        <v>21</v>
      </c>
      <c r="AF88" s="197">
        <f>M88</f>
        <v>36</v>
      </c>
      <c r="AG88" s="197">
        <f>O88</f>
        <v>36</v>
      </c>
      <c r="AH88" s="197">
        <f>Q88</f>
        <v>36</v>
      </c>
      <c r="AI88" s="197">
        <f>S88</f>
        <v>36</v>
      </c>
      <c r="AJ88" s="197">
        <f>U88</f>
        <v>36</v>
      </c>
      <c r="AK88" s="223">
        <f>W88</f>
        <v>36</v>
      </c>
    </row>
    <row r="89" spans="2:39" s="3" customFormat="1" x14ac:dyDescent="0.3">
      <c r="B89" s="67" t="s">
        <v>89</v>
      </c>
      <c r="C89" s="204">
        <f t="shared" ref="C89:I89" si="111">SUM(C81:C88)</f>
        <v>4497</v>
      </c>
      <c r="D89" s="217">
        <f>SUM(D81:D88)+1</f>
        <v>4218</v>
      </c>
      <c r="E89" s="218">
        <f>SUM(E81:E88)+1</f>
        <v>4218</v>
      </c>
      <c r="F89" s="204">
        <f t="shared" si="111"/>
        <v>5663</v>
      </c>
      <c r="G89" s="217">
        <f t="shared" si="111"/>
        <v>6107</v>
      </c>
      <c r="H89" s="202">
        <f>SUM(H81:H88)+1</f>
        <v>5964</v>
      </c>
      <c r="I89" s="217">
        <f t="shared" si="111"/>
        <v>6935</v>
      </c>
      <c r="J89" s="202">
        <f>SUM(J81:J88)+1</f>
        <v>6772</v>
      </c>
      <c r="K89" s="217">
        <f t="shared" ref="K89" si="112">SUM(K81:K88)</f>
        <v>7091</v>
      </c>
      <c r="L89" s="202">
        <f>SUM(L81:L88)</f>
        <v>6625</v>
      </c>
      <c r="M89" s="217">
        <f t="shared" ref="M89:W89" si="113">SUM(M81:M88)</f>
        <v>6828</v>
      </c>
      <c r="N89" s="204">
        <f t="shared" si="113"/>
        <v>6828</v>
      </c>
      <c r="O89" s="217">
        <f t="shared" si="113"/>
        <v>6828</v>
      </c>
      <c r="P89" s="204">
        <f t="shared" si="113"/>
        <v>6828</v>
      </c>
      <c r="Q89" s="217">
        <f t="shared" si="113"/>
        <v>6828</v>
      </c>
      <c r="R89" s="204">
        <f t="shared" si="113"/>
        <v>6828</v>
      </c>
      <c r="S89" s="217">
        <f t="shared" si="113"/>
        <v>6828</v>
      </c>
      <c r="T89" s="204">
        <f t="shared" si="113"/>
        <v>6828</v>
      </c>
      <c r="U89" s="217">
        <f t="shared" si="113"/>
        <v>6828</v>
      </c>
      <c r="V89" s="204">
        <f t="shared" si="113"/>
        <v>6828</v>
      </c>
      <c r="W89" s="217">
        <f t="shared" si="113"/>
        <v>6828</v>
      </c>
      <c r="Y89"/>
      <c r="AC89" s="218">
        <f>SUM(AC81:AC88)</f>
        <v>6107</v>
      </c>
      <c r="AD89" s="218">
        <f>SUM(AD81:AD88)</f>
        <v>6935</v>
      </c>
      <c r="AE89" s="218">
        <f>SUM(AE81:AE88)</f>
        <v>7091</v>
      </c>
      <c r="AF89" s="218">
        <f>SUM(AF81:AF88)</f>
        <v>6828</v>
      </c>
      <c r="AG89" s="218">
        <f>SUM(AG81:AG88)</f>
        <v>6828</v>
      </c>
      <c r="AH89" s="218">
        <f>SUM(AH81:AH88)</f>
        <v>6828</v>
      </c>
      <c r="AI89" s="218">
        <f>SUM(AI81:AI88)</f>
        <v>6828</v>
      </c>
      <c r="AJ89" s="218">
        <f>SUM(AJ81:AJ88)</f>
        <v>6828</v>
      </c>
      <c r="AK89" s="224">
        <f>SUM(AK81:AK88)</f>
        <v>6828</v>
      </c>
      <c r="AM89"/>
    </row>
    <row r="90" spans="2:39" x14ac:dyDescent="0.3">
      <c r="B90" s="66" t="s">
        <v>188</v>
      </c>
      <c r="C90" s="203">
        <v>0</v>
      </c>
      <c r="D90" s="215">
        <f t="shared" si="110"/>
        <v>0</v>
      </c>
      <c r="E90" s="197">
        <v>0</v>
      </c>
      <c r="F90" s="203">
        <v>0</v>
      </c>
      <c r="G90" s="215">
        <f>AC90</f>
        <v>0</v>
      </c>
      <c r="H90" s="201">
        <v>0</v>
      </c>
      <c r="I90" s="215">
        <v>0</v>
      </c>
      <c r="J90" s="201">
        <v>17</v>
      </c>
      <c r="K90" s="215">
        <f>AE90</f>
        <v>151</v>
      </c>
      <c r="L90" s="201">
        <v>180</v>
      </c>
      <c r="M90" s="215">
        <f t="shared" ref="M90:W90" si="114">L90</f>
        <v>180</v>
      </c>
      <c r="N90" s="203">
        <f>AF90</f>
        <v>180</v>
      </c>
      <c r="O90" s="215">
        <f t="shared" si="114"/>
        <v>180</v>
      </c>
      <c r="P90" s="203">
        <f>AG90</f>
        <v>180</v>
      </c>
      <c r="Q90" s="215">
        <f t="shared" si="114"/>
        <v>180</v>
      </c>
      <c r="R90" s="203">
        <f>AH90</f>
        <v>180</v>
      </c>
      <c r="S90" s="215">
        <f t="shared" si="114"/>
        <v>180</v>
      </c>
      <c r="T90" s="203">
        <f>AI90</f>
        <v>180</v>
      </c>
      <c r="U90" s="215">
        <f t="shared" si="114"/>
        <v>180</v>
      </c>
      <c r="V90" s="203">
        <f>AJ90</f>
        <v>180</v>
      </c>
      <c r="W90" s="215">
        <f t="shared" si="114"/>
        <v>180</v>
      </c>
      <c r="Z90" s="203"/>
      <c r="AC90" s="197">
        <v>0</v>
      </c>
      <c r="AD90" s="197">
        <v>0</v>
      </c>
      <c r="AE90" s="197">
        <v>151</v>
      </c>
      <c r="AF90" s="197">
        <f>M90</f>
        <v>180</v>
      </c>
      <c r="AG90" s="197">
        <f>O90</f>
        <v>180</v>
      </c>
      <c r="AH90" s="197">
        <f>Q90</f>
        <v>180</v>
      </c>
      <c r="AI90" s="197">
        <f>S90</f>
        <v>180</v>
      </c>
      <c r="AJ90" s="197">
        <f>U90</f>
        <v>180</v>
      </c>
      <c r="AK90" s="223">
        <f>W90</f>
        <v>180</v>
      </c>
    </row>
    <row r="91" spans="2:39" s="3" customFormat="1" ht="15" thickBot="1" x14ac:dyDescent="0.35">
      <c r="B91" s="76" t="s">
        <v>90</v>
      </c>
      <c r="C91" s="231">
        <f>C70+C79+C89+1</f>
        <v>31772</v>
      </c>
      <c r="D91" s="219">
        <f>D70+D79+D89</f>
        <v>32147</v>
      </c>
      <c r="E91" s="230">
        <f>E70+E79+E89+E90</f>
        <v>32147</v>
      </c>
      <c r="F91" s="231">
        <f>F70+F79+F89</f>
        <v>34070</v>
      </c>
      <c r="G91" s="219">
        <f>G70+G79+G89-1</f>
        <v>36012</v>
      </c>
      <c r="H91" s="233">
        <f>H70+H79+H89</f>
        <v>36875</v>
      </c>
      <c r="I91" s="219">
        <f>I70+I79+I89</f>
        <v>37676</v>
      </c>
      <c r="J91" s="233">
        <f>J70+J79+J89+J90+1</f>
        <v>38737</v>
      </c>
      <c r="K91" s="219">
        <f>K70+K79+K89+K90</f>
        <v>39185</v>
      </c>
      <c r="L91" s="233">
        <f>L70+L79+L89+L90</f>
        <v>39795</v>
      </c>
      <c r="M91" s="219">
        <f>M70+M79+M89+M90-1</f>
        <v>41077.763429999999</v>
      </c>
      <c r="N91" s="231">
        <f>N70+N79+N89+N90-1</f>
        <v>42672.686511560001</v>
      </c>
      <c r="O91" s="219">
        <f t="shared" ref="O91" si="115">O70+O79+O89+O90-1</f>
        <v>43976.2084076764</v>
      </c>
      <c r="P91" s="231">
        <f t="shared" ref="P91:S91" si="116">P70+P79+P89+P90</f>
        <v>45432.083931356014</v>
      </c>
      <c r="Q91" s="219">
        <f t="shared" si="116"/>
        <v>46770.994230498356</v>
      </c>
      <c r="R91" s="231">
        <f t="shared" si="116"/>
        <v>48173.995961364199</v>
      </c>
      <c r="S91" s="219">
        <f t="shared" si="116"/>
        <v>49648.42176911662</v>
      </c>
      <c r="T91" s="231">
        <f t="shared" ref="T91:W91" si="117">T70+T79+T89+T90</f>
        <v>50903.529631439349</v>
      </c>
      <c r="U91" s="219">
        <f t="shared" si="117"/>
        <v>52435.217113481667</v>
      </c>
      <c r="V91" s="231">
        <f t="shared" si="117"/>
        <v>53692.398644756599</v>
      </c>
      <c r="W91" s="219">
        <f t="shared" si="117"/>
        <v>55433.512240166077</v>
      </c>
      <c r="Y91"/>
      <c r="AC91" s="230">
        <f>AC70+AC79+AC89-1</f>
        <v>36012</v>
      </c>
      <c r="AD91" s="230">
        <f>AD70+AD79+AD89</f>
        <v>37676</v>
      </c>
      <c r="AE91" s="230">
        <f>AE70+AE79+AE89+AE90</f>
        <v>39185</v>
      </c>
      <c r="AF91" s="230">
        <f>AF70+AF79+AF89+AF90-1</f>
        <v>41077.763429999999</v>
      </c>
      <c r="AG91" s="230">
        <f>AG70+AG79+AG89+AG90-1</f>
        <v>43976.2084076764</v>
      </c>
      <c r="AH91" s="230">
        <f>AH70+AH79+AH89+AH90</f>
        <v>46770.994230498356</v>
      </c>
      <c r="AI91" s="230">
        <f>AI70+AI79+AI89+AI90</f>
        <v>49648.42176911662</v>
      </c>
      <c r="AJ91" s="230">
        <f>AJ70+AJ79+AJ89+AJ90</f>
        <v>52435.217113481667</v>
      </c>
      <c r="AK91" s="232">
        <f>AK70+AK79+AK89+AK90</f>
        <v>55433.512240166077</v>
      </c>
      <c r="AM91"/>
    </row>
    <row r="92" spans="2:39" x14ac:dyDescent="0.3">
      <c r="B92" s="78"/>
      <c r="C92" s="78"/>
      <c r="D92" s="78"/>
      <c r="E92" s="78"/>
      <c r="F92" s="78"/>
      <c r="G92" s="78"/>
      <c r="H92" s="78"/>
      <c r="I92" s="78"/>
      <c r="J92" s="78"/>
      <c r="K92" s="78"/>
      <c r="L92" s="78"/>
      <c r="M92" s="78"/>
      <c r="N92" s="78"/>
      <c r="O92" s="78"/>
      <c r="P92" s="78"/>
      <c r="Q92" s="78"/>
      <c r="R92" s="78"/>
      <c r="S92" s="78"/>
      <c r="T92" s="78"/>
      <c r="U92" s="78"/>
      <c r="V92" s="78"/>
      <c r="W92" s="78"/>
      <c r="AC92" s="78"/>
      <c r="AD92" s="78"/>
      <c r="AE92" s="78"/>
      <c r="AF92" s="78"/>
      <c r="AG92" s="78"/>
      <c r="AH92" s="78"/>
      <c r="AI92" s="78"/>
      <c r="AJ92" s="78"/>
      <c r="AK92" s="78"/>
    </row>
    <row r="93" spans="2:39" x14ac:dyDescent="0.3">
      <c r="B93" s="79" t="s">
        <v>91</v>
      </c>
      <c r="C93" s="80" t="str">
        <f t="shared" ref="C93:J93" si="118">IF(C62=C91,"OK",C62-C91)</f>
        <v>OK</v>
      </c>
      <c r="D93" s="80" t="str">
        <f t="shared" si="118"/>
        <v>OK</v>
      </c>
      <c r="E93" s="80" t="str">
        <f t="shared" si="118"/>
        <v>OK</v>
      </c>
      <c r="F93" s="80" t="str">
        <f t="shared" si="118"/>
        <v>OK</v>
      </c>
      <c r="G93" s="80" t="str">
        <f t="shared" si="118"/>
        <v>OK</v>
      </c>
      <c r="H93" s="80" t="str">
        <f t="shared" si="118"/>
        <v>OK</v>
      </c>
      <c r="I93" s="80" t="str">
        <f t="shared" si="118"/>
        <v>OK</v>
      </c>
      <c r="J93" s="80" t="str">
        <f t="shared" si="118"/>
        <v>OK</v>
      </c>
      <c r="K93" s="80" t="str">
        <f t="shared" ref="K93:L93" si="119">IF(K62=K91,"OK",K62-K91)</f>
        <v>OK</v>
      </c>
      <c r="L93" s="80" t="str">
        <f t="shared" si="119"/>
        <v>OK</v>
      </c>
      <c r="M93" s="80" t="str">
        <f t="shared" ref="M93:W93" si="120">IF(M62=M91,"OK",M62-M91)</f>
        <v>OK</v>
      </c>
      <c r="N93" s="80" t="str">
        <f t="shared" si="120"/>
        <v>OK</v>
      </c>
      <c r="O93" s="80" t="str">
        <f t="shared" si="120"/>
        <v>OK</v>
      </c>
      <c r="P93" s="80" t="str">
        <f t="shared" si="120"/>
        <v>OK</v>
      </c>
      <c r="Q93" s="80" t="str">
        <f t="shared" si="120"/>
        <v>OK</v>
      </c>
      <c r="R93" s="80" t="str">
        <f t="shared" si="120"/>
        <v>OK</v>
      </c>
      <c r="S93" s="80" t="str">
        <f t="shared" si="120"/>
        <v>OK</v>
      </c>
      <c r="T93" s="80" t="str">
        <f t="shared" si="120"/>
        <v>OK</v>
      </c>
      <c r="U93" s="80" t="str">
        <f t="shared" si="120"/>
        <v>OK</v>
      </c>
      <c r="V93" s="80" t="str">
        <f t="shared" si="120"/>
        <v>OK</v>
      </c>
      <c r="W93" s="80" t="str">
        <f t="shared" si="120"/>
        <v>OK</v>
      </c>
      <c r="AC93" s="80" t="str">
        <f>IF(AC62=AC91,"OK",AC62-AC91)</f>
        <v>OK</v>
      </c>
      <c r="AD93" s="80" t="str">
        <f>IF(AD62=AD91,"OK",AD62-AD91)</f>
        <v>OK</v>
      </c>
      <c r="AE93" s="80" t="str">
        <f>IF(AE62=AE91,"OK",AE62-AE91)</f>
        <v>OK</v>
      </c>
      <c r="AF93" s="80" t="str">
        <f>IF(AF62=AF91,"OK",AF62-AF91)</f>
        <v>OK</v>
      </c>
      <c r="AG93" s="80" t="str">
        <f>IF(AG62=AG91,"OK",AG62-AG91)</f>
        <v>OK</v>
      </c>
      <c r="AH93" s="80" t="str">
        <f>IF(AH62=AH91,"OK",AH62-AH91)</f>
        <v>OK</v>
      </c>
      <c r="AI93" s="80" t="str">
        <f>IF(AI62=AI91,"OK",AI62-AI91)</f>
        <v>OK</v>
      </c>
      <c r="AJ93" s="80" t="str">
        <f>IF(AJ62=AJ91,"OK",AJ62-AJ91)</f>
        <v>OK</v>
      </c>
      <c r="AK93" s="80" t="str">
        <f>IF(AK62=AK91,"OK",AK62-AK91)</f>
        <v>OK</v>
      </c>
    </row>
    <row r="94" spans="2:39" ht="15" thickBot="1" x14ac:dyDescent="0.35">
      <c r="AE94" s="203"/>
    </row>
    <row r="95" spans="2:39" x14ac:dyDescent="0.3">
      <c r="B95" s="74" t="s">
        <v>93</v>
      </c>
      <c r="C95" s="73" t="str">
        <f t="shared" ref="C95:J95" si="121">C44</f>
        <v>H1'21</v>
      </c>
      <c r="D95" s="71" t="str">
        <f t="shared" si="121"/>
        <v>H2'21</v>
      </c>
      <c r="E95" s="72" t="str">
        <f t="shared" si="121"/>
        <v>FY21</v>
      </c>
      <c r="F95" s="73" t="str">
        <f t="shared" si="121"/>
        <v>H1'22</v>
      </c>
      <c r="G95" s="71" t="str">
        <f t="shared" si="121"/>
        <v>H2'22</v>
      </c>
      <c r="H95" s="73" t="str">
        <f t="shared" si="121"/>
        <v>H1'23</v>
      </c>
      <c r="I95" s="71" t="str">
        <f t="shared" si="121"/>
        <v>H2'23</v>
      </c>
      <c r="J95" s="73" t="str">
        <f t="shared" si="121"/>
        <v>H1'24</v>
      </c>
      <c r="K95" s="71" t="str">
        <f t="shared" ref="K95:L95" si="122">K44</f>
        <v>H2'24</v>
      </c>
      <c r="L95" s="73" t="str">
        <f t="shared" si="122"/>
        <v>H1'25</v>
      </c>
      <c r="M95" s="188" t="s">
        <v>45</v>
      </c>
      <c r="N95" s="187" t="s">
        <v>47</v>
      </c>
      <c r="O95" s="188" t="s">
        <v>48</v>
      </c>
      <c r="P95" s="187" t="s">
        <v>50</v>
      </c>
      <c r="Q95" s="188" t="s">
        <v>51</v>
      </c>
      <c r="R95" s="187" t="s">
        <v>53</v>
      </c>
      <c r="S95" s="188" t="s">
        <v>54</v>
      </c>
      <c r="T95" s="187" t="s">
        <v>56</v>
      </c>
      <c r="U95" s="188" t="s">
        <v>57</v>
      </c>
      <c r="V95" s="187" t="s">
        <v>59</v>
      </c>
      <c r="W95" s="188" t="s">
        <v>60</v>
      </c>
      <c r="AA95" s="194"/>
      <c r="AC95" s="72" t="str">
        <f>AC44</f>
        <v>FY22</v>
      </c>
      <c r="AD95" s="72" t="str">
        <f>AD44</f>
        <v>FY23</v>
      </c>
      <c r="AE95" s="72" t="str">
        <f>AE44</f>
        <v>FY24</v>
      </c>
      <c r="AF95" s="189" t="s">
        <v>46</v>
      </c>
      <c r="AG95" s="189" t="s">
        <v>49</v>
      </c>
      <c r="AH95" s="189" t="s">
        <v>52</v>
      </c>
      <c r="AI95" s="189" t="s">
        <v>55</v>
      </c>
      <c r="AJ95" s="189" t="s">
        <v>58</v>
      </c>
      <c r="AK95" s="190" t="s">
        <v>61</v>
      </c>
    </row>
    <row r="96" spans="2:39" x14ac:dyDescent="0.3">
      <c r="B96" s="63" t="s">
        <v>189</v>
      </c>
      <c r="C96" s="59">
        <v>966</v>
      </c>
      <c r="D96" s="59">
        <f>E96-C96</f>
        <v>339</v>
      </c>
      <c r="E96" s="234">
        <v>1305</v>
      </c>
      <c r="F96" s="59">
        <v>1390</v>
      </c>
      <c r="G96" s="59">
        <f>AC96-F96</f>
        <v>606</v>
      </c>
      <c r="H96" s="59">
        <v>1792</v>
      </c>
      <c r="I96" s="59">
        <f>AD96-H96</f>
        <v>470</v>
      </c>
      <c r="J96" s="203">
        <v>1569</v>
      </c>
      <c r="K96" s="59">
        <f>AE96-J96</f>
        <v>-93</v>
      </c>
      <c r="L96" s="203">
        <v>1190</v>
      </c>
      <c r="M96" s="203">
        <f t="shared" ref="M96:W96" si="123">M30</f>
        <v>580.7634300000002</v>
      </c>
      <c r="N96" s="203">
        <f t="shared" si="123"/>
        <v>1094.9230815600004</v>
      </c>
      <c r="O96" s="203">
        <f t="shared" si="123"/>
        <v>803.52189611639994</v>
      </c>
      <c r="P96" s="203">
        <f t="shared" si="123"/>
        <v>954.87552367961621</v>
      </c>
      <c r="Q96" s="203">
        <f t="shared" si="123"/>
        <v>838.91029914233923</v>
      </c>
      <c r="R96" s="203">
        <f t="shared" si="123"/>
        <v>903.00173086584311</v>
      </c>
      <c r="S96" s="203">
        <f t="shared" si="123"/>
        <v>974.42580775241811</v>
      </c>
      <c r="T96" s="203">
        <f t="shared" si="123"/>
        <v>755.1078623227362</v>
      </c>
      <c r="U96" s="203">
        <f t="shared" si="123"/>
        <v>1031.6874820423131</v>
      </c>
      <c r="V96" s="203">
        <f t="shared" si="123"/>
        <v>757.18153127493326</v>
      </c>
      <c r="W96" s="203">
        <f t="shared" si="123"/>
        <v>1241.1135954094757</v>
      </c>
      <c r="AA96" s="194"/>
      <c r="AC96" s="234">
        <v>1996</v>
      </c>
      <c r="AD96" s="234">
        <v>2262</v>
      </c>
      <c r="AE96" s="234">
        <v>1476</v>
      </c>
      <c r="AF96" s="198">
        <f>AF30+1</f>
        <v>1770.7634300000002</v>
      </c>
      <c r="AG96" s="198">
        <f>AG30+1</f>
        <v>1900.4449776764004</v>
      </c>
      <c r="AH96" s="198">
        <f>AH30+1</f>
        <v>1795.7858228219552</v>
      </c>
      <c r="AI96" s="198">
        <f>AI30+1</f>
        <v>1879.4275386182608</v>
      </c>
      <c r="AJ96" s="198">
        <f>AJ30+1</f>
        <v>1788.7953443650495</v>
      </c>
      <c r="AK96" s="235">
        <f>AK30+1</f>
        <v>2000.2951266844084</v>
      </c>
    </row>
    <row r="97" spans="2:37" x14ac:dyDescent="0.3">
      <c r="B97" s="63" t="s">
        <v>190</v>
      </c>
      <c r="C97" s="59">
        <v>18</v>
      </c>
      <c r="D97" s="59">
        <f t="shared" ref="D97:D108" si="124">E97-C97</f>
        <v>-5</v>
      </c>
      <c r="E97" s="99">
        <v>13</v>
      </c>
      <c r="F97" s="59">
        <v>21</v>
      </c>
      <c r="G97" s="59">
        <f>AC97-F97</f>
        <v>14</v>
      </c>
      <c r="H97" s="59">
        <v>21</v>
      </c>
      <c r="I97" s="59">
        <f>AD97-H97</f>
        <v>0</v>
      </c>
      <c r="J97" s="203">
        <v>30</v>
      </c>
      <c r="K97" s="59">
        <f>AE97-J97</f>
        <v>8</v>
      </c>
      <c r="L97" s="203">
        <v>24</v>
      </c>
      <c r="M97" s="203"/>
      <c r="N97" s="203"/>
      <c r="O97" s="203"/>
      <c r="P97" s="203"/>
      <c r="Q97" s="203"/>
      <c r="R97" s="203"/>
      <c r="S97" s="203"/>
      <c r="T97" s="203"/>
      <c r="U97" s="203"/>
      <c r="V97" s="203"/>
      <c r="W97" s="203"/>
      <c r="AA97" s="194"/>
      <c r="AC97" s="99">
        <v>35</v>
      </c>
      <c r="AD97" s="99">
        <v>21</v>
      </c>
      <c r="AE97" s="99">
        <v>38</v>
      </c>
      <c r="AF97" s="200">
        <f>L97+M97</f>
        <v>24</v>
      </c>
      <c r="AG97" s="200"/>
      <c r="AH97" s="200"/>
      <c r="AI97" s="200"/>
      <c r="AJ97" s="200"/>
      <c r="AK97" s="236"/>
    </row>
    <row r="98" spans="2:37" x14ac:dyDescent="0.3">
      <c r="B98" s="63" t="s">
        <v>191</v>
      </c>
      <c r="C98" s="59">
        <v>2</v>
      </c>
      <c r="D98" s="59">
        <f t="shared" si="124"/>
        <v>2</v>
      </c>
      <c r="E98" s="99">
        <v>4</v>
      </c>
      <c r="F98" s="59">
        <v>-2</v>
      </c>
      <c r="G98" s="59">
        <f>AC98-F98</f>
        <v>-3</v>
      </c>
      <c r="H98" s="59">
        <v>4</v>
      </c>
      <c r="I98" s="59">
        <f>AD98-H98</f>
        <v>0</v>
      </c>
      <c r="J98" s="203">
        <v>2</v>
      </c>
      <c r="K98" s="59">
        <f>AE98-J98</f>
        <v>7</v>
      </c>
      <c r="L98" s="203">
        <v>3</v>
      </c>
      <c r="M98" s="203"/>
      <c r="N98" s="203"/>
      <c r="O98" s="203"/>
      <c r="P98" s="203"/>
      <c r="Q98" s="203"/>
      <c r="R98" s="203"/>
      <c r="S98" s="203"/>
      <c r="T98" s="203"/>
      <c r="U98" s="203"/>
      <c r="V98" s="203"/>
      <c r="W98" s="203"/>
      <c r="AA98" s="194"/>
      <c r="AC98" s="99">
        <v>-5</v>
      </c>
      <c r="AD98" s="99">
        <v>4</v>
      </c>
      <c r="AE98" s="99">
        <v>9</v>
      </c>
      <c r="AF98" s="200">
        <f>L98+M98</f>
        <v>3</v>
      </c>
      <c r="AG98" s="200"/>
      <c r="AH98" s="200"/>
      <c r="AI98" s="200"/>
      <c r="AJ98" s="200"/>
      <c r="AK98" s="236"/>
    </row>
    <row r="99" spans="2:37" x14ac:dyDescent="0.3">
      <c r="B99" s="63" t="s">
        <v>192</v>
      </c>
      <c r="C99" s="59">
        <v>254</v>
      </c>
      <c r="D99" s="59">
        <f t="shared" si="124"/>
        <v>117</v>
      </c>
      <c r="E99" s="99">
        <v>371</v>
      </c>
      <c r="F99" s="59">
        <v>135</v>
      </c>
      <c r="G99" s="59">
        <f>AC99-F99</f>
        <v>125</v>
      </c>
      <c r="H99" s="59">
        <v>139</v>
      </c>
      <c r="I99" s="59">
        <f>AD99-H99</f>
        <v>188</v>
      </c>
      <c r="J99" s="203">
        <v>218</v>
      </c>
      <c r="K99" s="59">
        <f>AE99-J99</f>
        <v>219</v>
      </c>
      <c r="L99" s="203">
        <v>248</v>
      </c>
      <c r="M99" s="203"/>
      <c r="N99" s="203"/>
      <c r="O99" s="203"/>
      <c r="P99" s="203"/>
      <c r="Q99" s="203"/>
      <c r="R99" s="203"/>
      <c r="S99" s="203"/>
      <c r="T99" s="203"/>
      <c r="U99" s="203"/>
      <c r="V99" s="203"/>
      <c r="W99" s="203"/>
      <c r="Z99" s="59"/>
      <c r="AA99" s="194"/>
      <c r="AC99" s="99">
        <v>260</v>
      </c>
      <c r="AD99" s="99">
        <v>327</v>
      </c>
      <c r="AE99" s="99">
        <v>437</v>
      </c>
      <c r="AF99" s="200">
        <f>L99+M99</f>
        <v>248</v>
      </c>
      <c r="AG99" s="200"/>
      <c r="AH99" s="200"/>
      <c r="AI99" s="200"/>
      <c r="AJ99" s="200"/>
      <c r="AK99" s="236"/>
    </row>
    <row r="100" spans="2:37" x14ac:dyDescent="0.3">
      <c r="B100" s="63" t="s">
        <v>193</v>
      </c>
      <c r="C100" s="59">
        <v>294</v>
      </c>
      <c r="D100" s="59">
        <f t="shared" si="124"/>
        <v>373</v>
      </c>
      <c r="E100" s="99">
        <v>667</v>
      </c>
      <c r="F100" s="59">
        <v>452</v>
      </c>
      <c r="G100" s="59">
        <f>AC100-F100</f>
        <v>224</v>
      </c>
      <c r="H100" s="59">
        <v>553</v>
      </c>
      <c r="I100" s="59">
        <f>AD100-H100</f>
        <v>98</v>
      </c>
      <c r="J100" s="203">
        <v>466</v>
      </c>
      <c r="K100" s="59">
        <f>AE100-J100</f>
        <v>300</v>
      </c>
      <c r="L100" s="203">
        <v>433</v>
      </c>
      <c r="M100" s="203"/>
      <c r="N100" s="203"/>
      <c r="O100" s="203"/>
      <c r="P100" s="203"/>
      <c r="Q100" s="203"/>
      <c r="R100" s="203"/>
      <c r="S100" s="203"/>
      <c r="T100" s="203"/>
      <c r="U100" s="203"/>
      <c r="V100" s="203"/>
      <c r="W100" s="203"/>
      <c r="AA100" s="194"/>
      <c r="AC100" s="99">
        <v>676</v>
      </c>
      <c r="AD100" s="99">
        <v>651</v>
      </c>
      <c r="AE100" s="99">
        <v>766</v>
      </c>
      <c r="AF100" s="200">
        <f>L100+M100</f>
        <v>433</v>
      </c>
      <c r="AG100" s="200"/>
      <c r="AH100" s="200"/>
      <c r="AI100" s="200"/>
      <c r="AJ100" s="200"/>
      <c r="AK100" s="236"/>
    </row>
    <row r="101" spans="2:37" x14ac:dyDescent="0.3">
      <c r="B101" s="63" t="s">
        <v>194</v>
      </c>
      <c r="C101" s="59">
        <v>0</v>
      </c>
      <c r="D101" s="59">
        <f t="shared" si="124"/>
        <v>0</v>
      </c>
      <c r="E101" s="99">
        <v>0</v>
      </c>
      <c r="F101" s="59">
        <v>0</v>
      </c>
      <c r="G101" s="59">
        <f>AC101-F101</f>
        <v>0</v>
      </c>
      <c r="H101" s="59">
        <v>0</v>
      </c>
      <c r="I101" s="59">
        <f>AD101-H101</f>
        <v>0</v>
      </c>
      <c r="J101" s="203"/>
      <c r="K101" s="59">
        <f>AE101-J101</f>
        <v>0</v>
      </c>
      <c r="L101" s="203">
        <v>0</v>
      </c>
      <c r="M101" s="203"/>
      <c r="N101" s="203"/>
      <c r="O101" s="203"/>
      <c r="P101" s="203"/>
      <c r="Q101" s="203"/>
      <c r="R101" s="203"/>
      <c r="S101" s="203"/>
      <c r="T101" s="203"/>
      <c r="U101" s="203"/>
      <c r="V101" s="203"/>
      <c r="W101" s="203"/>
      <c r="AA101" s="194"/>
      <c r="AC101" s="99">
        <v>0</v>
      </c>
      <c r="AD101" s="99">
        <v>0</v>
      </c>
      <c r="AE101" s="99">
        <v>0</v>
      </c>
      <c r="AF101" s="200">
        <f>L101+M101</f>
        <v>0</v>
      </c>
      <c r="AG101" s="200"/>
      <c r="AH101" s="200"/>
      <c r="AI101" s="200"/>
      <c r="AJ101" s="200"/>
      <c r="AK101" s="236"/>
    </row>
    <row r="102" spans="2:37" x14ac:dyDescent="0.3">
      <c r="B102" s="63" t="s">
        <v>195</v>
      </c>
      <c r="C102" s="59">
        <v>179</v>
      </c>
      <c r="D102" s="59">
        <f t="shared" si="124"/>
        <v>188</v>
      </c>
      <c r="E102" s="99">
        <v>367</v>
      </c>
      <c r="F102" s="59">
        <v>189</v>
      </c>
      <c r="G102" s="59">
        <f>AC102-F102</f>
        <v>192</v>
      </c>
      <c r="H102" s="59">
        <v>204</v>
      </c>
      <c r="I102" s="59">
        <f>AD102-H102</f>
        <v>213</v>
      </c>
      <c r="J102" s="203">
        <v>217</v>
      </c>
      <c r="K102" s="59">
        <f>AE102-J102</f>
        <v>224</v>
      </c>
      <c r="L102" s="203">
        <v>211</v>
      </c>
      <c r="M102" s="203">
        <f t="shared" ref="M102:W102" si="125">M13</f>
        <v>255.95999999999998</v>
      </c>
      <c r="N102" s="203">
        <f t="shared" si="125"/>
        <v>264.56947199999996</v>
      </c>
      <c r="O102" s="203">
        <f t="shared" si="125"/>
        <v>281.46203867999998</v>
      </c>
      <c r="P102" s="203">
        <f t="shared" si="125"/>
        <v>292.95384229919995</v>
      </c>
      <c r="Q102" s="203">
        <f t="shared" si="125"/>
        <v>305.63378781124794</v>
      </c>
      <c r="R102" s="203">
        <f t="shared" si="125"/>
        <v>315.59147326077311</v>
      </c>
      <c r="S102" s="203">
        <f t="shared" si="125"/>
        <v>324.3283151966267</v>
      </c>
      <c r="T102" s="203">
        <f t="shared" si="125"/>
        <v>333.07800138457515</v>
      </c>
      <c r="U102" s="203">
        <f t="shared" si="125"/>
        <v>338.10326054294563</v>
      </c>
      <c r="V102" s="203">
        <f t="shared" si="125"/>
        <v>172.96876628155366</v>
      </c>
      <c r="W102" s="203">
        <f t="shared" si="125"/>
        <v>178.91354150245118</v>
      </c>
      <c r="AA102" s="194"/>
      <c r="AC102" s="99">
        <v>381</v>
      </c>
      <c r="AD102" s="99">
        <v>417</v>
      </c>
      <c r="AE102" s="99">
        <v>441</v>
      </c>
      <c r="AF102" s="200">
        <f>AF13</f>
        <v>466.96</v>
      </c>
      <c r="AG102" s="200">
        <f>AG13</f>
        <v>546.03151067999988</v>
      </c>
      <c r="AH102" s="200">
        <f>AH13</f>
        <v>598.58763011044789</v>
      </c>
      <c r="AI102" s="200">
        <f>AI13</f>
        <v>639.91978845739982</v>
      </c>
      <c r="AJ102" s="200">
        <f>AJ13</f>
        <v>671.18126192752084</v>
      </c>
      <c r="AK102" s="236">
        <f>AK13</f>
        <v>351.88230778400487</v>
      </c>
    </row>
    <row r="103" spans="2:37" x14ac:dyDescent="0.3">
      <c r="B103" s="63" t="s">
        <v>196</v>
      </c>
      <c r="C103" s="59">
        <v>-31</v>
      </c>
      <c r="D103" s="59">
        <f t="shared" si="124"/>
        <v>-49</v>
      </c>
      <c r="E103" s="99">
        <v>-80</v>
      </c>
      <c r="F103" s="59">
        <v>-22</v>
      </c>
      <c r="G103" s="59">
        <f>AC103-F103</f>
        <v>29</v>
      </c>
      <c r="H103" s="59">
        <v>-50</v>
      </c>
      <c r="I103" s="59">
        <f>AD103-H103</f>
        <v>-24</v>
      </c>
      <c r="J103" s="203">
        <v>-42</v>
      </c>
      <c r="K103" s="59">
        <f>AE103-J103</f>
        <v>5</v>
      </c>
      <c r="L103" s="203">
        <v>-30</v>
      </c>
      <c r="M103" s="203"/>
      <c r="N103" s="203"/>
      <c r="O103" s="203"/>
      <c r="P103" s="203"/>
      <c r="Q103" s="203"/>
      <c r="R103" s="203"/>
      <c r="S103" s="203"/>
      <c r="T103" s="203"/>
      <c r="U103" s="203"/>
      <c r="V103" s="203"/>
      <c r="W103" s="203"/>
      <c r="AA103" s="194"/>
      <c r="AC103" s="99">
        <v>7</v>
      </c>
      <c r="AD103" s="99">
        <v>-74</v>
      </c>
      <c r="AE103" s="99">
        <v>-37</v>
      </c>
      <c r="AF103" s="200">
        <f>L103+M103</f>
        <v>-30</v>
      </c>
      <c r="AG103" s="200"/>
      <c r="AH103" s="200"/>
      <c r="AI103" s="200"/>
      <c r="AJ103" s="200"/>
      <c r="AK103" s="236"/>
    </row>
    <row r="104" spans="2:37" x14ac:dyDescent="0.3">
      <c r="B104" s="63" t="s">
        <v>197</v>
      </c>
      <c r="C104" s="59">
        <v>6</v>
      </c>
      <c r="D104" s="59">
        <f t="shared" si="124"/>
        <v>72</v>
      </c>
      <c r="E104" s="99">
        <v>78</v>
      </c>
      <c r="F104" s="59">
        <v>0</v>
      </c>
      <c r="G104" s="59">
        <f>AC104-F104</f>
        <v>10</v>
      </c>
      <c r="H104" s="59">
        <v>8</v>
      </c>
      <c r="I104" s="59">
        <f>AD104-H104</f>
        <v>44</v>
      </c>
      <c r="J104" s="203">
        <v>14</v>
      </c>
      <c r="K104" s="59">
        <f>AE104-J104</f>
        <v>481</v>
      </c>
      <c r="L104" s="203">
        <v>0</v>
      </c>
      <c r="M104" s="203"/>
      <c r="N104" s="203"/>
      <c r="O104" s="203"/>
      <c r="P104" s="203"/>
      <c r="Q104" s="203"/>
      <c r="R104" s="203"/>
      <c r="S104" s="203"/>
      <c r="T104" s="203"/>
      <c r="U104" s="203"/>
      <c r="V104" s="203"/>
      <c r="W104" s="203"/>
      <c r="AA104" s="194"/>
      <c r="AC104" s="99">
        <v>10</v>
      </c>
      <c r="AD104" s="99">
        <v>52</v>
      </c>
      <c r="AE104" s="99">
        <v>495</v>
      </c>
      <c r="AF104" s="200">
        <f>L104+M104</f>
        <v>0</v>
      </c>
      <c r="AG104" s="200"/>
      <c r="AH104" s="200"/>
      <c r="AI104" s="200"/>
      <c r="AJ104" s="200"/>
      <c r="AK104" s="236"/>
    </row>
    <row r="105" spans="2:37" x14ac:dyDescent="0.3">
      <c r="B105" s="63" t="s">
        <v>198</v>
      </c>
      <c r="C105" s="59">
        <v>-3</v>
      </c>
      <c r="D105" s="59">
        <f t="shared" si="124"/>
        <v>7</v>
      </c>
      <c r="E105" s="99">
        <v>4</v>
      </c>
      <c r="F105" s="59">
        <v>-3</v>
      </c>
      <c r="G105" s="59">
        <f>AC105-F105</f>
        <v>5</v>
      </c>
      <c r="H105" s="59">
        <v>-4</v>
      </c>
      <c r="I105" s="59">
        <f>AD105-H105</f>
        <v>-3</v>
      </c>
      <c r="J105" s="203">
        <v>3</v>
      </c>
      <c r="K105" s="59">
        <f>AE105-J105</f>
        <v>2</v>
      </c>
      <c r="L105" s="203">
        <v>2</v>
      </c>
      <c r="M105" s="203"/>
      <c r="N105" s="203"/>
      <c r="O105" s="203"/>
      <c r="P105" s="203"/>
      <c r="Q105" s="203"/>
      <c r="R105" s="203"/>
      <c r="S105" s="203"/>
      <c r="T105" s="203"/>
      <c r="U105" s="203"/>
      <c r="V105" s="203"/>
      <c r="W105" s="203"/>
      <c r="AA105" s="194"/>
      <c r="AC105" s="99">
        <v>2</v>
      </c>
      <c r="AD105" s="99">
        <v>-7</v>
      </c>
      <c r="AE105" s="99">
        <v>5</v>
      </c>
      <c r="AF105" s="200">
        <f>L105+M105</f>
        <v>2</v>
      </c>
      <c r="AG105" s="200"/>
      <c r="AH105" s="200"/>
      <c r="AI105" s="200"/>
      <c r="AJ105" s="200"/>
      <c r="AK105" s="236"/>
    </row>
    <row r="106" spans="2:37" x14ac:dyDescent="0.3">
      <c r="B106" s="63" t="s">
        <v>199</v>
      </c>
      <c r="C106" s="59">
        <v>-2</v>
      </c>
      <c r="D106" s="59">
        <f t="shared" si="124"/>
        <v>-2</v>
      </c>
      <c r="E106" s="99">
        <v>-4</v>
      </c>
      <c r="F106" s="59">
        <v>0</v>
      </c>
      <c r="G106" s="59">
        <f>AC106-F106</f>
        <v>-4</v>
      </c>
      <c r="H106" s="59">
        <v>-70</v>
      </c>
      <c r="I106" s="59">
        <f>AD106-H106</f>
        <v>-10</v>
      </c>
      <c r="J106" s="203">
        <v>0</v>
      </c>
      <c r="K106" s="59">
        <f>AE106-J106</f>
        <v>-5</v>
      </c>
      <c r="L106" s="203">
        <v>0</v>
      </c>
      <c r="M106" s="203"/>
      <c r="N106" s="203"/>
      <c r="O106" s="203"/>
      <c r="P106" s="203"/>
      <c r="Q106" s="203"/>
      <c r="R106" s="203"/>
      <c r="S106" s="203"/>
      <c r="T106" s="203"/>
      <c r="U106" s="203"/>
      <c r="V106" s="203"/>
      <c r="W106" s="203"/>
      <c r="AA106" s="194"/>
      <c r="AC106" s="99">
        <v>-4</v>
      </c>
      <c r="AD106" s="99">
        <v>-80</v>
      </c>
      <c r="AE106" s="99">
        <v>-5</v>
      </c>
      <c r="AF106" s="200">
        <f>L106+M106</f>
        <v>0</v>
      </c>
      <c r="AG106" s="200"/>
      <c r="AH106" s="200"/>
      <c r="AI106" s="200"/>
      <c r="AJ106" s="200"/>
      <c r="AK106" s="236"/>
    </row>
    <row r="107" spans="2:37" x14ac:dyDescent="0.3">
      <c r="B107" s="63" t="s">
        <v>95</v>
      </c>
      <c r="C107" s="59">
        <v>2</v>
      </c>
      <c r="D107" s="59">
        <f t="shared" si="124"/>
        <v>-18</v>
      </c>
      <c r="E107" s="99">
        <v>-16</v>
      </c>
      <c r="F107" s="59">
        <v>-3</v>
      </c>
      <c r="G107" s="59">
        <f>AC107-F107</f>
        <v>-2</v>
      </c>
      <c r="H107" s="59">
        <v>-74</v>
      </c>
      <c r="I107" s="59">
        <f>AD107-H107</f>
        <v>0</v>
      </c>
      <c r="J107" s="203">
        <v>-213</v>
      </c>
      <c r="K107" s="59">
        <f>AE107-J107</f>
        <v>-79</v>
      </c>
      <c r="L107" s="203">
        <v>-7</v>
      </c>
      <c r="M107" s="203"/>
      <c r="N107" s="203"/>
      <c r="O107" s="203"/>
      <c r="P107" s="203"/>
      <c r="Q107" s="203"/>
      <c r="R107" s="203"/>
      <c r="S107" s="203"/>
      <c r="T107" s="203"/>
      <c r="U107" s="203"/>
      <c r="V107" s="203"/>
      <c r="W107" s="203"/>
      <c r="AA107" s="194"/>
      <c r="AC107" s="99">
        <v>-5</v>
      </c>
      <c r="AD107" s="99">
        <v>-74</v>
      </c>
      <c r="AE107" s="99">
        <v>-292</v>
      </c>
      <c r="AF107" s="200">
        <f>L107+M107</f>
        <v>-7</v>
      </c>
      <c r="AG107" s="200"/>
      <c r="AH107" s="200"/>
      <c r="AI107" s="200"/>
      <c r="AJ107" s="200"/>
      <c r="AK107" s="236"/>
    </row>
    <row r="108" spans="2:37" x14ac:dyDescent="0.3">
      <c r="B108" s="63" t="s">
        <v>94</v>
      </c>
      <c r="C108" s="59">
        <v>15</v>
      </c>
      <c r="D108" s="59">
        <f t="shared" si="124"/>
        <v>13</v>
      </c>
      <c r="E108" s="99">
        <v>28</v>
      </c>
      <c r="F108" s="59">
        <v>17</v>
      </c>
      <c r="G108" s="59">
        <f>AC108-F108</f>
        <v>23</v>
      </c>
      <c r="H108" s="59">
        <v>21</v>
      </c>
      <c r="I108" s="59">
        <f>AD108-H108</f>
        <v>23</v>
      </c>
      <c r="J108" s="203">
        <v>26</v>
      </c>
      <c r="K108" s="59">
        <f>AE108-J108</f>
        <v>19</v>
      </c>
      <c r="L108" s="203">
        <v>22</v>
      </c>
      <c r="M108" s="203"/>
      <c r="N108" s="203"/>
      <c r="O108" s="203"/>
      <c r="P108" s="203"/>
      <c r="Q108" s="203"/>
      <c r="R108" s="203"/>
      <c r="S108" s="203"/>
      <c r="T108" s="203"/>
      <c r="U108" s="203"/>
      <c r="V108" s="203"/>
      <c r="W108" s="203"/>
      <c r="AA108" s="194"/>
      <c r="AC108" s="99">
        <v>40</v>
      </c>
      <c r="AD108" s="99">
        <v>44</v>
      </c>
      <c r="AE108" s="99">
        <v>45</v>
      </c>
      <c r="AF108" s="200">
        <f>L108+M108</f>
        <v>22</v>
      </c>
      <c r="AG108" s="200"/>
      <c r="AH108" s="200"/>
      <c r="AI108" s="200"/>
      <c r="AJ108" s="200"/>
      <c r="AK108" s="236"/>
    </row>
    <row r="109" spans="2:37" x14ac:dyDescent="0.3">
      <c r="B109" s="64" t="s">
        <v>200</v>
      </c>
      <c r="C109" s="28">
        <f>SUM(C96:C108)-1</f>
        <v>1699</v>
      </c>
      <c r="D109" s="28">
        <f>SUM(D96:D108)+1</f>
        <v>1038</v>
      </c>
      <c r="E109" s="237">
        <f>SUM(E96:E108)+1</f>
        <v>2738</v>
      </c>
      <c r="F109" s="28">
        <f>SUM(F96:F108)-1</f>
        <v>2173</v>
      </c>
      <c r="G109" s="28">
        <f>SUM(G96:G108)-1</f>
        <v>1218</v>
      </c>
      <c r="H109" s="28">
        <f t="shared" ref="H109:K109" si="126">SUM(H96:H108)</f>
        <v>2544</v>
      </c>
      <c r="I109" s="28">
        <f t="shared" si="126"/>
        <v>999</v>
      </c>
      <c r="J109" s="204">
        <f t="shared" si="126"/>
        <v>2290</v>
      </c>
      <c r="K109" s="28">
        <f t="shared" si="126"/>
        <v>1088</v>
      </c>
      <c r="L109" s="204">
        <f>SUM(L96:L108)-2</f>
        <v>2094</v>
      </c>
      <c r="M109" s="204">
        <f t="shared" ref="M109:W109" si="127">SUM(M96:M108)</f>
        <v>836.72343000000023</v>
      </c>
      <c r="N109" s="204">
        <f t="shared" si="127"/>
        <v>1359.4925535600003</v>
      </c>
      <c r="O109" s="204">
        <f t="shared" si="127"/>
        <v>1084.9839347963998</v>
      </c>
      <c r="P109" s="204">
        <f t="shared" si="127"/>
        <v>1247.8293659788162</v>
      </c>
      <c r="Q109" s="204">
        <f t="shared" si="127"/>
        <v>1144.5440869535871</v>
      </c>
      <c r="R109" s="204">
        <f t="shared" si="127"/>
        <v>1218.5932041266162</v>
      </c>
      <c r="S109" s="204">
        <f t="shared" si="127"/>
        <v>1298.7541229490448</v>
      </c>
      <c r="T109" s="204">
        <f t="shared" si="127"/>
        <v>1088.1858637073115</v>
      </c>
      <c r="U109" s="204">
        <f t="shared" si="127"/>
        <v>1369.7907425852588</v>
      </c>
      <c r="V109" s="204">
        <f t="shared" si="127"/>
        <v>930.15029755648698</v>
      </c>
      <c r="W109" s="204">
        <f t="shared" si="127"/>
        <v>1420.0271369119268</v>
      </c>
      <c r="Z109" s="195"/>
      <c r="AA109" s="194"/>
      <c r="AC109" s="237">
        <f>SUM(AC96:AC108)-1</f>
        <v>3392</v>
      </c>
      <c r="AD109" s="237">
        <f>SUM(AD96:AD108)</f>
        <v>3543</v>
      </c>
      <c r="AE109" s="237">
        <f>SUM(AE96:AE108)</f>
        <v>3378</v>
      </c>
      <c r="AF109" s="199">
        <f>SUM(AF96:AF108)-2</f>
        <v>2930.72343</v>
      </c>
      <c r="AG109" s="199">
        <f>SUM(AG96:AG108)</f>
        <v>2446.4764883564003</v>
      </c>
      <c r="AH109" s="199">
        <f>SUM(AH96:AH108)</f>
        <v>2394.3734529324029</v>
      </c>
      <c r="AI109" s="199">
        <f>SUM(AI96:AI108)</f>
        <v>2519.3473270756604</v>
      </c>
      <c r="AJ109" s="199">
        <f>SUM(AJ96:AJ108)</f>
        <v>2459.9766062925701</v>
      </c>
      <c r="AK109" s="238">
        <f>SUM(AK96:AK108)</f>
        <v>2352.1774344684131</v>
      </c>
    </row>
    <row r="110" spans="2:37" x14ac:dyDescent="0.3">
      <c r="B110" s="63" t="s">
        <v>96</v>
      </c>
      <c r="C110" s="59"/>
      <c r="D110" s="59">
        <f t="shared" ref="D110:D114" si="128">E110-C110</f>
        <v>-305</v>
      </c>
      <c r="E110" s="99">
        <v>-305</v>
      </c>
      <c r="F110" s="59">
        <v>-27</v>
      </c>
      <c r="G110" s="59">
        <f>AC110-F110</f>
        <v>-605</v>
      </c>
      <c r="H110" s="59">
        <v>-261</v>
      </c>
      <c r="I110" s="59">
        <f>AD110-H110</f>
        <v>-487</v>
      </c>
      <c r="J110" s="203">
        <v>-209</v>
      </c>
      <c r="K110" s="59">
        <f>AE110-J110</f>
        <v>-294</v>
      </c>
      <c r="L110" s="203">
        <v>-69</v>
      </c>
      <c r="M110" s="203">
        <f t="shared" ref="M110:W110" si="129">L54-M54</f>
        <v>168</v>
      </c>
      <c r="N110" s="203">
        <f>AF54-N54</f>
        <v>0</v>
      </c>
      <c r="O110" s="203">
        <f t="shared" si="129"/>
        <v>0</v>
      </c>
      <c r="P110" s="203">
        <f>AG54-P54</f>
        <v>0</v>
      </c>
      <c r="Q110" s="203">
        <f t="shared" si="129"/>
        <v>0</v>
      </c>
      <c r="R110" s="203">
        <f>AH54-R54</f>
        <v>0</v>
      </c>
      <c r="S110" s="203">
        <f t="shared" si="129"/>
        <v>0</v>
      </c>
      <c r="T110" s="203">
        <f>AI54-T54</f>
        <v>0</v>
      </c>
      <c r="U110" s="203">
        <f t="shared" si="129"/>
        <v>0</v>
      </c>
      <c r="V110" s="203">
        <f>AJ54-V54</f>
        <v>0</v>
      </c>
      <c r="W110" s="203">
        <f t="shared" si="129"/>
        <v>0</v>
      </c>
      <c r="AA110" s="194"/>
      <c r="AC110" s="99">
        <v>-632</v>
      </c>
      <c r="AD110" s="99">
        <v>-748</v>
      </c>
      <c r="AE110" s="99">
        <v>-503</v>
      </c>
      <c r="AF110" s="200">
        <f>L110+M110</f>
        <v>99</v>
      </c>
      <c r="AG110" s="200">
        <f>N54-AG54</f>
        <v>0</v>
      </c>
      <c r="AH110" s="200">
        <f>Q54-AH54</f>
        <v>0</v>
      </c>
      <c r="AI110" s="200">
        <f>S54-AI54</f>
        <v>0</v>
      </c>
      <c r="AJ110" s="200">
        <f>U54-AJ54</f>
        <v>0</v>
      </c>
      <c r="AK110" s="236">
        <f>W54-AK54</f>
        <v>0</v>
      </c>
    </row>
    <row r="111" spans="2:37" x14ac:dyDescent="0.3">
      <c r="B111" s="63" t="s">
        <v>201</v>
      </c>
      <c r="C111" s="59">
        <v>-923</v>
      </c>
      <c r="D111" s="59">
        <f t="shared" si="128"/>
        <v>692</v>
      </c>
      <c r="E111" s="99">
        <v>-231</v>
      </c>
      <c r="F111" s="59">
        <v>-1047</v>
      </c>
      <c r="G111" s="59">
        <f>AC111-F111</f>
        <v>862</v>
      </c>
      <c r="H111" s="59">
        <v>-1140</v>
      </c>
      <c r="I111" s="59">
        <f>AD111-H111</f>
        <v>641</v>
      </c>
      <c r="J111" s="203">
        <v>-689</v>
      </c>
      <c r="K111" s="59">
        <f>AE111-J111</f>
        <v>892</v>
      </c>
      <c r="L111" s="203">
        <v>-633</v>
      </c>
      <c r="M111" s="203">
        <f t="shared" ref="M111:W111" si="130">L55-M55</f>
        <v>622</v>
      </c>
      <c r="N111" s="203">
        <f>AF55-N55</f>
        <v>0</v>
      </c>
      <c r="O111" s="203">
        <f t="shared" si="130"/>
        <v>0</v>
      </c>
      <c r="P111" s="203">
        <f>AG55-P55</f>
        <v>0</v>
      </c>
      <c r="Q111" s="203">
        <f t="shared" si="130"/>
        <v>0</v>
      </c>
      <c r="R111" s="203">
        <f>AH55-R55</f>
        <v>0</v>
      </c>
      <c r="S111" s="203">
        <f t="shared" si="130"/>
        <v>0</v>
      </c>
      <c r="T111" s="203">
        <f>AI55-T55</f>
        <v>0</v>
      </c>
      <c r="U111" s="203">
        <f t="shared" si="130"/>
        <v>0</v>
      </c>
      <c r="V111" s="203">
        <f>AJ55-V55</f>
        <v>0</v>
      </c>
      <c r="W111" s="203">
        <f t="shared" si="130"/>
        <v>0</v>
      </c>
      <c r="AA111" s="194"/>
      <c r="AC111" s="99">
        <v>-185</v>
      </c>
      <c r="AD111" s="99">
        <v>-499</v>
      </c>
      <c r="AE111" s="99">
        <v>203</v>
      </c>
      <c r="AF111" s="200">
        <f>L111+M111</f>
        <v>-11</v>
      </c>
      <c r="AG111" s="200">
        <f>N55-AG55</f>
        <v>0</v>
      </c>
      <c r="AH111" s="200">
        <f>Q55-AH55</f>
        <v>0</v>
      </c>
      <c r="AI111" s="200">
        <f>S55-AI55</f>
        <v>0</v>
      </c>
      <c r="AJ111" s="200">
        <f>U55-AJ55</f>
        <v>0</v>
      </c>
      <c r="AK111" s="236">
        <f>W55-AK55</f>
        <v>0</v>
      </c>
    </row>
    <row r="112" spans="2:37" x14ac:dyDescent="0.3">
      <c r="B112" s="63" t="s">
        <v>97</v>
      </c>
      <c r="C112" s="59">
        <v>519</v>
      </c>
      <c r="D112" s="59">
        <f t="shared" si="128"/>
        <v>-19</v>
      </c>
      <c r="E112" s="99">
        <v>500</v>
      </c>
      <c r="F112" s="59">
        <v>511</v>
      </c>
      <c r="G112" s="59">
        <f>AC112-F112</f>
        <v>39</v>
      </c>
      <c r="H112" s="59">
        <v>308</v>
      </c>
      <c r="I112" s="59">
        <f>AD112-H112</f>
        <v>303</v>
      </c>
      <c r="J112" s="203">
        <v>-368</v>
      </c>
      <c r="K112" s="59">
        <f>AE112-J112</f>
        <v>-156</v>
      </c>
      <c r="L112" s="203">
        <v>-214</v>
      </c>
      <c r="M112" s="203">
        <f t="shared" ref="M112:W112" si="131">M82-L82</f>
        <v>203</v>
      </c>
      <c r="N112" s="203">
        <f>N82-AF82</f>
        <v>0</v>
      </c>
      <c r="O112" s="203">
        <f t="shared" si="131"/>
        <v>0</v>
      </c>
      <c r="P112" s="203">
        <f>P82-AG82</f>
        <v>0</v>
      </c>
      <c r="Q112" s="203">
        <f t="shared" si="131"/>
        <v>0</v>
      </c>
      <c r="R112" s="203">
        <f>R82-AH82</f>
        <v>0</v>
      </c>
      <c r="S112" s="203">
        <f t="shared" si="131"/>
        <v>0</v>
      </c>
      <c r="T112" s="203">
        <f>T82-AI82</f>
        <v>0</v>
      </c>
      <c r="U112" s="203">
        <f t="shared" si="131"/>
        <v>0</v>
      </c>
      <c r="V112" s="203">
        <f>V82-AJ82</f>
        <v>0</v>
      </c>
      <c r="W112" s="203">
        <f t="shared" si="131"/>
        <v>0</v>
      </c>
      <c r="AA112" s="194"/>
      <c r="AC112" s="99">
        <v>550</v>
      </c>
      <c r="AD112" s="99">
        <v>611</v>
      </c>
      <c r="AE112" s="99">
        <v>-524</v>
      </c>
      <c r="AF112" s="200">
        <f>L112+M112</f>
        <v>-11</v>
      </c>
      <c r="AG112" s="200">
        <f>AG82-N82</f>
        <v>0</v>
      </c>
      <c r="AH112" s="200">
        <f>AH82-Q82</f>
        <v>0</v>
      </c>
      <c r="AI112" s="200">
        <f>AI82-S82</f>
        <v>0</v>
      </c>
      <c r="AJ112" s="200">
        <f>AJ82-U82</f>
        <v>0</v>
      </c>
      <c r="AK112" s="236">
        <f>AK82-W82</f>
        <v>0</v>
      </c>
    </row>
    <row r="113" spans="2:37" x14ac:dyDescent="0.3">
      <c r="B113" s="63" t="s">
        <v>98</v>
      </c>
      <c r="C113" s="59">
        <f>39+1</f>
        <v>40</v>
      </c>
      <c r="D113" s="59">
        <f t="shared" si="128"/>
        <v>-58</v>
      </c>
      <c r="E113" s="99">
        <v>-18</v>
      </c>
      <c r="F113" s="59">
        <v>181</v>
      </c>
      <c r="G113" s="59">
        <f>AC113-F113</f>
        <v>-166</v>
      </c>
      <c r="H113" s="59">
        <f>68+1</f>
        <v>69</v>
      </c>
      <c r="I113" s="59">
        <f>AD113-H113</f>
        <v>-1</v>
      </c>
      <c r="J113" s="203">
        <f>96+1</f>
        <v>97</v>
      </c>
      <c r="K113" s="59">
        <f>AE113-J113</f>
        <v>-40</v>
      </c>
      <c r="L113" s="203">
        <v>80</v>
      </c>
      <c r="M113" s="203"/>
      <c r="N113" s="203"/>
      <c r="O113" s="203"/>
      <c r="P113" s="203"/>
      <c r="Q113" s="203"/>
      <c r="R113" s="203"/>
      <c r="S113" s="203"/>
      <c r="T113" s="203"/>
      <c r="U113" s="203"/>
      <c r="V113" s="203"/>
      <c r="W113" s="203"/>
      <c r="AA113" s="194"/>
      <c r="AC113" s="99">
        <f>AC114-(SUM(AC110:AC112))</f>
        <v>15</v>
      </c>
      <c r="AD113" s="99">
        <f>AD114-(SUM(AD110:AD112))</f>
        <v>68</v>
      </c>
      <c r="AE113" s="99">
        <v>57</v>
      </c>
      <c r="AF113" s="200">
        <f>L113+M113</f>
        <v>80</v>
      </c>
      <c r="AG113" s="200"/>
      <c r="AH113" s="200"/>
      <c r="AI113" s="200"/>
      <c r="AJ113" s="200"/>
      <c r="AK113" s="236"/>
    </row>
    <row r="114" spans="2:37" x14ac:dyDescent="0.3">
      <c r="B114" s="64" t="s">
        <v>112</v>
      </c>
      <c r="C114" s="28">
        <v>-364</v>
      </c>
      <c r="D114" s="28">
        <f t="shared" si="128"/>
        <v>310</v>
      </c>
      <c r="E114" s="237">
        <v>-54</v>
      </c>
      <c r="F114" s="28">
        <v>-382</v>
      </c>
      <c r="G114" s="28">
        <f>AC114-F114</f>
        <v>130</v>
      </c>
      <c r="H114" s="28">
        <v>-1024</v>
      </c>
      <c r="I114" s="28">
        <f>AD114-H114</f>
        <v>456</v>
      </c>
      <c r="J114" s="204">
        <v>-1169</v>
      </c>
      <c r="K114" s="28">
        <f>AE114-J114</f>
        <v>401</v>
      </c>
      <c r="L114" s="204">
        <f>L110+L111+L112+L113</f>
        <v>-836</v>
      </c>
      <c r="M114" s="204">
        <f t="shared" ref="M114:W114" si="132">M110+M111+M112+M113</f>
        <v>993</v>
      </c>
      <c r="N114" s="204">
        <f t="shared" si="132"/>
        <v>0</v>
      </c>
      <c r="O114" s="204">
        <f t="shared" si="132"/>
        <v>0</v>
      </c>
      <c r="P114" s="204">
        <f t="shared" si="132"/>
        <v>0</v>
      </c>
      <c r="Q114" s="204">
        <f t="shared" si="132"/>
        <v>0</v>
      </c>
      <c r="R114" s="204">
        <f t="shared" si="132"/>
        <v>0</v>
      </c>
      <c r="S114" s="204">
        <f t="shared" si="132"/>
        <v>0</v>
      </c>
      <c r="T114" s="204">
        <f t="shared" si="132"/>
        <v>0</v>
      </c>
      <c r="U114" s="204">
        <f t="shared" si="132"/>
        <v>0</v>
      </c>
      <c r="V114" s="204">
        <f t="shared" si="132"/>
        <v>0</v>
      </c>
      <c r="W114" s="204">
        <f t="shared" si="132"/>
        <v>0</v>
      </c>
      <c r="AA114" s="194"/>
      <c r="AC114" s="237">
        <v>-252</v>
      </c>
      <c r="AD114" s="237">
        <v>-568</v>
      </c>
      <c r="AE114" s="237">
        <f>AE110+AE111+AE112+AE113-1</f>
        <v>-768</v>
      </c>
      <c r="AF114" s="199">
        <f>AF110+AF111+AF112+AF113</f>
        <v>157</v>
      </c>
      <c r="AG114" s="199">
        <f>AG110+AG111+AG112+AG113</f>
        <v>0</v>
      </c>
      <c r="AH114" s="199">
        <f>AH110+AH111+AH112+AH113</f>
        <v>0</v>
      </c>
      <c r="AI114" s="199">
        <f>AI110+AI111+AI112+AI113</f>
        <v>0</v>
      </c>
      <c r="AJ114" s="199">
        <f>AJ110+AJ111+AJ112+AJ113</f>
        <v>0</v>
      </c>
      <c r="AK114" s="238">
        <f>AK110+AK111+AK112+AK113</f>
        <v>0</v>
      </c>
    </row>
    <row r="115" spans="2:37" x14ac:dyDescent="0.3">
      <c r="B115" s="64" t="s">
        <v>99</v>
      </c>
      <c r="C115" s="28">
        <f>C109+C114</f>
        <v>1335</v>
      </c>
      <c r="D115" s="28">
        <f t="shared" ref="D115:I115" si="133">D109+D114</f>
        <v>1348</v>
      </c>
      <c r="E115" s="237">
        <f t="shared" si="133"/>
        <v>2684</v>
      </c>
      <c r="F115" s="28">
        <f t="shared" si="133"/>
        <v>1791</v>
      </c>
      <c r="G115" s="28">
        <f t="shared" si="133"/>
        <v>1348</v>
      </c>
      <c r="H115" s="28">
        <f t="shared" si="133"/>
        <v>1520</v>
      </c>
      <c r="I115" s="28">
        <f t="shared" si="133"/>
        <v>1455</v>
      </c>
      <c r="J115" s="204">
        <f>J109+J114</f>
        <v>1121</v>
      </c>
      <c r="K115" s="28">
        <f t="shared" ref="K115" si="134">K109+K114</f>
        <v>1489</v>
      </c>
      <c r="L115" s="204">
        <f>L109+L114</f>
        <v>1258</v>
      </c>
      <c r="M115" s="204">
        <f t="shared" ref="M115:W115" si="135">M109+M114</f>
        <v>1829.7234300000002</v>
      </c>
      <c r="N115" s="204">
        <f t="shared" si="135"/>
        <v>1359.4925535600003</v>
      </c>
      <c r="O115" s="204">
        <f t="shared" si="135"/>
        <v>1084.9839347963998</v>
      </c>
      <c r="P115" s="204">
        <f t="shared" si="135"/>
        <v>1247.8293659788162</v>
      </c>
      <c r="Q115" s="204">
        <f t="shared" si="135"/>
        <v>1144.5440869535871</v>
      </c>
      <c r="R115" s="204">
        <f t="shared" si="135"/>
        <v>1218.5932041266162</v>
      </c>
      <c r="S115" s="204">
        <f t="shared" si="135"/>
        <v>1298.7541229490448</v>
      </c>
      <c r="T115" s="204">
        <f t="shared" si="135"/>
        <v>1088.1858637073115</v>
      </c>
      <c r="U115" s="204">
        <f t="shared" si="135"/>
        <v>1369.7907425852588</v>
      </c>
      <c r="V115" s="204">
        <f t="shared" si="135"/>
        <v>930.15029755648698</v>
      </c>
      <c r="W115" s="204">
        <f t="shared" si="135"/>
        <v>1420.0271369119268</v>
      </c>
      <c r="AA115" s="194"/>
      <c r="AC115" s="237">
        <f>AC109+AC114</f>
        <v>3140</v>
      </c>
      <c r="AD115" s="237">
        <f>AD109+AD114</f>
        <v>2975</v>
      </c>
      <c r="AE115" s="237">
        <f>AE109+AE114</f>
        <v>2610</v>
      </c>
      <c r="AF115" s="199">
        <f>AF109+AF114</f>
        <v>3087.72343</v>
      </c>
      <c r="AG115" s="199">
        <f>AG109+AG114</f>
        <v>2446.4764883564003</v>
      </c>
      <c r="AH115" s="199">
        <f>AH109+AH114</f>
        <v>2394.3734529324029</v>
      </c>
      <c r="AI115" s="199">
        <f>AI109+AI114</f>
        <v>2519.3473270756604</v>
      </c>
      <c r="AJ115" s="199">
        <f>AJ109+AJ114</f>
        <v>2459.9766062925701</v>
      </c>
      <c r="AK115" s="238">
        <f>AK109+AK114</f>
        <v>2352.1774344684131</v>
      </c>
    </row>
    <row r="116" spans="2:37" x14ac:dyDescent="0.3">
      <c r="B116" s="63" t="s">
        <v>202</v>
      </c>
      <c r="C116" s="59">
        <v>-222</v>
      </c>
      <c r="D116" s="59">
        <f>E116-C116</f>
        <v>-128</v>
      </c>
      <c r="E116" s="99">
        <v>-350</v>
      </c>
      <c r="F116" s="59">
        <v>-141</v>
      </c>
      <c r="G116" s="59">
        <f>AC116-F116</f>
        <v>-134</v>
      </c>
      <c r="H116" s="59">
        <v>-154</v>
      </c>
      <c r="I116" s="59">
        <f>AD116-H116</f>
        <v>-138</v>
      </c>
      <c r="J116" s="203">
        <v>-194</v>
      </c>
      <c r="K116" s="59">
        <f>AE116-J116</f>
        <v>-161</v>
      </c>
      <c r="L116" s="203">
        <v>-296</v>
      </c>
      <c r="M116" s="203"/>
      <c r="N116" s="203"/>
      <c r="O116" s="203"/>
      <c r="P116" s="203"/>
      <c r="Q116" s="203"/>
      <c r="R116" s="203"/>
      <c r="S116" s="203"/>
      <c r="T116" s="203"/>
      <c r="U116" s="203"/>
      <c r="V116" s="203"/>
      <c r="W116" s="203"/>
      <c r="AA116" s="194"/>
      <c r="AC116" s="99">
        <v>-275</v>
      </c>
      <c r="AD116" s="99">
        <v>-292</v>
      </c>
      <c r="AE116" s="99">
        <v>-355</v>
      </c>
      <c r="AF116" s="200">
        <f>L116+M116</f>
        <v>-296</v>
      </c>
      <c r="AG116" s="200"/>
      <c r="AH116" s="200"/>
      <c r="AI116" s="200"/>
      <c r="AJ116" s="200"/>
      <c r="AK116" s="236"/>
    </row>
    <row r="117" spans="2:37" x14ac:dyDescent="0.3">
      <c r="B117" s="63" t="s">
        <v>203</v>
      </c>
      <c r="C117" s="59">
        <v>10</v>
      </c>
      <c r="D117" s="59">
        <f t="shared" ref="D117" si="136">E117-C117</f>
        <v>25</v>
      </c>
      <c r="E117" s="99">
        <v>35</v>
      </c>
      <c r="F117" s="59">
        <v>20</v>
      </c>
      <c r="G117" s="59">
        <f>AC117-F117</f>
        <v>28</v>
      </c>
      <c r="H117" s="59">
        <v>23</v>
      </c>
      <c r="I117" s="59">
        <f>AD117-H117</f>
        <v>-19</v>
      </c>
      <c r="J117" s="203">
        <v>18</v>
      </c>
      <c r="K117" s="59">
        <f>AE117-J117</f>
        <v>1</v>
      </c>
      <c r="L117" s="203">
        <v>38</v>
      </c>
      <c r="M117" s="203"/>
      <c r="N117" s="203"/>
      <c r="O117" s="203"/>
      <c r="P117" s="203"/>
      <c r="Q117" s="203"/>
      <c r="R117" s="203"/>
      <c r="S117" s="203"/>
      <c r="T117" s="203"/>
      <c r="U117" s="203"/>
      <c r="V117" s="203"/>
      <c r="W117" s="203"/>
      <c r="AA117" s="194"/>
      <c r="AC117" s="99">
        <v>48</v>
      </c>
      <c r="AD117" s="99">
        <v>4</v>
      </c>
      <c r="AE117" s="99">
        <v>19</v>
      </c>
      <c r="AF117" s="200">
        <f>L117+M117</f>
        <v>38</v>
      </c>
      <c r="AG117" s="200"/>
      <c r="AH117" s="200"/>
      <c r="AI117" s="200"/>
      <c r="AJ117" s="200"/>
      <c r="AK117" s="236"/>
    </row>
    <row r="118" spans="2:37" x14ac:dyDescent="0.3">
      <c r="B118" s="63" t="s">
        <v>204</v>
      </c>
      <c r="C118" s="59">
        <v>-135</v>
      </c>
      <c r="D118" s="59">
        <f>E118-C118</f>
        <v>-236</v>
      </c>
      <c r="E118" s="99">
        <v>-371</v>
      </c>
      <c r="F118" s="59">
        <v>-191</v>
      </c>
      <c r="G118" s="59">
        <f>AC118-F118</f>
        <v>-428</v>
      </c>
      <c r="H118" s="59">
        <v>-265</v>
      </c>
      <c r="I118" s="59">
        <f>AD118-H118</f>
        <v>-389</v>
      </c>
      <c r="J118" s="203">
        <v>-254</v>
      </c>
      <c r="K118" s="59">
        <f>AE118-J118</f>
        <v>-293</v>
      </c>
      <c r="L118" s="203">
        <v>-195</v>
      </c>
      <c r="M118" s="203"/>
      <c r="N118" s="203"/>
      <c r="O118" s="203"/>
      <c r="P118" s="203"/>
      <c r="Q118" s="203"/>
      <c r="R118" s="203"/>
      <c r="S118" s="203"/>
      <c r="T118" s="203"/>
      <c r="U118" s="203"/>
      <c r="V118" s="203"/>
      <c r="W118" s="203"/>
      <c r="AA118" s="194"/>
      <c r="AC118" s="99">
        <v>-619</v>
      </c>
      <c r="AD118" s="99">
        <v>-654</v>
      </c>
      <c r="AE118" s="99">
        <v>-547</v>
      </c>
      <c r="AF118" s="200">
        <f>L118+M118</f>
        <v>-195</v>
      </c>
      <c r="AG118" s="200"/>
      <c r="AH118" s="200"/>
      <c r="AI118" s="200"/>
      <c r="AJ118" s="200"/>
      <c r="AK118" s="236"/>
    </row>
    <row r="119" spans="2:37" x14ac:dyDescent="0.3">
      <c r="B119" s="64" t="s">
        <v>100</v>
      </c>
      <c r="C119" s="28">
        <f t="shared" ref="C119:G119" si="137">SUM(C116:C118)</f>
        <v>-347</v>
      </c>
      <c r="D119" s="28">
        <f t="shared" si="137"/>
        <v>-339</v>
      </c>
      <c r="E119" s="237">
        <f t="shared" si="137"/>
        <v>-686</v>
      </c>
      <c r="F119" s="28">
        <f t="shared" si="137"/>
        <v>-312</v>
      </c>
      <c r="G119" s="28">
        <f t="shared" si="137"/>
        <v>-534</v>
      </c>
      <c r="H119" s="28">
        <f t="shared" ref="H119:J119" si="138">SUM(H116:H118)</f>
        <v>-396</v>
      </c>
      <c r="I119" s="28">
        <f t="shared" si="138"/>
        <v>-546</v>
      </c>
      <c r="J119" s="204">
        <f t="shared" si="138"/>
        <v>-430</v>
      </c>
      <c r="K119" s="28">
        <f t="shared" ref="K119:L119" si="139">SUM(K116:K118)</f>
        <v>-453</v>
      </c>
      <c r="L119" s="204">
        <f t="shared" si="139"/>
        <v>-453</v>
      </c>
      <c r="M119" s="204">
        <f t="shared" ref="M119:W119" si="140">SUM(M116:M118)</f>
        <v>0</v>
      </c>
      <c r="N119" s="204">
        <f t="shared" si="140"/>
        <v>0</v>
      </c>
      <c r="O119" s="204">
        <f t="shared" si="140"/>
        <v>0</v>
      </c>
      <c r="P119" s="204">
        <f t="shared" si="140"/>
        <v>0</v>
      </c>
      <c r="Q119" s="204">
        <f t="shared" si="140"/>
        <v>0</v>
      </c>
      <c r="R119" s="204">
        <f t="shared" si="140"/>
        <v>0</v>
      </c>
      <c r="S119" s="204">
        <f t="shared" si="140"/>
        <v>0</v>
      </c>
      <c r="T119" s="204">
        <f t="shared" si="140"/>
        <v>0</v>
      </c>
      <c r="U119" s="204">
        <f t="shared" si="140"/>
        <v>0</v>
      </c>
      <c r="V119" s="204">
        <f t="shared" si="140"/>
        <v>0</v>
      </c>
      <c r="W119" s="204">
        <f t="shared" si="140"/>
        <v>0</v>
      </c>
      <c r="AA119" s="194"/>
      <c r="AC119" s="237">
        <f>SUM(AC116:AC118)</f>
        <v>-846</v>
      </c>
      <c r="AD119" s="237">
        <f>SUM(AD116:AD118)</f>
        <v>-942</v>
      </c>
      <c r="AE119" s="237">
        <f>SUM(AE116:AE118)</f>
        <v>-883</v>
      </c>
      <c r="AF119" s="199">
        <f>SUM(AF116:AF118)</f>
        <v>-453</v>
      </c>
      <c r="AG119" s="199">
        <f>SUM(AG116:AG118)</f>
        <v>0</v>
      </c>
      <c r="AH119" s="199">
        <f>SUM(AH116:AH118)</f>
        <v>0</v>
      </c>
      <c r="AI119" s="199">
        <f>SUM(AI116:AI118)</f>
        <v>0</v>
      </c>
      <c r="AJ119" s="199">
        <f>SUM(AJ116:AJ118)</f>
        <v>0</v>
      </c>
      <c r="AK119" s="238">
        <f>SUM(AK116:AK118)</f>
        <v>0</v>
      </c>
    </row>
    <row r="120" spans="2:37" x14ac:dyDescent="0.3">
      <c r="B120" s="64" t="s">
        <v>101</v>
      </c>
      <c r="C120" s="28">
        <f>C115+C119</f>
        <v>988</v>
      </c>
      <c r="D120" s="28">
        <f>D115+D119+1</f>
        <v>1010</v>
      </c>
      <c r="E120" s="237">
        <f>E115+E119+1</f>
        <v>1999</v>
      </c>
      <c r="F120" s="28">
        <f>F115+F119-1</f>
        <v>1478</v>
      </c>
      <c r="G120" s="28">
        <f t="shared" ref="G120:J120" si="141">G115+G119</f>
        <v>814</v>
      </c>
      <c r="H120" s="28">
        <f t="shared" si="141"/>
        <v>1124</v>
      </c>
      <c r="I120" s="28">
        <f t="shared" si="141"/>
        <v>909</v>
      </c>
      <c r="J120" s="204">
        <f t="shared" si="141"/>
        <v>691</v>
      </c>
      <c r="K120" s="28">
        <f t="shared" ref="K120:L120" si="142">K115+K119</f>
        <v>1036</v>
      </c>
      <c r="L120" s="204">
        <f t="shared" si="142"/>
        <v>805</v>
      </c>
      <c r="M120" s="204">
        <f t="shared" ref="M120:W120" si="143">M115+M119</f>
        <v>1829.7234300000002</v>
      </c>
      <c r="N120" s="204">
        <f t="shared" si="143"/>
        <v>1359.4925535600003</v>
      </c>
      <c r="O120" s="204">
        <f t="shared" si="143"/>
        <v>1084.9839347963998</v>
      </c>
      <c r="P120" s="204">
        <f t="shared" si="143"/>
        <v>1247.8293659788162</v>
      </c>
      <c r="Q120" s="204">
        <f t="shared" si="143"/>
        <v>1144.5440869535871</v>
      </c>
      <c r="R120" s="204">
        <f t="shared" si="143"/>
        <v>1218.5932041266162</v>
      </c>
      <c r="S120" s="204">
        <f t="shared" si="143"/>
        <v>1298.7541229490448</v>
      </c>
      <c r="T120" s="204">
        <f t="shared" si="143"/>
        <v>1088.1858637073115</v>
      </c>
      <c r="U120" s="204">
        <f t="shared" si="143"/>
        <v>1369.7907425852588</v>
      </c>
      <c r="V120" s="204">
        <f t="shared" si="143"/>
        <v>930.15029755648698</v>
      </c>
      <c r="W120" s="204">
        <f t="shared" si="143"/>
        <v>1420.0271369119268</v>
      </c>
      <c r="AA120" s="194"/>
      <c r="AC120" s="237">
        <f>AC115+AC119</f>
        <v>2294</v>
      </c>
      <c r="AD120" s="237">
        <f>AD115+AD119</f>
        <v>2033</v>
      </c>
      <c r="AE120" s="237">
        <f>AE115+AE119</f>
        <v>1727</v>
      </c>
      <c r="AF120" s="199">
        <f>AF115+AF119</f>
        <v>2634.72343</v>
      </c>
      <c r="AG120" s="199">
        <f>AG115+AG119</f>
        <v>2446.4764883564003</v>
      </c>
      <c r="AH120" s="199">
        <f>AH115+AH119</f>
        <v>2394.3734529324029</v>
      </c>
      <c r="AI120" s="199">
        <f>AI115+AI119</f>
        <v>2519.3473270756604</v>
      </c>
      <c r="AJ120" s="199">
        <f>AJ115+AJ119</f>
        <v>2459.9766062925701</v>
      </c>
      <c r="AK120" s="238">
        <f>AK115+AK119</f>
        <v>2352.1774344684131</v>
      </c>
    </row>
    <row r="121" spans="2:37" x14ac:dyDescent="0.3">
      <c r="B121" s="63"/>
      <c r="C121" s="59"/>
      <c r="D121" s="59"/>
      <c r="E121" s="99"/>
      <c r="F121" s="59"/>
      <c r="G121" s="59"/>
      <c r="H121" s="59"/>
      <c r="I121" s="59"/>
      <c r="J121" s="203"/>
      <c r="K121" s="59"/>
      <c r="L121" s="203"/>
      <c r="M121" s="203"/>
      <c r="N121" s="203"/>
      <c r="O121" s="203"/>
      <c r="P121" s="203"/>
      <c r="Q121" s="203"/>
      <c r="R121" s="203"/>
      <c r="S121" s="203"/>
      <c r="T121" s="203"/>
      <c r="U121" s="203"/>
      <c r="V121" s="203"/>
      <c r="W121" s="203"/>
      <c r="AA121" s="194"/>
      <c r="AC121" s="99"/>
      <c r="AD121" s="99"/>
      <c r="AE121" s="99"/>
      <c r="AF121" s="200"/>
      <c r="AG121" s="200"/>
      <c r="AH121" s="200"/>
      <c r="AI121" s="200"/>
      <c r="AJ121" s="200"/>
      <c r="AK121" s="236"/>
    </row>
    <row r="122" spans="2:37" x14ac:dyDescent="0.3">
      <c r="B122" s="63" t="s">
        <v>115</v>
      </c>
      <c r="C122" s="59">
        <v>-174</v>
      </c>
      <c r="D122" s="59">
        <f t="shared" ref="D122:D126" si="144">E122-C122</f>
        <v>-259</v>
      </c>
      <c r="E122" s="99">
        <v>-433</v>
      </c>
      <c r="F122" s="59">
        <v>-177</v>
      </c>
      <c r="G122" s="59">
        <f>AC122-F122</f>
        <v>-329</v>
      </c>
      <c r="H122" s="59">
        <v>-268</v>
      </c>
      <c r="I122" s="59">
        <f>AD122-H122</f>
        <v>-434</v>
      </c>
      <c r="J122" s="203">
        <v>-393</v>
      </c>
      <c r="K122" s="59">
        <f>AE122-J122</f>
        <v>-380</v>
      </c>
      <c r="L122" s="203">
        <v>-370</v>
      </c>
      <c r="M122" s="203">
        <f>-Schedules!M5</f>
        <v>-399.45119999999997</v>
      </c>
      <c r="N122" s="203">
        <f>-Schedules!N5</f>
        <v>-546.1122499999999</v>
      </c>
      <c r="O122" s="203">
        <f>-Schedules!O5</f>
        <v>-472.992099</v>
      </c>
      <c r="P122" s="203">
        <f>-Schedules!P5</f>
        <v>-504.28626749999989</v>
      </c>
      <c r="Q122" s="203">
        <f>-Schedules!Q5</f>
        <v>-471.59521197000009</v>
      </c>
      <c r="R122" s="203">
        <f>-Schedules!R5</f>
        <v>-461.20550552499992</v>
      </c>
      <c r="S122" s="203">
        <f>-Schedules!S5</f>
        <v>-470.15641832910006</v>
      </c>
      <c r="T122" s="203">
        <f>-Schedules!T5</f>
        <v>-416.83232069074995</v>
      </c>
      <c r="U122" s="203">
        <f>-Schedules!U5</f>
        <v>-468.67446087897304</v>
      </c>
      <c r="V122" s="203">
        <f>-Schedules!V5</f>
        <v>-371.12794031147246</v>
      </c>
      <c r="W122" s="203">
        <f>-Schedules!W5</f>
        <v>-467.14804470534227</v>
      </c>
      <c r="AA122" s="194"/>
      <c r="AC122" s="99">
        <v>-506</v>
      </c>
      <c r="AD122" s="99">
        <v>-702</v>
      </c>
      <c r="AE122" s="99">
        <v>-773</v>
      </c>
      <c r="AF122" s="200">
        <f>L122+M122</f>
        <v>-769.45119999999997</v>
      </c>
      <c r="AG122" s="200">
        <f>-Schedules!AG5</f>
        <v>-1019.104349</v>
      </c>
      <c r="AH122" s="200">
        <f>-Schedules!AH5</f>
        <v>-975.88147946999993</v>
      </c>
      <c r="AI122" s="200">
        <f>-Schedules!AI5</f>
        <v>-931.36192385410004</v>
      </c>
      <c r="AJ122" s="200">
        <f>-Schedules!AJ5</f>
        <v>-885.50678156972299</v>
      </c>
      <c r="AK122" s="236">
        <f>-Schedules!AK5</f>
        <v>-838.27598501681473</v>
      </c>
    </row>
    <row r="123" spans="2:37" x14ac:dyDescent="0.3">
      <c r="B123" s="63" t="s">
        <v>113</v>
      </c>
      <c r="C123" s="59">
        <v>21</v>
      </c>
      <c r="D123" s="59">
        <f>E123-C123</f>
        <v>42</v>
      </c>
      <c r="E123" s="99">
        <v>63</v>
      </c>
      <c r="F123" s="59">
        <v>20</v>
      </c>
      <c r="G123" s="59">
        <f>AC123-F123</f>
        <v>5</v>
      </c>
      <c r="H123" s="59">
        <v>98</v>
      </c>
      <c r="I123" s="59">
        <f>AD123-H123</f>
        <v>2</v>
      </c>
      <c r="J123" s="203">
        <v>2</v>
      </c>
      <c r="K123" s="59">
        <f>AE123-J123</f>
        <v>6</v>
      </c>
      <c r="L123" s="203">
        <v>5</v>
      </c>
      <c r="M123" s="203"/>
      <c r="N123" s="203"/>
      <c r="O123" s="203"/>
      <c r="P123" s="203"/>
      <c r="Q123" s="203"/>
      <c r="R123" s="203"/>
      <c r="S123" s="203"/>
      <c r="T123" s="203"/>
      <c r="U123" s="203"/>
      <c r="V123" s="203"/>
      <c r="W123" s="203"/>
      <c r="AA123" s="194"/>
      <c r="AC123" s="99">
        <v>25</v>
      </c>
      <c r="AD123" s="99">
        <v>100</v>
      </c>
      <c r="AE123" s="99">
        <v>8</v>
      </c>
      <c r="AF123" s="200">
        <f>L123+M123</f>
        <v>5</v>
      </c>
      <c r="AG123" s="200"/>
      <c r="AH123" s="200"/>
      <c r="AI123" s="200"/>
      <c r="AJ123" s="200"/>
      <c r="AK123" s="236"/>
    </row>
    <row r="124" spans="2:37" x14ac:dyDescent="0.3">
      <c r="B124" s="63" t="s">
        <v>205</v>
      </c>
      <c r="C124" s="59">
        <v>-46</v>
      </c>
      <c r="D124" s="59">
        <f>E124-C124</f>
        <v>-85</v>
      </c>
      <c r="E124" s="99">
        <v>-131</v>
      </c>
      <c r="F124" s="59">
        <v>-471</v>
      </c>
      <c r="G124" s="59">
        <f>AC124-F124</f>
        <v>-264</v>
      </c>
      <c r="H124" s="59">
        <v>-883</v>
      </c>
      <c r="I124" s="59">
        <f>AD124-H124</f>
        <v>-276</v>
      </c>
      <c r="J124" s="203">
        <v>-213</v>
      </c>
      <c r="K124" s="59">
        <f>AE124-J124</f>
        <v>-32</v>
      </c>
      <c r="L124" s="203">
        <v>-157</v>
      </c>
      <c r="M124" s="203"/>
      <c r="N124" s="203"/>
      <c r="O124" s="203"/>
      <c r="P124" s="203"/>
      <c r="Q124" s="203"/>
      <c r="R124" s="203"/>
      <c r="S124" s="203"/>
      <c r="T124" s="203"/>
      <c r="U124" s="203"/>
      <c r="V124" s="203"/>
      <c r="W124" s="203"/>
      <c r="AA124" s="194"/>
      <c r="AC124" s="99">
        <v>-735</v>
      </c>
      <c r="AD124" s="99">
        <v>-1159</v>
      </c>
      <c r="AE124" s="99">
        <v>-245</v>
      </c>
      <c r="AF124" s="200">
        <f>L124+M124</f>
        <v>-157</v>
      </c>
      <c r="AG124" s="200"/>
      <c r="AH124" s="200"/>
      <c r="AI124" s="200"/>
      <c r="AJ124" s="200"/>
      <c r="AK124" s="236"/>
    </row>
    <row r="125" spans="2:37" x14ac:dyDescent="0.3">
      <c r="B125" s="63" t="s">
        <v>206</v>
      </c>
      <c r="C125" s="59">
        <v>13</v>
      </c>
      <c r="D125" s="59">
        <f t="shared" si="144"/>
        <v>2</v>
      </c>
      <c r="E125" s="99">
        <v>15</v>
      </c>
      <c r="F125" s="59">
        <v>7</v>
      </c>
      <c r="G125" s="59">
        <f>AC125-F125</f>
        <v>5</v>
      </c>
      <c r="H125" s="59">
        <v>28</v>
      </c>
      <c r="I125" s="59">
        <f>AD125-H125</f>
        <v>2</v>
      </c>
      <c r="J125" s="203">
        <v>195</v>
      </c>
      <c r="K125" s="59">
        <f>AE125-J125</f>
        <v>139</v>
      </c>
      <c r="L125" s="203">
        <v>16</v>
      </c>
      <c r="M125" s="203"/>
      <c r="N125" s="203"/>
      <c r="O125" s="203"/>
      <c r="P125" s="203"/>
      <c r="Q125" s="203"/>
      <c r="R125" s="203"/>
      <c r="S125" s="203"/>
      <c r="T125" s="203"/>
      <c r="U125" s="203"/>
      <c r="V125" s="203"/>
      <c r="W125" s="203"/>
      <c r="AA125" s="194"/>
      <c r="AC125" s="99">
        <v>12</v>
      </c>
      <c r="AD125" s="99">
        <v>30</v>
      </c>
      <c r="AE125" s="99">
        <v>334</v>
      </c>
      <c r="AF125" s="200">
        <f>L125+M125</f>
        <v>16</v>
      </c>
      <c r="AG125" s="200"/>
      <c r="AH125" s="200"/>
      <c r="AI125" s="200"/>
      <c r="AJ125" s="200"/>
      <c r="AK125" s="236"/>
    </row>
    <row r="126" spans="2:37" x14ac:dyDescent="0.3">
      <c r="B126" s="63" t="s">
        <v>102</v>
      </c>
      <c r="C126" s="59">
        <v>0</v>
      </c>
      <c r="D126" s="59">
        <f t="shared" si="144"/>
        <v>0</v>
      </c>
      <c r="E126" s="99">
        <v>0</v>
      </c>
      <c r="F126" s="59">
        <v>0</v>
      </c>
      <c r="G126" s="59">
        <f>AC126-F126</f>
        <v>0</v>
      </c>
      <c r="H126" s="59"/>
      <c r="I126" s="59">
        <f>AD126-H126</f>
        <v>0</v>
      </c>
      <c r="J126" s="203"/>
      <c r="K126" s="59">
        <f>AE126-J126</f>
        <v>0</v>
      </c>
      <c r="L126" s="203"/>
      <c r="M126" s="203"/>
      <c r="N126" s="203"/>
      <c r="O126" s="203"/>
      <c r="P126" s="203"/>
      <c r="Q126" s="203"/>
      <c r="R126" s="203"/>
      <c r="S126" s="203"/>
      <c r="T126" s="203"/>
      <c r="U126" s="203"/>
      <c r="V126" s="203"/>
      <c r="W126" s="203"/>
      <c r="AA126" s="194"/>
      <c r="AC126" s="99"/>
      <c r="AD126" s="99"/>
      <c r="AE126" s="99"/>
      <c r="AF126" s="200">
        <f>L126+M126</f>
        <v>0</v>
      </c>
      <c r="AG126" s="200"/>
      <c r="AH126" s="200"/>
      <c r="AI126" s="200"/>
      <c r="AJ126" s="200"/>
      <c r="AK126" s="236"/>
    </row>
    <row r="127" spans="2:37" x14ac:dyDescent="0.3">
      <c r="B127" s="64" t="s">
        <v>103</v>
      </c>
      <c r="C127" s="28">
        <f>SUM(C122:C126)</f>
        <v>-186</v>
      </c>
      <c r="D127" s="28">
        <f>SUM(D122:D126)</f>
        <v>-300</v>
      </c>
      <c r="E127" s="237">
        <f>SUM(E122:E126)</f>
        <v>-486</v>
      </c>
      <c r="F127" s="28">
        <f>SUM(F122:F126)</f>
        <v>-621</v>
      </c>
      <c r="G127" s="28">
        <f>SUM(G122:G126)+1</f>
        <v>-582</v>
      </c>
      <c r="H127" s="28">
        <f t="shared" ref="H127:W127" si="145">SUM(H122:H126)</f>
        <v>-1025</v>
      </c>
      <c r="I127" s="28">
        <f t="shared" si="145"/>
        <v>-706</v>
      </c>
      <c r="J127" s="204">
        <f t="shared" si="145"/>
        <v>-409</v>
      </c>
      <c r="K127" s="28">
        <f t="shared" ref="K127:L127" si="146">SUM(K122:K126)</f>
        <v>-267</v>
      </c>
      <c r="L127" s="204">
        <f t="shared" si="146"/>
        <v>-506</v>
      </c>
      <c r="M127" s="204">
        <f t="shared" si="145"/>
        <v>-399.45119999999997</v>
      </c>
      <c r="N127" s="204">
        <f t="shared" si="145"/>
        <v>-546.1122499999999</v>
      </c>
      <c r="O127" s="204">
        <f t="shared" si="145"/>
        <v>-472.992099</v>
      </c>
      <c r="P127" s="204">
        <f t="shared" si="145"/>
        <v>-504.28626749999989</v>
      </c>
      <c r="Q127" s="204">
        <f t="shared" si="145"/>
        <v>-471.59521197000009</v>
      </c>
      <c r="R127" s="204">
        <f t="shared" si="145"/>
        <v>-461.20550552499992</v>
      </c>
      <c r="S127" s="204">
        <f t="shared" si="145"/>
        <v>-470.15641832910006</v>
      </c>
      <c r="T127" s="204">
        <f t="shared" si="145"/>
        <v>-416.83232069074995</v>
      </c>
      <c r="U127" s="204">
        <f t="shared" si="145"/>
        <v>-468.67446087897304</v>
      </c>
      <c r="V127" s="204">
        <f t="shared" si="145"/>
        <v>-371.12794031147246</v>
      </c>
      <c r="W127" s="204">
        <f t="shared" si="145"/>
        <v>-467.14804470534227</v>
      </c>
      <c r="AA127" s="194"/>
      <c r="AC127" s="237">
        <f>SUM(AC122:AC126)+1</f>
        <v>-1203</v>
      </c>
      <c r="AD127" s="237">
        <f>SUM(AD122:AD126)</f>
        <v>-1731</v>
      </c>
      <c r="AE127" s="237">
        <f>SUM(AE122:AE126)</f>
        <v>-676</v>
      </c>
      <c r="AF127" s="199">
        <f>SUM(AF122:AF126)</f>
        <v>-905.45119999999997</v>
      </c>
      <c r="AG127" s="199">
        <f>SUM(AG122:AG126)</f>
        <v>-1019.104349</v>
      </c>
      <c r="AH127" s="199">
        <f>SUM(AH122:AH126)</f>
        <v>-975.88147946999993</v>
      </c>
      <c r="AI127" s="199">
        <f>SUM(AI122:AI126)</f>
        <v>-931.36192385410004</v>
      </c>
      <c r="AJ127" s="199">
        <f>SUM(AJ122:AJ126)</f>
        <v>-885.50678156972299</v>
      </c>
      <c r="AK127" s="238">
        <f>SUM(AK122:AK126)</f>
        <v>-838.27598501681473</v>
      </c>
    </row>
    <row r="128" spans="2:37" x14ac:dyDescent="0.3">
      <c r="B128" s="63"/>
      <c r="C128" s="59"/>
      <c r="D128" s="59"/>
      <c r="E128" s="99"/>
      <c r="F128" s="59"/>
      <c r="G128" s="59"/>
      <c r="H128" s="59"/>
      <c r="I128" s="59"/>
      <c r="J128" s="203"/>
      <c r="K128" s="59"/>
      <c r="L128" s="203"/>
      <c r="M128" s="203"/>
      <c r="N128" s="203"/>
      <c r="O128" s="203"/>
      <c r="P128" s="203"/>
      <c r="Q128" s="203"/>
      <c r="R128" s="203"/>
      <c r="S128" s="203"/>
      <c r="T128" s="203"/>
      <c r="U128" s="203"/>
      <c r="V128" s="203"/>
      <c r="W128" s="203"/>
      <c r="AA128" s="194"/>
      <c r="AC128" s="99"/>
      <c r="AD128" s="99"/>
      <c r="AE128" s="99"/>
      <c r="AF128" s="200"/>
      <c r="AG128" s="200"/>
      <c r="AH128" s="200"/>
      <c r="AI128" s="200"/>
      <c r="AJ128" s="200"/>
      <c r="AK128" s="236"/>
    </row>
    <row r="129" spans="2:37" x14ac:dyDescent="0.3">
      <c r="B129" s="63" t="s">
        <v>106</v>
      </c>
      <c r="C129" s="59">
        <v>-699</v>
      </c>
      <c r="D129" s="59">
        <f>E129-C129</f>
        <v>-5</v>
      </c>
      <c r="E129" s="99">
        <v>-704</v>
      </c>
      <c r="F129" s="59">
        <v>-820</v>
      </c>
      <c r="G129" s="59">
        <f>AC129-F129</f>
        <v>-6</v>
      </c>
      <c r="H129" s="59">
        <v>-1065</v>
      </c>
      <c r="I129" s="59">
        <f>AD129-H129</f>
        <v>-7</v>
      </c>
      <c r="J129" s="203">
        <v>-1199</v>
      </c>
      <c r="K129" s="59">
        <f>AE129-J129</f>
        <v>-9</v>
      </c>
      <c r="L129" s="203">
        <v>-1194</v>
      </c>
      <c r="M129" s="203"/>
      <c r="N129" s="203"/>
      <c r="O129" s="203"/>
      <c r="P129" s="203"/>
      <c r="Q129" s="203"/>
      <c r="R129" s="203"/>
      <c r="S129" s="203"/>
      <c r="T129" s="203"/>
      <c r="U129" s="203"/>
      <c r="V129" s="203"/>
      <c r="W129" s="203"/>
      <c r="AA129" s="194"/>
      <c r="AC129" s="99">
        <v>-826</v>
      </c>
      <c r="AD129" s="99">
        <v>-1072</v>
      </c>
      <c r="AE129" s="99">
        <v>-1208</v>
      </c>
      <c r="AF129" s="200">
        <f>L129+M129</f>
        <v>-1194</v>
      </c>
      <c r="AG129" s="200"/>
      <c r="AH129" s="200"/>
      <c r="AI129" s="200"/>
      <c r="AJ129" s="200"/>
      <c r="AK129" s="236"/>
    </row>
    <row r="130" spans="2:37" x14ac:dyDescent="0.3">
      <c r="B130" s="63" t="s">
        <v>210</v>
      </c>
      <c r="C130" s="59">
        <v>0</v>
      </c>
      <c r="D130" s="59">
        <f t="shared" ref="D130" si="147">E130-C130</f>
        <v>0</v>
      </c>
      <c r="E130" s="99">
        <v>0</v>
      </c>
      <c r="F130" s="59">
        <v>0</v>
      </c>
      <c r="G130" s="59">
        <f>AC130-F130</f>
        <v>0</v>
      </c>
      <c r="H130" s="59">
        <v>0</v>
      </c>
      <c r="I130" s="59">
        <f>AD130-H130</f>
        <v>0</v>
      </c>
      <c r="J130" s="203">
        <v>0</v>
      </c>
      <c r="K130" s="59">
        <f>AE130-J130</f>
        <v>0</v>
      </c>
      <c r="L130" s="203">
        <v>4</v>
      </c>
      <c r="M130" s="203"/>
      <c r="N130" s="203"/>
      <c r="O130" s="203"/>
      <c r="P130" s="203"/>
      <c r="Q130" s="203"/>
      <c r="R130" s="203"/>
      <c r="S130" s="203"/>
      <c r="T130" s="203"/>
      <c r="U130" s="203"/>
      <c r="V130" s="203"/>
      <c r="W130" s="203"/>
      <c r="AA130" s="194"/>
      <c r="AC130" s="99">
        <v>0</v>
      </c>
      <c r="AD130" s="99">
        <v>0</v>
      </c>
      <c r="AE130" s="99">
        <v>0</v>
      </c>
      <c r="AF130" s="200">
        <f>L130+M130</f>
        <v>4</v>
      </c>
      <c r="AG130" s="200"/>
      <c r="AH130" s="200"/>
      <c r="AI130" s="200"/>
      <c r="AJ130" s="200"/>
      <c r="AK130" s="236"/>
    </row>
    <row r="131" spans="2:37" x14ac:dyDescent="0.3">
      <c r="B131" s="63" t="s">
        <v>104</v>
      </c>
      <c r="C131" s="59">
        <v>1774</v>
      </c>
      <c r="D131" s="59">
        <f>E131-C131</f>
        <v>14</v>
      </c>
      <c r="E131" s="99">
        <v>1788</v>
      </c>
      <c r="F131" s="59">
        <v>689</v>
      </c>
      <c r="G131" s="59">
        <f>AC131-F131</f>
        <v>875</v>
      </c>
      <c r="H131" s="59">
        <v>1302</v>
      </c>
      <c r="I131" s="59">
        <f>AD131-H131</f>
        <v>400</v>
      </c>
      <c r="J131" s="203">
        <v>1692</v>
      </c>
      <c r="K131" s="59">
        <f>AE131-J131</f>
        <v>1123</v>
      </c>
      <c r="L131" s="203">
        <v>851</v>
      </c>
      <c r="M131" s="203">
        <f>Schedules!M30</f>
        <v>1000</v>
      </c>
      <c r="N131" s="203">
        <f>Schedules!N30</f>
        <v>1000</v>
      </c>
      <c r="O131" s="203">
        <f>Schedules!O30</f>
        <v>1000</v>
      </c>
      <c r="P131" s="203">
        <f>Schedules!P30</f>
        <v>1000</v>
      </c>
      <c r="Q131" s="203">
        <f>Schedules!Q30</f>
        <v>1000</v>
      </c>
      <c r="R131" s="203">
        <f>Schedules!R30</f>
        <v>1000</v>
      </c>
      <c r="S131" s="203">
        <f>Schedules!S30</f>
        <v>1000</v>
      </c>
      <c r="T131" s="203">
        <f>Schedules!T30</f>
        <v>1000</v>
      </c>
      <c r="U131" s="203">
        <f>Schedules!U30</f>
        <v>1000</v>
      </c>
      <c r="V131" s="203">
        <f>Schedules!V30</f>
        <v>1000</v>
      </c>
      <c r="W131" s="203">
        <f>Schedules!W30</f>
        <v>1000</v>
      </c>
      <c r="AA131" s="194"/>
      <c r="AC131" s="99">
        <v>1564</v>
      </c>
      <c r="AD131" s="99">
        <v>1702</v>
      </c>
      <c r="AE131" s="99">
        <v>2815</v>
      </c>
      <c r="AF131" s="200">
        <f>L131+M131</f>
        <v>1851</v>
      </c>
      <c r="AG131" s="200">
        <f>Schedules!AG30</f>
        <v>2000</v>
      </c>
      <c r="AH131" s="200">
        <f>Schedules!AH30</f>
        <v>2000</v>
      </c>
      <c r="AI131" s="200">
        <f>Schedules!AI30</f>
        <v>2000</v>
      </c>
      <c r="AJ131" s="200">
        <f>Schedules!AJ30</f>
        <v>2000</v>
      </c>
      <c r="AK131" s="236">
        <f>Schedules!AK30</f>
        <v>2000</v>
      </c>
    </row>
    <row r="132" spans="2:37" x14ac:dyDescent="0.3">
      <c r="B132" s="63" t="s">
        <v>105</v>
      </c>
      <c r="C132" s="59">
        <v>-1782</v>
      </c>
      <c r="D132" s="59">
        <f>E132-C132</f>
        <v>-597</v>
      </c>
      <c r="E132" s="99">
        <v>-2379</v>
      </c>
      <c r="F132" s="59">
        <v>-492</v>
      </c>
      <c r="G132" s="59">
        <f>AC132-F132</f>
        <v>-1</v>
      </c>
      <c r="H132" s="59">
        <v>-811</v>
      </c>
      <c r="I132" s="59">
        <f>AD132-H132</f>
        <v>-34</v>
      </c>
      <c r="J132" s="203">
        <v>-601</v>
      </c>
      <c r="K132" s="59">
        <f>AE132-J132</f>
        <v>-756</v>
      </c>
      <c r="L132" s="203">
        <v>-824</v>
      </c>
      <c r="M132" s="203">
        <f>-Schedules!M29</f>
        <v>-500</v>
      </c>
      <c r="N132" s="203">
        <f>-Schedules!N29</f>
        <v>-500</v>
      </c>
      <c r="O132" s="203">
        <f>-Schedules!O29</f>
        <v>-500</v>
      </c>
      <c r="P132" s="203">
        <f>-Schedules!P29</f>
        <v>-500</v>
      </c>
      <c r="Q132" s="203">
        <f>-Schedules!Q29</f>
        <v>-500</v>
      </c>
      <c r="R132" s="203">
        <f>-Schedules!R29</f>
        <v>-500</v>
      </c>
      <c r="S132" s="203">
        <f>-Schedules!S29</f>
        <v>-500</v>
      </c>
      <c r="T132" s="203">
        <f>-Schedules!T29</f>
        <v>-500</v>
      </c>
      <c r="U132" s="203">
        <f>-Schedules!U29</f>
        <v>-500</v>
      </c>
      <c r="V132" s="203">
        <f>-Schedules!V29</f>
        <v>-500</v>
      </c>
      <c r="W132" s="203">
        <f>-Schedules!W29</f>
        <v>-500</v>
      </c>
      <c r="AA132" s="194"/>
      <c r="AC132" s="99">
        <v>-493</v>
      </c>
      <c r="AD132" s="99">
        <v>-845</v>
      </c>
      <c r="AE132" s="99">
        <v>-1357</v>
      </c>
      <c r="AF132" s="200">
        <f>L132+M132</f>
        <v>-1324</v>
      </c>
      <c r="AG132" s="200">
        <f>-Schedules!AG29</f>
        <v>-1000</v>
      </c>
      <c r="AH132" s="200">
        <f>-Schedules!AH29</f>
        <v>-1000</v>
      </c>
      <c r="AI132" s="200">
        <f>-Schedules!AI29</f>
        <v>-1000</v>
      </c>
      <c r="AJ132" s="200">
        <f>-Schedules!AJ29</f>
        <v>-1000</v>
      </c>
      <c r="AK132" s="236">
        <f>-Schedules!AK29</f>
        <v>-1000</v>
      </c>
    </row>
    <row r="133" spans="2:37" x14ac:dyDescent="0.3">
      <c r="B133" s="63" t="s">
        <v>207</v>
      </c>
      <c r="C133" s="59">
        <v>-44</v>
      </c>
      <c r="D133" s="59">
        <f>E133-C133</f>
        <v>-53</v>
      </c>
      <c r="E133" s="99">
        <v>-97</v>
      </c>
      <c r="F133" s="59">
        <v>-55</v>
      </c>
      <c r="G133" s="59">
        <f>AC133-F133</f>
        <v>-60</v>
      </c>
      <c r="H133" s="59">
        <v>-58</v>
      </c>
      <c r="I133" s="59">
        <f>AD133-H133</f>
        <v>-58</v>
      </c>
      <c r="J133" s="203">
        <v>-67</v>
      </c>
      <c r="K133" s="59">
        <f>AE133-J133</f>
        <v>-58</v>
      </c>
      <c r="L133" s="203">
        <v>-58</v>
      </c>
      <c r="M133" s="203"/>
      <c r="N133" s="203"/>
      <c r="O133" s="203"/>
      <c r="P133" s="203"/>
      <c r="Q133" s="203"/>
      <c r="R133" s="203"/>
      <c r="S133" s="203"/>
      <c r="T133" s="203"/>
      <c r="U133" s="203"/>
      <c r="V133" s="203"/>
      <c r="W133" s="203"/>
      <c r="AA133" s="194"/>
      <c r="AC133" s="99">
        <v>-115</v>
      </c>
      <c r="AD133" s="99">
        <v>-116</v>
      </c>
      <c r="AE133" s="99">
        <v>-125</v>
      </c>
      <c r="AF133" s="200">
        <f>L133+M133</f>
        <v>-58</v>
      </c>
      <c r="AG133" s="200"/>
      <c r="AH133" s="200"/>
      <c r="AI133" s="200"/>
      <c r="AJ133" s="200"/>
      <c r="AK133" s="236"/>
    </row>
    <row r="134" spans="2:37" x14ac:dyDescent="0.3">
      <c r="B134" s="63" t="s">
        <v>79</v>
      </c>
      <c r="C134" s="59">
        <v>-25</v>
      </c>
      <c r="D134" s="59">
        <f>E134-C134</f>
        <v>5</v>
      </c>
      <c r="E134" s="99">
        <v>-20</v>
      </c>
      <c r="F134" s="59">
        <v>-292</v>
      </c>
      <c r="G134" s="59">
        <f>AC134-F134</f>
        <v>-521</v>
      </c>
      <c r="H134" s="59">
        <v>-190</v>
      </c>
      <c r="I134" s="59">
        <f>AD134-H134</f>
        <v>-596</v>
      </c>
      <c r="J134" s="203">
        <v>-184</v>
      </c>
      <c r="K134" s="59">
        <f>AE134-J134</f>
        <v>-150</v>
      </c>
      <c r="L134" s="203">
        <v>-11</v>
      </c>
      <c r="M134" s="203"/>
      <c r="N134" s="203"/>
      <c r="O134" s="203"/>
      <c r="P134" s="203"/>
      <c r="Q134" s="203"/>
      <c r="R134" s="203"/>
      <c r="S134" s="203"/>
      <c r="T134" s="203"/>
      <c r="U134" s="203"/>
      <c r="V134" s="203"/>
      <c r="W134" s="203"/>
      <c r="AA134" s="194"/>
      <c r="AC134" s="99">
        <v>-813</v>
      </c>
      <c r="AD134" s="99">
        <v>-786</v>
      </c>
      <c r="AE134" s="99">
        <v>-334</v>
      </c>
      <c r="AF134" s="200">
        <f>L134+M134</f>
        <v>-11</v>
      </c>
      <c r="AG134" s="200"/>
      <c r="AH134" s="200"/>
      <c r="AI134" s="200"/>
      <c r="AJ134" s="200"/>
      <c r="AK134" s="236"/>
    </row>
    <row r="135" spans="2:37" x14ac:dyDescent="0.3">
      <c r="B135" s="63" t="s">
        <v>114</v>
      </c>
      <c r="C135" s="59"/>
      <c r="D135" s="59"/>
      <c r="E135" s="99"/>
      <c r="F135" s="59"/>
      <c r="G135" s="59"/>
      <c r="H135" s="59"/>
      <c r="I135" s="59"/>
      <c r="J135" s="203"/>
      <c r="K135" s="59"/>
      <c r="L135" s="203"/>
      <c r="M135" s="203"/>
      <c r="N135" s="203"/>
      <c r="O135" s="203"/>
      <c r="P135" s="203"/>
      <c r="Q135" s="203"/>
      <c r="R135" s="203"/>
      <c r="S135" s="203"/>
      <c r="T135" s="203"/>
      <c r="U135" s="203"/>
      <c r="V135" s="203"/>
      <c r="W135" s="203"/>
      <c r="AA135" s="194"/>
      <c r="AC135" s="99"/>
      <c r="AD135" s="99"/>
      <c r="AE135" s="99"/>
      <c r="AF135" s="200">
        <f>L135+M135</f>
        <v>0</v>
      </c>
      <c r="AG135" s="200"/>
      <c r="AH135" s="200"/>
      <c r="AI135" s="200"/>
      <c r="AJ135" s="200"/>
      <c r="AK135" s="236"/>
    </row>
    <row r="136" spans="2:37" x14ac:dyDescent="0.3">
      <c r="B136" s="64" t="s">
        <v>107</v>
      </c>
      <c r="C136" s="28">
        <f t="shared" ref="C136:G136" si="148">SUM(C129:C135)</f>
        <v>-776</v>
      </c>
      <c r="D136" s="28">
        <f t="shared" si="148"/>
        <v>-636</v>
      </c>
      <c r="E136" s="237">
        <f t="shared" si="148"/>
        <v>-1412</v>
      </c>
      <c r="F136" s="28">
        <f t="shared" si="148"/>
        <v>-970</v>
      </c>
      <c r="G136" s="28">
        <f t="shared" si="148"/>
        <v>287</v>
      </c>
      <c r="H136" s="28">
        <f t="shared" ref="H136:I136" si="149">SUM(H129:H135)</f>
        <v>-822</v>
      </c>
      <c r="I136" s="28">
        <f t="shared" si="149"/>
        <v>-295</v>
      </c>
      <c r="J136" s="204">
        <f>SUM(J129:J135)</f>
        <v>-359</v>
      </c>
      <c r="K136" s="28">
        <f t="shared" ref="K136" si="150">SUM(K129:K135)</f>
        <v>150</v>
      </c>
      <c r="L136" s="204">
        <f>SUM(L129:L135)</f>
        <v>-1232</v>
      </c>
      <c r="M136" s="204">
        <f t="shared" ref="M136:W136" si="151">SUM(M129:M135)</f>
        <v>500</v>
      </c>
      <c r="N136" s="204">
        <f t="shared" si="151"/>
        <v>500</v>
      </c>
      <c r="O136" s="204">
        <f t="shared" si="151"/>
        <v>500</v>
      </c>
      <c r="P136" s="204">
        <f t="shared" si="151"/>
        <v>500</v>
      </c>
      <c r="Q136" s="204">
        <f t="shared" si="151"/>
        <v>500</v>
      </c>
      <c r="R136" s="204">
        <f t="shared" si="151"/>
        <v>500</v>
      </c>
      <c r="S136" s="204">
        <f t="shared" si="151"/>
        <v>500</v>
      </c>
      <c r="T136" s="204">
        <f t="shared" si="151"/>
        <v>500</v>
      </c>
      <c r="U136" s="204">
        <f t="shared" si="151"/>
        <v>500</v>
      </c>
      <c r="V136" s="204">
        <f t="shared" si="151"/>
        <v>500</v>
      </c>
      <c r="W136" s="204">
        <f t="shared" si="151"/>
        <v>500</v>
      </c>
      <c r="AA136" s="194"/>
      <c r="AC136" s="237">
        <f>SUM(AC129:AC135)</f>
        <v>-683</v>
      </c>
      <c r="AD136" s="237">
        <f>SUM(AD129:AD135)</f>
        <v>-1117</v>
      </c>
      <c r="AE136" s="237">
        <f>SUM(AE129:AE135)</f>
        <v>-209</v>
      </c>
      <c r="AF136" s="199">
        <f>SUM(AF129:AF135)</f>
        <v>-732</v>
      </c>
      <c r="AG136" s="199">
        <f>SUM(AG129:AG135)</f>
        <v>1000</v>
      </c>
      <c r="AH136" s="199">
        <f>SUM(AH129:AH135)</f>
        <v>1000</v>
      </c>
      <c r="AI136" s="199">
        <f>SUM(AI129:AI135)</f>
        <v>1000</v>
      </c>
      <c r="AJ136" s="199">
        <f>SUM(AJ129:AJ135)</f>
        <v>1000</v>
      </c>
      <c r="AK136" s="238">
        <f>SUM(AK129:AK135)</f>
        <v>1000</v>
      </c>
    </row>
    <row r="137" spans="2:37" x14ac:dyDescent="0.3">
      <c r="B137" s="63" t="s">
        <v>208</v>
      </c>
      <c r="C137" s="28">
        <v>0</v>
      </c>
      <c r="D137" s="59">
        <f>E137-C137</f>
        <v>0</v>
      </c>
      <c r="E137" s="237">
        <v>0</v>
      </c>
      <c r="F137" s="28">
        <v>0</v>
      </c>
      <c r="G137" s="59">
        <f>AC137-F137</f>
        <v>0</v>
      </c>
      <c r="H137" s="28">
        <v>0</v>
      </c>
      <c r="I137" s="59">
        <f>AD137-H137</f>
        <v>0</v>
      </c>
      <c r="J137" s="204">
        <v>0</v>
      </c>
      <c r="K137" s="59">
        <f>AE137-J137</f>
        <v>0</v>
      </c>
      <c r="L137" s="204"/>
      <c r="M137" s="204"/>
      <c r="N137" s="204"/>
      <c r="O137" s="204"/>
      <c r="P137" s="204"/>
      <c r="Q137" s="204"/>
      <c r="R137" s="204"/>
      <c r="S137" s="204"/>
      <c r="T137" s="204"/>
      <c r="U137" s="204"/>
      <c r="V137" s="204"/>
      <c r="W137" s="204"/>
      <c r="AA137" s="194"/>
      <c r="AC137" s="99">
        <v>0</v>
      </c>
      <c r="AD137" s="99">
        <v>0</v>
      </c>
      <c r="AE137" s="99"/>
      <c r="AF137" s="199"/>
      <c r="AG137" s="199"/>
      <c r="AH137" s="199"/>
      <c r="AI137" s="199"/>
      <c r="AJ137" s="199"/>
      <c r="AK137" s="238"/>
    </row>
    <row r="138" spans="2:37" x14ac:dyDescent="0.3">
      <c r="B138" s="64" t="s">
        <v>209</v>
      </c>
      <c r="C138" s="28"/>
      <c r="D138" s="28"/>
      <c r="E138" s="237"/>
      <c r="F138" s="28"/>
      <c r="G138" s="28"/>
      <c r="H138" s="28"/>
      <c r="I138" s="28"/>
      <c r="J138" s="204"/>
      <c r="K138" s="28"/>
      <c r="L138" s="204"/>
      <c r="M138" s="204"/>
      <c r="N138" s="204"/>
      <c r="O138" s="204"/>
      <c r="P138" s="204"/>
      <c r="Q138" s="204"/>
      <c r="R138" s="204"/>
      <c r="S138" s="204"/>
      <c r="T138" s="204"/>
      <c r="U138" s="204"/>
      <c r="V138" s="204"/>
      <c r="W138" s="204"/>
      <c r="AA138" s="194"/>
      <c r="AC138" s="237"/>
      <c r="AD138" s="237"/>
      <c r="AE138" s="237"/>
      <c r="AF138" s="199"/>
      <c r="AG138" s="199"/>
      <c r="AH138" s="199"/>
      <c r="AI138" s="199"/>
      <c r="AJ138" s="199"/>
      <c r="AK138" s="238"/>
    </row>
    <row r="139" spans="2:37" x14ac:dyDescent="0.3">
      <c r="B139" s="63" t="s">
        <v>108</v>
      </c>
      <c r="C139" s="59">
        <v>-6</v>
      </c>
      <c r="D139" s="59">
        <f t="shared" ref="D139" si="152">E139-C139</f>
        <v>49</v>
      </c>
      <c r="E139" s="99">
        <v>43</v>
      </c>
      <c r="F139" s="59">
        <v>33</v>
      </c>
      <c r="G139" s="59">
        <f>AC139-F139</f>
        <v>9</v>
      </c>
      <c r="H139" s="59">
        <v>-8</v>
      </c>
      <c r="I139" s="59">
        <f>AD139-H139</f>
        <v>-95</v>
      </c>
      <c r="J139" s="203">
        <v>107</v>
      </c>
      <c r="K139" s="59">
        <f>AE139-J139</f>
        <v>125</v>
      </c>
      <c r="L139" s="203">
        <v>167</v>
      </c>
      <c r="M139" s="203"/>
      <c r="N139" s="203"/>
      <c r="O139" s="203"/>
      <c r="P139" s="203"/>
      <c r="Q139" s="203"/>
      <c r="R139" s="203"/>
      <c r="S139" s="203"/>
      <c r="T139" s="203"/>
      <c r="U139" s="203"/>
      <c r="V139" s="203"/>
      <c r="W139" s="203"/>
      <c r="AA139" s="194"/>
      <c r="AC139" s="99">
        <v>42</v>
      </c>
      <c r="AD139" s="99">
        <v>-103</v>
      </c>
      <c r="AE139" s="99">
        <v>232</v>
      </c>
      <c r="AF139" s="200">
        <f>L139+M139</f>
        <v>167</v>
      </c>
      <c r="AG139" s="200"/>
      <c r="AH139" s="200"/>
      <c r="AI139" s="200"/>
      <c r="AJ139" s="200"/>
      <c r="AK139" s="236"/>
    </row>
    <row r="140" spans="2:37" x14ac:dyDescent="0.3">
      <c r="B140" s="64" t="s">
        <v>109</v>
      </c>
      <c r="C140" s="28">
        <f>C120+C127+C136+C139</f>
        <v>20</v>
      </c>
      <c r="D140" s="28">
        <f>D120+D127+D136+D139-1</f>
        <v>122</v>
      </c>
      <c r="E140" s="237">
        <f>E120+E127+E136+E139-1</f>
        <v>143</v>
      </c>
      <c r="F140" s="28">
        <f>F120+F127+F136+F139</f>
        <v>-80</v>
      </c>
      <c r="G140" s="28">
        <f>G120+G127+G136+G139</f>
        <v>528</v>
      </c>
      <c r="H140" s="28">
        <f t="shared" ref="H140:W140" si="153">H120+H127+H136+H139</f>
        <v>-731</v>
      </c>
      <c r="I140" s="28">
        <f t="shared" si="153"/>
        <v>-187</v>
      </c>
      <c r="J140" s="204">
        <f t="shared" si="153"/>
        <v>30</v>
      </c>
      <c r="K140" s="28">
        <f t="shared" ref="K140:L140" si="154">K120+K127+K136+K139</f>
        <v>1044</v>
      </c>
      <c r="L140" s="204">
        <f t="shared" si="154"/>
        <v>-766</v>
      </c>
      <c r="M140" s="204">
        <f t="shared" si="153"/>
        <v>1930.2722300000003</v>
      </c>
      <c r="N140" s="204">
        <f t="shared" si="153"/>
        <v>1313.3803035600004</v>
      </c>
      <c r="O140" s="204">
        <f t="shared" si="153"/>
        <v>1111.9918357963998</v>
      </c>
      <c r="P140" s="204">
        <f t="shared" si="153"/>
        <v>1243.5430984788163</v>
      </c>
      <c r="Q140" s="204">
        <f t="shared" si="153"/>
        <v>1172.9488749835871</v>
      </c>
      <c r="R140" s="204">
        <f t="shared" si="153"/>
        <v>1257.3876986016162</v>
      </c>
      <c r="S140" s="204">
        <f t="shared" si="153"/>
        <v>1328.5977046199448</v>
      </c>
      <c r="T140" s="204">
        <f t="shared" si="153"/>
        <v>1171.3535430165616</v>
      </c>
      <c r="U140" s="204">
        <f t="shared" si="153"/>
        <v>1401.1162817062859</v>
      </c>
      <c r="V140" s="204">
        <f t="shared" si="153"/>
        <v>1059.0223572450145</v>
      </c>
      <c r="W140" s="204">
        <f t="shared" si="153"/>
        <v>1452.8790922065846</v>
      </c>
      <c r="AA140" s="194"/>
      <c r="AC140" s="237">
        <f>AC120+AC127+AC136+AC139-1</f>
        <v>449</v>
      </c>
      <c r="AD140" s="237">
        <f>AD120+AD127+AD136+AD139</f>
        <v>-918</v>
      </c>
      <c r="AE140" s="237">
        <f>AE120+AE127+AE136+AE139</f>
        <v>1074</v>
      </c>
      <c r="AF140" s="199">
        <f>AF120+AF127+AF136+AF139</f>
        <v>1164.27223</v>
      </c>
      <c r="AG140" s="199">
        <f>AG120+AG127+AG136+AG139</f>
        <v>2427.3721393564001</v>
      </c>
      <c r="AH140" s="199">
        <f>AH120+AH127+AH136+AH139</f>
        <v>2418.4919734624027</v>
      </c>
      <c r="AI140" s="199">
        <f>AI120+AI127+AI136+AI139</f>
        <v>2587.9854032215603</v>
      </c>
      <c r="AJ140" s="199">
        <f>AJ120+AJ127+AJ136+AJ139</f>
        <v>2574.4698247228471</v>
      </c>
      <c r="AK140" s="238">
        <f>AK120+AK127+AK136+AK139</f>
        <v>2513.9014494515986</v>
      </c>
    </row>
    <row r="141" spans="2:37" x14ac:dyDescent="0.3">
      <c r="B141" s="63"/>
      <c r="C141" s="59"/>
      <c r="D141" s="59"/>
      <c r="E141" s="99"/>
      <c r="F141" s="59"/>
      <c r="G141" s="59"/>
      <c r="H141" s="59"/>
      <c r="I141" s="59"/>
      <c r="J141" s="203"/>
      <c r="K141" s="59"/>
      <c r="L141" s="203"/>
      <c r="M141" s="203"/>
      <c r="N141" s="203"/>
      <c r="O141" s="203"/>
      <c r="P141" s="203"/>
      <c r="Q141" s="203"/>
      <c r="R141" s="203"/>
      <c r="S141" s="203"/>
      <c r="T141" s="203"/>
      <c r="U141" s="203"/>
      <c r="V141" s="203"/>
      <c r="W141" s="203"/>
      <c r="AA141" s="194"/>
      <c r="AC141" s="99"/>
      <c r="AD141" s="99"/>
      <c r="AE141" s="99"/>
      <c r="AF141" s="200"/>
      <c r="AG141" s="200"/>
      <c r="AH141" s="200"/>
      <c r="AI141" s="200"/>
      <c r="AJ141" s="200"/>
      <c r="AK141" s="236"/>
    </row>
    <row r="142" spans="2:37" x14ac:dyDescent="0.3">
      <c r="B142" s="64" t="s">
        <v>110</v>
      </c>
      <c r="C142" s="59">
        <v>1935</v>
      </c>
      <c r="D142" s="59">
        <v>1935</v>
      </c>
      <c r="E142" s="99">
        <v>1935</v>
      </c>
      <c r="F142" s="59">
        <f>E143</f>
        <v>2078</v>
      </c>
      <c r="G142" s="59">
        <f>F143</f>
        <v>1998</v>
      </c>
      <c r="H142" s="59">
        <f>AC143</f>
        <v>2527</v>
      </c>
      <c r="I142" s="59">
        <f>H143</f>
        <v>1796</v>
      </c>
      <c r="J142" s="203">
        <f>AD143</f>
        <v>1609</v>
      </c>
      <c r="K142" s="59">
        <f>J143</f>
        <v>1640</v>
      </c>
      <c r="L142" s="203">
        <f>AE143</f>
        <v>2683</v>
      </c>
      <c r="M142" s="203">
        <f>L143</f>
        <v>1916</v>
      </c>
      <c r="N142" s="203">
        <f>AF143-1</f>
        <v>3845.27223</v>
      </c>
      <c r="O142" s="203">
        <f>N143</f>
        <v>5159.6525335599999</v>
      </c>
      <c r="P142" s="203">
        <f>AG143-1</f>
        <v>6271.6443693563997</v>
      </c>
      <c r="Q142" s="203">
        <f>P143</f>
        <v>7516.187467835216</v>
      </c>
      <c r="R142" s="203">
        <f>AH143-1</f>
        <v>8688.1363428188015</v>
      </c>
      <c r="S142" s="203">
        <f>R143</f>
        <v>9946.5240414204181</v>
      </c>
      <c r="T142" s="203">
        <f>AI143-1</f>
        <v>11274.121746040362</v>
      </c>
      <c r="U142" s="203">
        <f>T143</f>
        <v>12446.475289056923</v>
      </c>
      <c r="V142" s="201">
        <f>AJ143-1</f>
        <v>13846.591570763208</v>
      </c>
      <c r="W142" s="203">
        <f>V143</f>
        <v>14906.613928008223</v>
      </c>
      <c r="AA142" s="194"/>
      <c r="AC142" s="99">
        <v>2078</v>
      </c>
      <c r="AD142" s="99">
        <f>AC143</f>
        <v>2527</v>
      </c>
      <c r="AE142" s="99">
        <f>AD143</f>
        <v>1609</v>
      </c>
      <c r="AF142" s="200">
        <f>L142-1</f>
        <v>2682</v>
      </c>
      <c r="AG142" s="200">
        <f>N142</f>
        <v>3845.27223</v>
      </c>
      <c r="AH142" s="200">
        <f>P142-1</f>
        <v>6270.6443693563997</v>
      </c>
      <c r="AI142" s="200">
        <f>R142-1</f>
        <v>8687.1363428188015</v>
      </c>
      <c r="AJ142" s="200">
        <f>T142-1</f>
        <v>11273.121746040362</v>
      </c>
      <c r="AK142" s="236">
        <f>V142-1</f>
        <v>13845.591570763208</v>
      </c>
    </row>
    <row r="143" spans="2:37" ht="15" thickBot="1" x14ac:dyDescent="0.35">
      <c r="B143" s="75" t="s">
        <v>111</v>
      </c>
      <c r="C143" s="83">
        <f>C140+C142</f>
        <v>1955</v>
      </c>
      <c r="D143" s="83">
        <f>D140+D142</f>
        <v>2057</v>
      </c>
      <c r="E143" s="84">
        <f>+E140+E142</f>
        <v>2078</v>
      </c>
      <c r="F143" s="83">
        <f>F140+F142</f>
        <v>1998</v>
      </c>
      <c r="G143" s="83">
        <f>G140+G142+1</f>
        <v>2527</v>
      </c>
      <c r="H143" s="83">
        <f>H140+H142</f>
        <v>1796</v>
      </c>
      <c r="I143" s="83">
        <f>I140+I142</f>
        <v>1609</v>
      </c>
      <c r="J143" s="231">
        <f>J140+J142+1</f>
        <v>1640</v>
      </c>
      <c r="K143" s="83">
        <f>K140+K142</f>
        <v>2684</v>
      </c>
      <c r="L143" s="231">
        <f>L140+L142-1</f>
        <v>1916</v>
      </c>
      <c r="M143" s="231">
        <f>M140+M142</f>
        <v>3846.2722300000005</v>
      </c>
      <c r="N143" s="231">
        <f>N140+N142+1</f>
        <v>5159.6525335599999</v>
      </c>
      <c r="O143" s="231">
        <f>O140+O142</f>
        <v>6271.6443693563997</v>
      </c>
      <c r="P143" s="231">
        <f>P140+P142+1</f>
        <v>7516.187467835216</v>
      </c>
      <c r="Q143" s="231">
        <f>Q140+Q142</f>
        <v>8689.1363428188033</v>
      </c>
      <c r="R143" s="231">
        <f>R140+R142+1</f>
        <v>9946.5240414204181</v>
      </c>
      <c r="S143" s="231">
        <f>S140+S142</f>
        <v>11275.121746040362</v>
      </c>
      <c r="T143" s="231">
        <f>T140+T142+1</f>
        <v>12446.475289056923</v>
      </c>
      <c r="U143" s="231">
        <f>U140+U142</f>
        <v>13847.591570763208</v>
      </c>
      <c r="V143" s="233">
        <f>V140+V142+1</f>
        <v>14906.613928008223</v>
      </c>
      <c r="W143" s="231">
        <f>W140+W142</f>
        <v>16359.493020214806</v>
      </c>
      <c r="AC143" s="84">
        <f>+AC140+AC142</f>
        <v>2527</v>
      </c>
      <c r="AD143" s="84">
        <f>+AD140+AD142</f>
        <v>1609</v>
      </c>
      <c r="AE143" s="84">
        <f>+AE140+AE142</f>
        <v>2683</v>
      </c>
      <c r="AF143" s="239">
        <f>AF140+AF142</f>
        <v>3846.27223</v>
      </c>
      <c r="AG143" s="239">
        <f>AG140+AG142</f>
        <v>6272.6443693563997</v>
      </c>
      <c r="AH143" s="239">
        <f>AH140+AH142</f>
        <v>8689.1363428188015</v>
      </c>
      <c r="AI143" s="239">
        <f>AI140+AI142</f>
        <v>11275.121746040362</v>
      </c>
      <c r="AJ143" s="239">
        <f>AJ140+AJ142</f>
        <v>13847.591570763208</v>
      </c>
      <c r="AK143" s="240">
        <f>AK140+AK142</f>
        <v>16359.493020214806</v>
      </c>
    </row>
    <row r="145" spans="2:37" x14ac:dyDescent="0.3">
      <c r="B145" s="96" t="s">
        <v>226</v>
      </c>
    </row>
    <row r="146" spans="2:37" x14ac:dyDescent="0.3">
      <c r="B146" t="s">
        <v>227</v>
      </c>
      <c r="L146" s="10">
        <f>L41/'DCF '!$C$23</f>
        <v>2.6151791675940353E-2</v>
      </c>
      <c r="AE146" s="10">
        <f>AE41/'DCF '!$C$23</f>
        <v>2.6151791675940353E-2</v>
      </c>
    </row>
    <row r="147" spans="2:37" x14ac:dyDescent="0.3">
      <c r="B147" t="s">
        <v>228</v>
      </c>
    </row>
    <row r="148" spans="2:37" x14ac:dyDescent="0.3">
      <c r="B148" t="s">
        <v>230</v>
      </c>
      <c r="AD148">
        <v>10273</v>
      </c>
      <c r="AE148" s="203">
        <v>10951</v>
      </c>
    </row>
    <row r="149" spans="2:37" x14ac:dyDescent="0.3">
      <c r="B149" t="s">
        <v>231</v>
      </c>
      <c r="J149" s="49"/>
      <c r="K149" s="49"/>
      <c r="AD149" s="49">
        <f>AD148/AD157</f>
        <v>2.7365476824720298</v>
      </c>
      <c r="AE149" s="49">
        <f>AE148/AE157</f>
        <v>3.069226457399103</v>
      </c>
    </row>
    <row r="150" spans="2:37" x14ac:dyDescent="0.3">
      <c r="B150" t="s">
        <v>232</v>
      </c>
      <c r="AE150" s="49">
        <f>AE30/AE70</f>
        <v>8.7872834434720493E-2</v>
      </c>
    </row>
    <row r="151" spans="2:37" x14ac:dyDescent="0.3">
      <c r="B151" t="s">
        <v>233</v>
      </c>
    </row>
    <row r="152" spans="2:37" x14ac:dyDescent="0.3">
      <c r="B152" t="s">
        <v>234</v>
      </c>
    </row>
    <row r="154" spans="2:37" x14ac:dyDescent="0.3">
      <c r="B154" s="3" t="s">
        <v>237</v>
      </c>
      <c r="J154" s="203"/>
      <c r="L154" s="203"/>
    </row>
    <row r="155" spans="2:37" x14ac:dyDescent="0.3">
      <c r="B155" t="s">
        <v>238</v>
      </c>
      <c r="C155" s="10">
        <f>C156/C157</f>
        <v>0.57676590776415648</v>
      </c>
      <c r="D155" s="10">
        <f t="shared" ref="D155:W155" si="155">D156/D157</f>
        <v>0.99409448818897639</v>
      </c>
      <c r="E155" s="10">
        <f t="shared" si="155"/>
        <v>0.73277126099706746</v>
      </c>
      <c r="F155" s="10">
        <f t="shared" si="155"/>
        <v>0.67673992673992678</v>
      </c>
      <c r="G155" s="10">
        <f t="shared" si="155"/>
        <v>0.69632164242942685</v>
      </c>
      <c r="H155" s="10">
        <f t="shared" si="155"/>
        <v>0.41430151124216735</v>
      </c>
      <c r="I155" s="10">
        <f t="shared" si="155"/>
        <v>0.89292730844793711</v>
      </c>
      <c r="J155" s="10">
        <f t="shared" si="155"/>
        <v>0.27617905675459631</v>
      </c>
      <c r="K155" s="10">
        <f t="shared" si="155"/>
        <v>0.89541918755401906</v>
      </c>
      <c r="L155" s="10">
        <f t="shared" si="155"/>
        <v>0.33032416906032008</v>
      </c>
      <c r="M155" s="10">
        <f t="shared" si="155"/>
        <v>1.3967151850469344</v>
      </c>
      <c r="N155" s="10">
        <f t="shared" si="155"/>
        <v>0.62524721939517758</v>
      </c>
      <c r="O155" s="10">
        <f t="shared" si="155"/>
        <v>0.63971463632216607</v>
      </c>
      <c r="P155" s="10">
        <f t="shared" si="155"/>
        <v>0.61851870027223743</v>
      </c>
      <c r="Q155" s="10">
        <f t="shared" si="155"/>
        <v>0.65141855189694242</v>
      </c>
      <c r="R155" s="10">
        <f t="shared" si="155"/>
        <v>0.6535045590790548</v>
      </c>
      <c r="S155" s="10">
        <f t="shared" si="155"/>
        <v>0.71017912781423209</v>
      </c>
      <c r="T155" s="10">
        <f t="shared" si="155"/>
        <v>0.6342473227362263</v>
      </c>
      <c r="U155" s="10">
        <f t="shared" si="155"/>
        <v>0.71674146708425335</v>
      </c>
      <c r="V155" s="10">
        <f t="shared" si="155"/>
        <v>0.53360257939447675</v>
      </c>
      <c r="W155" s="10">
        <f t="shared" si="155"/>
        <v>0.65363129616488669</v>
      </c>
      <c r="AC155" s="10">
        <f>AC156/AC157</f>
        <v>0.68416343572919769</v>
      </c>
      <c r="AD155" s="10">
        <f>AD156/AD157</f>
        <v>0.54155567394778903</v>
      </c>
      <c r="AE155" s="10">
        <f>AE156/AE157</f>
        <v>0.48402466367713004</v>
      </c>
      <c r="AF155" s="10">
        <f>AF156/AF157</f>
        <v>0.79960796280689117</v>
      </c>
      <c r="AG155" s="10">
        <f>AG156/AG157</f>
        <v>0.71547545341793095</v>
      </c>
      <c r="AH155" s="10">
        <f>AH156/AH157</f>
        <v>0.72044801749860121</v>
      </c>
      <c r="AI155" s="10">
        <f>AI156/AI157</f>
        <v>0.77698286657543314</v>
      </c>
      <c r="AJ155" s="10">
        <f>AJ156/AJ157</f>
        <v>0.77458874298238201</v>
      </c>
      <c r="AK155" s="10">
        <f>AK156/AK157</f>
        <v>0.67890336892678382</v>
      </c>
    </row>
    <row r="156" spans="2:37" x14ac:dyDescent="0.3">
      <c r="B156" t="s">
        <v>239</v>
      </c>
      <c r="C156" s="59">
        <f>C120</f>
        <v>988</v>
      </c>
      <c r="D156">
        <f t="shared" ref="D156:W156" si="156">D120</f>
        <v>1010</v>
      </c>
      <c r="E156">
        <f t="shared" si="156"/>
        <v>1999</v>
      </c>
      <c r="F156">
        <f t="shared" si="156"/>
        <v>1478</v>
      </c>
      <c r="G156">
        <f t="shared" si="156"/>
        <v>814</v>
      </c>
      <c r="H156" s="203">
        <f t="shared" si="156"/>
        <v>1124</v>
      </c>
      <c r="I156">
        <f t="shared" si="156"/>
        <v>909</v>
      </c>
      <c r="J156" s="203">
        <f t="shared" si="156"/>
        <v>691</v>
      </c>
      <c r="K156">
        <f t="shared" si="156"/>
        <v>1036</v>
      </c>
      <c r="L156" s="203">
        <f t="shared" si="156"/>
        <v>805</v>
      </c>
      <c r="M156">
        <f t="shared" si="156"/>
        <v>1829.7234300000002</v>
      </c>
      <c r="N156">
        <f t="shared" si="156"/>
        <v>1359.4925535600003</v>
      </c>
      <c r="O156">
        <f t="shared" si="156"/>
        <v>1084.9839347963998</v>
      </c>
      <c r="P156">
        <f t="shared" si="156"/>
        <v>1247.8293659788162</v>
      </c>
      <c r="Q156">
        <f t="shared" si="156"/>
        <v>1144.5440869535871</v>
      </c>
      <c r="R156">
        <f t="shared" si="156"/>
        <v>1218.5932041266162</v>
      </c>
      <c r="S156">
        <f t="shared" si="156"/>
        <v>1298.7541229490448</v>
      </c>
      <c r="T156">
        <f t="shared" si="156"/>
        <v>1088.1858637073115</v>
      </c>
      <c r="U156">
        <f t="shared" si="156"/>
        <v>1369.7907425852588</v>
      </c>
      <c r="V156">
        <f t="shared" si="156"/>
        <v>930.15029755648698</v>
      </c>
      <c r="W156">
        <f t="shared" si="156"/>
        <v>1420.0271369119268</v>
      </c>
      <c r="AC156">
        <f>AC120</f>
        <v>2294</v>
      </c>
      <c r="AD156">
        <f>AD120</f>
        <v>2033</v>
      </c>
      <c r="AE156">
        <f>AE120</f>
        <v>1727</v>
      </c>
      <c r="AF156">
        <f>AF120</f>
        <v>2634.72343</v>
      </c>
      <c r="AG156">
        <f>AG120</f>
        <v>2446.4764883564003</v>
      </c>
      <c r="AH156">
        <f>AH120</f>
        <v>2394.3734529324029</v>
      </c>
      <c r="AI156">
        <f>AI120</f>
        <v>2519.3473270756604</v>
      </c>
      <c r="AJ156">
        <f>AJ120</f>
        <v>2459.9766062925701</v>
      </c>
      <c r="AK156">
        <f>AK120</f>
        <v>2352.1774344684131</v>
      </c>
    </row>
    <row r="157" spans="2:37" x14ac:dyDescent="0.3">
      <c r="B157" t="s">
        <v>240</v>
      </c>
      <c r="C157" s="59">
        <f>C15+C13</f>
        <v>1713</v>
      </c>
      <c r="D157">
        <f t="shared" ref="D157:K157" si="157">D15+D13</f>
        <v>1016</v>
      </c>
      <c r="E157">
        <f t="shared" si="157"/>
        <v>2728</v>
      </c>
      <c r="F157">
        <f t="shared" si="157"/>
        <v>2184</v>
      </c>
      <c r="G157">
        <f t="shared" si="157"/>
        <v>1169</v>
      </c>
      <c r="H157" s="203">
        <f t="shared" si="157"/>
        <v>2713</v>
      </c>
      <c r="I157">
        <f t="shared" si="157"/>
        <v>1018</v>
      </c>
      <c r="J157" s="203">
        <f t="shared" si="157"/>
        <v>2502</v>
      </c>
      <c r="K157">
        <f t="shared" si="157"/>
        <v>1157</v>
      </c>
      <c r="L157" s="203">
        <f t="shared" ref="L157:W157" si="158">L14+L15+452</f>
        <v>2437</v>
      </c>
      <c r="M157">
        <f t="shared" si="158"/>
        <v>1310.0190000000002</v>
      </c>
      <c r="N157">
        <f t="shared" si="158"/>
        <v>2174.3280280000008</v>
      </c>
      <c r="O157">
        <f t="shared" si="158"/>
        <v>1696.04363132</v>
      </c>
      <c r="P157">
        <f t="shared" si="158"/>
        <v>2017.4480827008001</v>
      </c>
      <c r="Q157">
        <f t="shared" si="158"/>
        <v>1757.0025962887523</v>
      </c>
      <c r="R157">
        <f t="shared" si="158"/>
        <v>1864.7049774892271</v>
      </c>
      <c r="S157">
        <f t="shared" si="158"/>
        <v>1828.7697738263741</v>
      </c>
      <c r="T157">
        <f t="shared" si="158"/>
        <v>1715.7121909679249</v>
      </c>
      <c r="U157">
        <f t="shared" si="158"/>
        <v>1911.136449461545</v>
      </c>
      <c r="V157">
        <f t="shared" si="158"/>
        <v>1743.1518014999215</v>
      </c>
      <c r="W157">
        <f t="shared" si="158"/>
        <v>2172.5201122464418</v>
      </c>
      <c r="AC157">
        <f>AC15+AC13</f>
        <v>3353</v>
      </c>
      <c r="AD157" s="203">
        <f>AD14+AD15+406</f>
        <v>3754</v>
      </c>
      <c r="AE157" s="203">
        <f>AE14+AE15+452</f>
        <v>3568</v>
      </c>
      <c r="AF157">
        <f>AF14+AF15+452</f>
        <v>3295.0190000000002</v>
      </c>
      <c r="AG157">
        <f>AG14+AG15+452</f>
        <v>3419.3716593200006</v>
      </c>
      <c r="AH157">
        <f>AH14+AH15+452</f>
        <v>3323.4506789895522</v>
      </c>
      <c r="AI157">
        <f>AI14+AI15+452</f>
        <v>3242.4747513156008</v>
      </c>
      <c r="AJ157">
        <f>AJ14+AJ15+452</f>
        <v>3175.8486404294699</v>
      </c>
      <c r="AK157">
        <f>AK14+AK15+452</f>
        <v>3464.6719137463629</v>
      </c>
    </row>
    <row r="159" spans="2:37" x14ac:dyDescent="0.3">
      <c r="B159" s="96" t="s">
        <v>224</v>
      </c>
    </row>
    <row r="160" spans="2:37" s="49" customFormat="1" x14ac:dyDescent="0.3">
      <c r="B160" s="49" t="s">
        <v>241</v>
      </c>
      <c r="C160" s="49">
        <f t="shared" ref="C160:K160" si="159">C120+C122+C123</f>
        <v>835</v>
      </c>
      <c r="D160" s="49">
        <f t="shared" si="159"/>
        <v>793</v>
      </c>
      <c r="E160" s="49">
        <f t="shared" si="159"/>
        <v>1629</v>
      </c>
      <c r="F160" s="49">
        <f t="shared" si="159"/>
        <v>1321</v>
      </c>
      <c r="G160" s="49">
        <f t="shared" si="159"/>
        <v>490</v>
      </c>
      <c r="H160" s="49">
        <f t="shared" si="159"/>
        <v>954</v>
      </c>
      <c r="I160" s="49">
        <f t="shared" si="159"/>
        <v>477</v>
      </c>
      <c r="J160" s="49">
        <f t="shared" si="159"/>
        <v>300</v>
      </c>
      <c r="K160" s="49">
        <f t="shared" si="159"/>
        <v>662</v>
      </c>
      <c r="L160" s="49">
        <f t="shared" ref="L160:W160" si="160">L120+L122+L123</f>
        <v>440</v>
      </c>
      <c r="M160" s="49">
        <f t="shared" si="160"/>
        <v>1430.2722300000003</v>
      </c>
      <c r="N160" s="49">
        <f t="shared" si="160"/>
        <v>813.38030356000036</v>
      </c>
      <c r="O160" s="49">
        <f t="shared" si="160"/>
        <v>611.99183579639976</v>
      </c>
      <c r="P160" s="49">
        <f t="shared" si="160"/>
        <v>743.54309847881632</v>
      </c>
      <c r="Q160" s="49">
        <f t="shared" si="160"/>
        <v>672.94887498358707</v>
      </c>
      <c r="R160" s="49">
        <f t="shared" si="160"/>
        <v>757.38769860161631</v>
      </c>
      <c r="S160" s="49">
        <f t="shared" si="160"/>
        <v>828.59770461994481</v>
      </c>
      <c r="T160" s="49">
        <f t="shared" si="160"/>
        <v>671.3535430165615</v>
      </c>
      <c r="U160" s="49">
        <f t="shared" si="160"/>
        <v>901.1162817062858</v>
      </c>
      <c r="V160" s="49">
        <f t="shared" si="160"/>
        <v>559.02235724501452</v>
      </c>
      <c r="W160" s="49">
        <f t="shared" si="160"/>
        <v>952.87909220658457</v>
      </c>
      <c r="AC160" s="49">
        <f>AC120+AC122+AC123</f>
        <v>1813</v>
      </c>
      <c r="AD160" s="49">
        <f>AD120+AD122+AD123</f>
        <v>1431</v>
      </c>
      <c r="AE160" s="49">
        <f>AE120+AE122+AE123</f>
        <v>962</v>
      </c>
      <c r="AF160" s="49">
        <f>AF120+AF122+AF123</f>
        <v>1870.27223</v>
      </c>
      <c r="AG160" s="49">
        <f>AG120+AG122+AG123</f>
        <v>1427.3721393564003</v>
      </c>
      <c r="AH160" s="49">
        <f>AH120+AH122+AH123</f>
        <v>1418.4919734624029</v>
      </c>
      <c r="AI160" s="49">
        <f>AI120+AI122+AI123</f>
        <v>1587.9854032215603</v>
      </c>
      <c r="AJ160" s="49">
        <f>AJ120+AJ122+AJ123</f>
        <v>1574.4698247228471</v>
      </c>
      <c r="AK160" s="49">
        <f>AK120+AK122+AK123</f>
        <v>1513.9014494515984</v>
      </c>
    </row>
    <row r="161" spans="2:31" x14ac:dyDescent="0.3">
      <c r="B161" t="s">
        <v>225</v>
      </c>
    </row>
    <row r="162" spans="2:31" x14ac:dyDescent="0.3">
      <c r="B162" t="s">
        <v>229</v>
      </c>
    </row>
    <row r="163" spans="2:31" x14ac:dyDescent="0.3">
      <c r="B163" t="s">
        <v>242</v>
      </c>
      <c r="C163" s="10">
        <f t="shared" ref="C163:K163" si="161">C120/(C15+C13)</f>
        <v>0.57676590776415648</v>
      </c>
      <c r="D163" s="10">
        <f t="shared" si="161"/>
        <v>0.99409448818897639</v>
      </c>
      <c r="E163" s="10">
        <f t="shared" si="161"/>
        <v>0.73277126099706746</v>
      </c>
      <c r="F163" s="10">
        <f t="shared" si="161"/>
        <v>0.67673992673992678</v>
      </c>
      <c r="G163" s="10">
        <f t="shared" si="161"/>
        <v>0.69632164242942685</v>
      </c>
      <c r="H163" s="10">
        <f t="shared" si="161"/>
        <v>0.41430151124216735</v>
      </c>
      <c r="I163" s="10">
        <f t="shared" si="161"/>
        <v>0.89292730844793711</v>
      </c>
      <c r="J163" s="10">
        <f t="shared" si="161"/>
        <v>0.27617905675459631</v>
      </c>
      <c r="K163" s="10">
        <f t="shared" si="161"/>
        <v>0.89541918755401906</v>
      </c>
      <c r="L163" s="10">
        <f>L120/(L15+L13)</f>
        <v>0.38187855787476283</v>
      </c>
      <c r="AC163" s="10">
        <f>AC120/(AC15+AC13)</f>
        <v>0.68416343572919769</v>
      </c>
      <c r="AD163" s="10">
        <f>AD120/(AD15+AD13)</f>
        <v>0.54474812433011788</v>
      </c>
      <c r="AE163" s="10">
        <f>AE120/(AE15+AE13)</f>
        <v>0.4719868816616562</v>
      </c>
    </row>
  </sheetData>
  <pageMargins left="0.7" right="0.7" top="0.75" bottom="0.75" header="0.3" footer="0.3"/>
  <pageSetup orientation="portrait" r:id="rId1"/>
  <legacyDrawing r:id="rId2"/>
  <extLst>
    <ext xmlns:x14="http://schemas.microsoft.com/office/spreadsheetml/2009/9/main" uri="{05C60535-1F16-4fd2-B633-F4F36F0B64E0}">
      <x14:sparklineGroups xmlns:xm="http://schemas.microsoft.com/office/excel/2006/main">
        <x14:sparklineGroup displayEmptyCellsAs="gap" xr2:uid="{A36DBAEC-6431-4A6F-A4D4-CA68AD8971A7}">
          <x14:colorSeries rgb="FF376092"/>
          <x14:colorNegative rgb="FFD00000"/>
          <x14:colorAxis rgb="FF000000"/>
          <x14:colorMarkers rgb="FFD00000"/>
          <x14:colorFirst rgb="FFD00000"/>
          <x14:colorLast rgb="FFD00000"/>
          <x14:colorHigh rgb="FFD00000"/>
          <x14:colorLow rgb="FFD00000"/>
          <x14:sparklines>
            <x14:sparkline>
              <xm:f>'Financial Statements'!AC143:AK143</xm:f>
              <xm:sqref>AM143</xm:sqref>
            </x14:sparkline>
          </x14:sparklines>
        </x14:sparklineGroup>
        <x14:sparklineGroup displayEmptyCellsAs="gap" xr2:uid="{A7AC53BC-CD80-4690-8B37-98148CCD30D9}">
          <x14:colorSeries rgb="FF376092"/>
          <x14:colorNegative rgb="FFD00000"/>
          <x14:colorAxis rgb="FF000000"/>
          <x14:colorMarkers rgb="FFD00000"/>
          <x14:colorFirst rgb="FFD00000"/>
          <x14:colorLast rgb="FFD00000"/>
          <x14:colorHigh rgb="FFD00000"/>
          <x14:colorLow rgb="FFD00000"/>
          <x14:sparklines>
            <x14:sparkline>
              <xm:f>'Financial Statements'!AC140:AK140</xm:f>
              <xm:sqref>AM140</xm:sqref>
            </x14:sparkline>
          </x14:sparklines>
        </x14:sparklineGroup>
        <x14:sparklineGroup displayEmptyCellsAs="gap" xr2:uid="{AA1B4617-8D91-4881-99E3-7E3A90ECF678}">
          <x14:colorSeries rgb="FF376092"/>
          <x14:colorNegative rgb="FFD00000"/>
          <x14:colorAxis rgb="FF000000"/>
          <x14:colorMarkers rgb="FFD00000"/>
          <x14:colorFirst rgb="FFD00000"/>
          <x14:colorLast rgb="FFD00000"/>
          <x14:colorHigh rgb="FFD00000"/>
          <x14:colorLow rgb="FFD00000"/>
          <x14:sparklines>
            <x14:sparkline>
              <xm:f>'Financial Statements'!AC136:AK136</xm:f>
              <xm:sqref>AM136</xm:sqref>
            </x14:sparkline>
          </x14:sparklines>
        </x14:sparklineGroup>
        <x14:sparklineGroup displayEmptyCellsAs="gap" xr2:uid="{9C363E7A-898C-44DA-9752-31E557FFC908}">
          <x14:colorSeries rgb="FF376092"/>
          <x14:colorNegative rgb="FFD00000"/>
          <x14:colorAxis rgb="FF000000"/>
          <x14:colorMarkers rgb="FFD00000"/>
          <x14:colorFirst rgb="FFD00000"/>
          <x14:colorLast rgb="FFD00000"/>
          <x14:colorHigh rgb="FFD00000"/>
          <x14:colorLow rgb="FFD00000"/>
          <x14:sparklines>
            <x14:sparkline>
              <xm:f>'Financial Statements'!AC127:AK127</xm:f>
              <xm:sqref>AM127</xm:sqref>
            </x14:sparkline>
          </x14:sparklines>
        </x14:sparklineGroup>
        <x14:sparklineGroup displayEmptyCellsAs="gap" xr2:uid="{E9536D65-5466-4C25-90C8-0065938027ED}">
          <x14:colorSeries rgb="FF376092"/>
          <x14:colorNegative rgb="FFD00000"/>
          <x14:colorAxis rgb="FF000000"/>
          <x14:colorMarkers rgb="FFD00000"/>
          <x14:colorFirst rgb="FFD00000"/>
          <x14:colorLast rgb="FFD00000"/>
          <x14:colorHigh rgb="FFD00000"/>
          <x14:colorLow rgb="FFD00000"/>
          <x14:sparklines>
            <x14:sparkline>
              <xm:f>'Financial Statements'!AC120:AK120</xm:f>
              <xm:sqref>AM120</xm:sqref>
            </x14:sparkline>
          </x14:sparklines>
        </x14:sparklineGroup>
        <x14:sparklineGroup displayEmptyCellsAs="gap" xr2:uid="{5E2F0FFC-0AC5-44CF-8A03-7AE007DA6BEC}">
          <x14:colorSeries rgb="FF376092"/>
          <x14:colorNegative rgb="FFD00000"/>
          <x14:colorAxis rgb="FF000000"/>
          <x14:colorMarkers rgb="FFD00000"/>
          <x14:colorFirst rgb="FFD00000"/>
          <x14:colorLast rgb="FFD00000"/>
          <x14:colorHigh rgb="FFD00000"/>
          <x14:colorLow rgb="FFD00000"/>
          <x14:sparklines>
            <x14:sparkline>
              <xm:f>'Financial Statements'!AC115:AK115</xm:f>
              <xm:sqref>AM115</xm:sqref>
            </x14:sparkline>
          </x14:sparklines>
        </x14:sparklineGroup>
        <x14:sparklineGroup displayEmptyCellsAs="gap" xr2:uid="{FA4DC8A6-5383-4AE3-A518-C4E34E56A96F}">
          <x14:colorSeries rgb="FF376092"/>
          <x14:colorNegative rgb="FFD00000"/>
          <x14:colorAxis rgb="FF000000"/>
          <x14:colorMarkers rgb="FFD00000"/>
          <x14:colorFirst rgb="FFD00000"/>
          <x14:colorLast rgb="FFD00000"/>
          <x14:colorHigh rgb="FFD00000"/>
          <x14:colorLow rgb="FFD00000"/>
          <x14:sparklines>
            <x14:sparkline>
              <xm:f>'Financial Statements'!AC109:AK109</xm:f>
              <xm:sqref>AM109</xm:sqref>
            </x14:sparkline>
          </x14:sparklines>
        </x14:sparklineGroup>
        <x14:sparklineGroup displayEmptyCellsAs="gap" xr2:uid="{5A97D6C6-ED47-4C86-BAD6-E7EDB8404591}">
          <x14:colorSeries rgb="FF376092"/>
          <x14:colorNegative rgb="FFD00000"/>
          <x14:colorAxis rgb="FF000000"/>
          <x14:colorMarkers rgb="FFD00000"/>
          <x14:colorFirst rgb="FFD00000"/>
          <x14:colorLast rgb="FFD00000"/>
          <x14:colorHigh rgb="FFD00000"/>
          <x14:colorLow rgb="FFD00000"/>
          <x14:sparklines>
            <x14:sparkline>
              <xm:f>'Financial Statements'!AC81:AK81</xm:f>
              <xm:sqref>AM81</xm:sqref>
            </x14:sparkline>
            <x14:sparkline>
              <xm:f>'Financial Statements'!AC82:AK82</xm:f>
              <xm:sqref>AM82</xm:sqref>
            </x14:sparkline>
            <x14:sparkline>
              <xm:f>'Financial Statements'!AC83:AK83</xm:f>
              <xm:sqref>AM83</xm:sqref>
            </x14:sparkline>
            <x14:sparkline>
              <xm:f>'Financial Statements'!AC84:AK84</xm:f>
              <xm:sqref>AM84</xm:sqref>
            </x14:sparkline>
            <x14:sparkline>
              <xm:f>'Financial Statements'!AC85:AK85</xm:f>
              <xm:sqref>AM85</xm:sqref>
            </x14:sparkline>
            <x14:sparkline>
              <xm:f>'Financial Statements'!AC86:AK86</xm:f>
              <xm:sqref>AM86</xm:sqref>
            </x14:sparkline>
            <x14:sparkline>
              <xm:f>'Financial Statements'!AC87:AK87</xm:f>
              <xm:sqref>AM87</xm:sqref>
            </x14:sparkline>
            <x14:sparkline>
              <xm:f>'Financial Statements'!AC88:AK88</xm:f>
              <xm:sqref>AM88</xm:sqref>
            </x14:sparkline>
            <x14:sparkline>
              <xm:f>'Financial Statements'!AC89:AK89</xm:f>
              <xm:sqref>AM89</xm:sqref>
            </x14:sparkline>
            <x14:sparkline>
              <xm:f>'Financial Statements'!AC90:AK90</xm:f>
              <xm:sqref>AM90</xm:sqref>
            </x14:sparkline>
            <x14:sparkline>
              <xm:f>'Financial Statements'!AC91:AK91</xm:f>
              <xm:sqref>AM91</xm:sqref>
            </x14:sparkline>
          </x14:sparklines>
        </x14:sparklineGroup>
        <x14:sparklineGroup displayEmptyCellsAs="gap" xr2:uid="{A528BCBD-2D34-4CCC-9C4A-8B679ED57035}">
          <x14:colorSeries rgb="FF376092"/>
          <x14:colorNegative rgb="FFD00000"/>
          <x14:colorAxis rgb="FF000000"/>
          <x14:colorMarkers rgb="FFD00000"/>
          <x14:colorFirst rgb="FFD00000"/>
          <x14:colorLast rgb="FFD00000"/>
          <x14:colorHigh rgb="FFD00000"/>
          <x14:colorLow rgb="FFD00000"/>
          <x14:sparklines>
            <x14:sparkline>
              <xm:f>'Financial Statements'!AC72:AK72</xm:f>
              <xm:sqref>AM72</xm:sqref>
            </x14:sparkline>
            <x14:sparkline>
              <xm:f>'Financial Statements'!AC73:AK73</xm:f>
              <xm:sqref>AM73</xm:sqref>
            </x14:sparkline>
            <x14:sparkline>
              <xm:f>'Financial Statements'!AC74:AK74</xm:f>
              <xm:sqref>AM74</xm:sqref>
            </x14:sparkline>
            <x14:sparkline>
              <xm:f>'Financial Statements'!AC75:AK75</xm:f>
              <xm:sqref>AM75</xm:sqref>
            </x14:sparkline>
            <x14:sparkline>
              <xm:f>'Financial Statements'!AC76:AK76</xm:f>
              <xm:sqref>AM76</xm:sqref>
            </x14:sparkline>
            <x14:sparkline>
              <xm:f>'Financial Statements'!AC77:AK77</xm:f>
              <xm:sqref>AM77</xm:sqref>
            </x14:sparkline>
            <x14:sparkline>
              <xm:f>'Financial Statements'!AC78:AK78</xm:f>
              <xm:sqref>AM78</xm:sqref>
            </x14:sparkline>
            <x14:sparkline>
              <xm:f>'Financial Statements'!AC79:AK79</xm:f>
              <xm:sqref>AM79</xm:sqref>
            </x14:sparkline>
          </x14:sparklines>
        </x14:sparklineGroup>
        <x14:sparklineGroup displayEmptyCellsAs="gap" xr2:uid="{86FCADF2-4510-4E0B-B8A1-FE0001E0CBCC}">
          <x14:colorSeries rgb="FF376092"/>
          <x14:colorNegative rgb="FFD00000"/>
          <x14:colorAxis rgb="FF000000"/>
          <x14:colorMarkers rgb="FFD00000"/>
          <x14:colorFirst rgb="FFD00000"/>
          <x14:colorLast rgb="FFD00000"/>
          <x14:colorHigh rgb="FFD00000"/>
          <x14:colorLow rgb="FFD00000"/>
          <x14:sparklines>
            <x14:sparkline>
              <xm:f>'Financial Statements'!AC64:AK64</xm:f>
              <xm:sqref>AM64</xm:sqref>
            </x14:sparkline>
            <x14:sparkline>
              <xm:f>'Financial Statements'!AC65:AK65</xm:f>
              <xm:sqref>AM65</xm:sqref>
            </x14:sparkline>
            <x14:sparkline>
              <xm:f>'Financial Statements'!AC66:AK66</xm:f>
              <xm:sqref>AM66</xm:sqref>
            </x14:sparkline>
            <x14:sparkline>
              <xm:f>'Financial Statements'!AC67:AK67</xm:f>
              <xm:sqref>AM67</xm:sqref>
            </x14:sparkline>
            <x14:sparkline>
              <xm:f>'Financial Statements'!AC68:AK68</xm:f>
              <xm:sqref>AM68</xm:sqref>
            </x14:sparkline>
            <x14:sparkline>
              <xm:f>'Financial Statements'!AC69:AK69</xm:f>
              <xm:sqref>AM69</xm:sqref>
            </x14:sparkline>
            <x14:sparkline>
              <xm:f>'Financial Statements'!AC70:AK70</xm:f>
              <xm:sqref>AM70</xm:sqref>
            </x14:sparkline>
          </x14:sparklines>
        </x14:sparklineGroup>
        <x14:sparklineGroup displayEmptyCellsAs="gap" xr2:uid="{E7922E7C-865A-4204-B8D6-D51B80FE603F}">
          <x14:colorSeries rgb="FF376092"/>
          <x14:colorNegative rgb="FFD00000"/>
          <x14:colorAxis rgb="FF000000"/>
          <x14:colorMarkers rgb="FFD00000"/>
          <x14:colorFirst rgb="FFD00000"/>
          <x14:colorLast rgb="FFD00000"/>
          <x14:colorHigh rgb="FFD00000"/>
          <x14:colorLow rgb="FFD00000"/>
          <x14:sparklines>
            <x14:sparkline>
              <xm:f>'Financial Statements'!AC54:AK54</xm:f>
              <xm:sqref>AM54</xm:sqref>
            </x14:sparkline>
            <x14:sparkline>
              <xm:f>'Financial Statements'!AC55:AK55</xm:f>
              <xm:sqref>AM55</xm:sqref>
            </x14:sparkline>
            <x14:sparkline>
              <xm:f>'Financial Statements'!AC56:AK56</xm:f>
              <xm:sqref>AM56</xm:sqref>
            </x14:sparkline>
            <x14:sparkline>
              <xm:f>'Financial Statements'!AC57:AK57</xm:f>
              <xm:sqref>AM57</xm:sqref>
            </x14:sparkline>
            <x14:sparkline>
              <xm:f>'Financial Statements'!AC58:AK58</xm:f>
              <xm:sqref>AM58</xm:sqref>
            </x14:sparkline>
            <x14:sparkline>
              <xm:f>'Financial Statements'!AC59:AK59</xm:f>
              <xm:sqref>AM59</xm:sqref>
            </x14:sparkline>
            <x14:sparkline>
              <xm:f>'Financial Statements'!AC60:AK60</xm:f>
              <xm:sqref>AM60</xm:sqref>
            </x14:sparkline>
            <x14:sparkline>
              <xm:f>'Financial Statements'!AC61:AK61</xm:f>
              <xm:sqref>AM61</xm:sqref>
            </x14:sparkline>
            <x14:sparkline>
              <xm:f>'Financial Statements'!AC62:AK62</xm:f>
              <xm:sqref>AM62</xm:sqref>
            </x14:sparkline>
          </x14:sparklines>
        </x14:sparklineGroup>
        <x14:sparklineGroup displayEmptyCellsAs="gap" xr2:uid="{7EAFD18E-E4F4-4137-9351-3BD1B1D89760}">
          <x14:colorSeries rgb="FF376092"/>
          <x14:colorNegative rgb="FFD00000"/>
          <x14:colorAxis rgb="FF000000"/>
          <x14:colorMarkers rgb="FFD00000"/>
          <x14:colorFirst rgb="FFD00000"/>
          <x14:colorLast rgb="FFD00000"/>
          <x14:colorHigh rgb="FFD00000"/>
          <x14:colorLow rgb="FFD00000"/>
          <x14:sparklines>
            <x14:sparkline>
              <xm:f>'Financial Statements'!AC4:AK4</xm:f>
              <xm:sqref>AM4</xm:sqref>
            </x14:sparkline>
            <x14:sparkline>
              <xm:f>'Financial Statements'!AC5:AK5</xm:f>
              <xm:sqref>AM5</xm:sqref>
            </x14:sparkline>
            <x14:sparkline>
              <xm:f>'Financial Statements'!AC6:AK6</xm:f>
              <xm:sqref>AM6</xm:sqref>
            </x14:sparkline>
            <x14:sparkline>
              <xm:f>'Financial Statements'!AC7:AK7</xm:f>
              <xm:sqref>AM7</xm:sqref>
            </x14:sparkline>
            <x14:sparkline>
              <xm:f>'Financial Statements'!AC8:AK8</xm:f>
              <xm:sqref>AM8</xm:sqref>
            </x14:sparkline>
            <x14:sparkline>
              <xm:f>'Financial Statements'!AC9:AK9</xm:f>
              <xm:sqref>AM9</xm:sqref>
            </x14:sparkline>
            <x14:sparkline>
              <xm:f>'Financial Statements'!AC10:AK10</xm:f>
              <xm:sqref>AM10</xm:sqref>
            </x14:sparkline>
            <x14:sparkline>
              <xm:f>'Financial Statements'!AC11:AK11</xm:f>
              <xm:sqref>AM11</xm:sqref>
            </x14:sparkline>
            <x14:sparkline>
              <xm:f>'Financial Statements'!AC12:AK12</xm:f>
              <xm:sqref>AM12</xm:sqref>
            </x14:sparkline>
            <x14:sparkline>
              <xm:f>'Financial Statements'!AC13:AK13</xm:f>
              <xm:sqref>AM13</xm:sqref>
            </x14:sparkline>
            <x14:sparkline>
              <xm:f>'Financial Statements'!AC14:AK14</xm:f>
              <xm:sqref>AM14</xm:sqref>
            </x14:sparkline>
            <x14:sparkline>
              <xm:f>'Financial Statements'!AC15:AK15</xm:f>
              <xm:sqref>AM15</xm:sqref>
            </x14:sparkline>
            <x14:sparkline>
              <xm:f>'Financial Statements'!AC16:AK16</xm:f>
              <xm:sqref>AM16</xm:sqref>
            </x14:sparkline>
            <x14:sparkline>
              <xm:f>'Financial Statements'!AC17:AK17</xm:f>
              <xm:sqref>AM17</xm:sqref>
            </x14:sparkline>
            <x14:sparkline>
              <xm:f>'Financial Statements'!AC18:AK18</xm:f>
              <xm:sqref>AM18</xm:sqref>
            </x14:sparkline>
            <x14:sparkline>
              <xm:f>'Financial Statements'!AC19:AK19</xm:f>
              <xm:sqref>AM19</xm:sqref>
            </x14:sparkline>
            <x14:sparkline>
              <xm:f>'Financial Statements'!AC20:AK20</xm:f>
              <xm:sqref>AM20</xm:sqref>
            </x14:sparkline>
            <x14:sparkline>
              <xm:f>'Financial Statements'!AC21:AK21</xm:f>
              <xm:sqref>AM21</xm:sqref>
            </x14:sparkline>
            <x14:sparkline>
              <xm:f>'Financial Statements'!AC22:AK22</xm:f>
              <xm:sqref>AM22</xm:sqref>
            </x14:sparkline>
            <x14:sparkline>
              <xm:f>'Financial Statements'!AC23:AK23</xm:f>
              <xm:sqref>AM23</xm:sqref>
            </x14:sparkline>
            <x14:sparkline>
              <xm:f>'Financial Statements'!AC24:AK24</xm:f>
              <xm:sqref>AM24</xm:sqref>
            </x14:sparkline>
            <x14:sparkline>
              <xm:f>'Financial Statements'!AC25:AK25</xm:f>
              <xm:sqref>AM25</xm:sqref>
            </x14:sparkline>
            <x14:sparkline>
              <xm:f>'Financial Statements'!AC26:AK26</xm:f>
              <xm:sqref>AM26</xm:sqref>
            </x14:sparkline>
            <x14:sparkline>
              <xm:f>'Financial Statements'!AC27:AK27</xm:f>
              <xm:sqref>AM27</xm:sqref>
            </x14:sparkline>
            <x14:sparkline>
              <xm:f>'Financial Statements'!AC28:AK28</xm:f>
              <xm:sqref>AM28</xm:sqref>
            </x14:sparkline>
            <x14:sparkline>
              <xm:f>'Financial Statements'!AC29:AK29</xm:f>
              <xm:sqref>AM29</xm:sqref>
            </x14:sparkline>
            <x14:sparkline>
              <xm:f>'Financial Statements'!AC30:AK30</xm:f>
              <xm:sqref>AM30</xm:sqref>
            </x14:sparkline>
            <x14:sparkline>
              <xm:f>'Financial Statements'!AC31:AK31</xm:f>
              <xm:sqref>AM31</xm:sqref>
            </x14:sparkline>
            <x14:sparkline>
              <xm:f>'Financial Statements'!AC32:AK32</xm:f>
              <xm:sqref>AM32</xm:sqref>
            </x14:sparkline>
            <x14:sparkline>
              <xm:f>'Financial Statements'!AC33:AK33</xm:f>
              <xm:sqref>AM33</xm:sqref>
            </x14:sparkline>
            <x14:sparkline>
              <xm:f>'Financial Statements'!AC34:AK34</xm:f>
              <xm:sqref>AM34</xm:sqref>
            </x14:sparkline>
            <x14:sparkline>
              <xm:f>'Financial Statements'!AC35:AK35</xm:f>
              <xm:sqref>AM35</xm:sqref>
            </x14:sparkline>
            <x14:sparkline>
              <xm:f>'Financial Statements'!AC36:AK36</xm:f>
              <xm:sqref>AM36</xm:sqref>
            </x14:sparkline>
            <x14:sparkline>
              <xm:f>'Financial Statements'!AC37:AK37</xm:f>
              <xm:sqref>AM37</xm:sqref>
            </x14:sparkline>
            <x14:sparkline>
              <xm:f>'Financial Statements'!AC38:AK38</xm:f>
              <xm:sqref>AM38</xm:sqref>
            </x14:sparkline>
          </x14:sparklines>
        </x14:sparklineGroup>
        <x14:sparklineGroup displayEmptyCellsAs="gap" xr2:uid="{CE152CCA-8EE1-4566-BDD9-9E136671F704}">
          <x14:colorSeries rgb="FF376092"/>
          <x14:colorNegative rgb="FFD00000"/>
          <x14:colorAxis rgb="FF000000"/>
          <x14:colorMarkers rgb="FFD00000"/>
          <x14:colorFirst rgb="FFD00000"/>
          <x14:colorLast rgb="FFD00000"/>
          <x14:colorHigh rgb="FFD00000"/>
          <x14:colorLow rgb="FFD00000"/>
          <x14:sparklines>
            <x14:sparkline>
              <xm:f>'Financial Statements'!AC45:AK45</xm:f>
              <xm:sqref>AM45</xm:sqref>
            </x14:sparkline>
            <x14:sparkline>
              <xm:f>'Financial Statements'!AC46:AK46</xm:f>
              <xm:sqref>AM46</xm:sqref>
            </x14:sparkline>
            <x14:sparkline>
              <xm:f>'Financial Statements'!AC47:AK47</xm:f>
              <xm:sqref>AM47</xm:sqref>
            </x14:sparkline>
            <x14:sparkline>
              <xm:f>'Financial Statements'!AC48:AK48</xm:f>
              <xm:sqref>AM48</xm:sqref>
            </x14:sparkline>
            <x14:sparkline>
              <xm:f>'Financial Statements'!AC49:AK49</xm:f>
              <xm:sqref>AM49</xm:sqref>
            </x14:sparkline>
            <x14:sparkline>
              <xm:f>'Financial Statements'!AC50:AK50</xm:f>
              <xm:sqref>AM50</xm:sqref>
            </x14:sparkline>
            <x14:sparkline>
              <xm:f>'Financial Statements'!AC51:AK51</xm:f>
              <xm:sqref>AM51</xm:sqref>
            </x14:sparkline>
            <x14:sparkline>
              <xm:f>'Financial Statements'!AC52:AK52</xm:f>
              <xm:sqref>AM52</xm:sqref>
            </x14:sparkline>
          </x14:sparklines>
        </x14:sparklineGroup>
        <x14:sparklineGroup displayEmptyCellsAs="gap" xr2:uid="{FFAEB7F7-0987-419D-BA47-EB72AE9982ED}">
          <x14:colorSeries rgb="FF376092"/>
          <x14:colorNegative rgb="FFD00000"/>
          <x14:colorAxis rgb="FF000000"/>
          <x14:colorMarkers rgb="FFD00000"/>
          <x14:colorFirst rgb="FFD00000"/>
          <x14:colorLast rgb="FFD00000"/>
          <x14:colorHigh rgb="FFD00000"/>
          <x14:colorLow rgb="FFD00000"/>
          <x14:sparklines>
            <x14:sparkline>
              <xm:f>'Financial Statements'!F142:W142</xm:f>
              <xm:sqref>Y142</xm:sqref>
            </x14:sparkline>
            <x14:sparkline>
              <xm:f>'Financial Statements'!F143:W143</xm:f>
              <xm:sqref>Y143</xm:sqref>
            </x14:sparkline>
          </x14:sparklines>
        </x14:sparklineGroup>
        <x14:sparklineGroup displayEmptyCellsAs="gap" xr2:uid="{14C9A641-B88F-42C1-8BE0-86BB0212E1CC}">
          <x14:colorSeries rgb="FF376092"/>
          <x14:colorNegative rgb="FFD00000"/>
          <x14:colorAxis rgb="FF000000"/>
          <x14:colorMarkers rgb="FFD00000"/>
          <x14:colorFirst rgb="FFD00000"/>
          <x14:colorLast rgb="FFD00000"/>
          <x14:colorHigh rgb="FFD00000"/>
          <x14:colorLow rgb="FFD00000"/>
          <x14:sparklines>
            <x14:sparkline>
              <xm:f>'Financial Statements'!F140:W140</xm:f>
              <xm:sqref>Y140</xm:sqref>
            </x14:sparkline>
          </x14:sparklines>
        </x14:sparklineGroup>
        <x14:sparklineGroup displayEmptyCellsAs="gap" xr2:uid="{C5710D80-B87F-4592-B47C-85198C804A6B}">
          <x14:colorSeries rgb="FF376092"/>
          <x14:colorNegative rgb="FFD00000"/>
          <x14:colorAxis rgb="FF000000"/>
          <x14:colorMarkers rgb="FFD00000"/>
          <x14:colorFirst rgb="FFD00000"/>
          <x14:colorLast rgb="FFD00000"/>
          <x14:colorHigh rgb="FFD00000"/>
          <x14:colorLow rgb="FFD00000"/>
          <x14:sparklines>
            <x14:sparkline>
              <xm:f>'Financial Statements'!F136:W136</xm:f>
              <xm:sqref>Y136</xm:sqref>
            </x14:sparkline>
          </x14:sparklines>
        </x14:sparklineGroup>
        <x14:sparklineGroup displayEmptyCellsAs="gap" xr2:uid="{B3B01998-993F-43A0-8887-081BF914B559}">
          <x14:colorSeries rgb="FF376092"/>
          <x14:colorNegative rgb="FFD00000"/>
          <x14:colorAxis rgb="FF000000"/>
          <x14:colorMarkers rgb="FFD00000"/>
          <x14:colorFirst rgb="FFD00000"/>
          <x14:colorLast rgb="FFD00000"/>
          <x14:colorHigh rgb="FFD00000"/>
          <x14:colorLow rgb="FFD00000"/>
          <x14:sparklines>
            <x14:sparkline>
              <xm:f>'Financial Statements'!F131:W131</xm:f>
              <xm:sqref>Y131</xm:sqref>
            </x14:sparkline>
            <x14:sparkline>
              <xm:f>'Financial Statements'!F132:W132</xm:f>
              <xm:sqref>Y132</xm:sqref>
            </x14:sparkline>
          </x14:sparklines>
        </x14:sparklineGroup>
        <x14:sparklineGroup displayEmptyCellsAs="gap" xr2:uid="{33C5AC00-FBC0-4BCD-A270-76CE0806E2AE}">
          <x14:colorSeries rgb="FF376092"/>
          <x14:colorNegative rgb="FFD00000"/>
          <x14:colorAxis rgb="FF000000"/>
          <x14:colorMarkers rgb="FFD00000"/>
          <x14:colorFirst rgb="FFD00000"/>
          <x14:colorLast rgb="FFD00000"/>
          <x14:colorHigh rgb="FFD00000"/>
          <x14:colorLow rgb="FFD00000"/>
          <x14:sparklines>
            <x14:sparkline>
              <xm:f>'Financial Statements'!F127:W127</xm:f>
              <xm:sqref>Y127</xm:sqref>
            </x14:sparkline>
          </x14:sparklines>
        </x14:sparklineGroup>
        <x14:sparklineGroup displayEmptyCellsAs="gap" xr2:uid="{F0E06161-FD69-45A1-B4E0-62ADD5678A4D}">
          <x14:colorSeries rgb="FF376092"/>
          <x14:colorNegative rgb="FFD00000"/>
          <x14:colorAxis rgb="FF000000"/>
          <x14:colorMarkers rgb="FFD00000"/>
          <x14:colorFirst rgb="FFD00000"/>
          <x14:colorLast rgb="FFD00000"/>
          <x14:colorHigh rgb="FFD00000"/>
          <x14:colorLow rgb="FFD00000"/>
          <x14:sparklines>
            <x14:sparkline>
              <xm:f>'Financial Statements'!F122:W122</xm:f>
              <xm:sqref>Y122</xm:sqref>
            </x14:sparkline>
          </x14:sparklines>
        </x14:sparklineGroup>
        <x14:sparklineGroup displayEmptyCellsAs="gap" xr2:uid="{DE0F54FC-7D9E-4B23-8F1E-2512512FACD4}">
          <x14:colorSeries rgb="FF376092"/>
          <x14:colorNegative rgb="FFD00000"/>
          <x14:colorAxis rgb="FF000000"/>
          <x14:colorMarkers rgb="FFD00000"/>
          <x14:colorFirst rgb="FFD00000"/>
          <x14:colorLast rgb="FFD00000"/>
          <x14:colorHigh rgb="FFD00000"/>
          <x14:colorLow rgb="FFD00000"/>
          <x14:sparklines>
            <x14:sparkline>
              <xm:f>'Financial Statements'!F96:W96</xm:f>
              <xm:sqref>Y96</xm:sqref>
            </x14:sparkline>
            <x14:sparkline>
              <xm:f>'Financial Statements'!F97:W97</xm:f>
              <xm:sqref>Y97</xm:sqref>
            </x14:sparkline>
            <x14:sparkline>
              <xm:f>'Financial Statements'!F98:W98</xm:f>
              <xm:sqref>Y98</xm:sqref>
            </x14:sparkline>
            <x14:sparkline>
              <xm:f>'Financial Statements'!F99:W99</xm:f>
              <xm:sqref>Y99</xm:sqref>
            </x14:sparkline>
            <x14:sparkline>
              <xm:f>'Financial Statements'!F100:W100</xm:f>
              <xm:sqref>Y100</xm:sqref>
            </x14:sparkline>
            <x14:sparkline>
              <xm:f>'Financial Statements'!F101:W101</xm:f>
              <xm:sqref>Y101</xm:sqref>
            </x14:sparkline>
            <x14:sparkline>
              <xm:f>'Financial Statements'!F102:W102</xm:f>
              <xm:sqref>Y102</xm:sqref>
            </x14:sparkline>
            <x14:sparkline>
              <xm:f>'Financial Statements'!F103:W103</xm:f>
              <xm:sqref>Y103</xm:sqref>
            </x14:sparkline>
            <x14:sparkline>
              <xm:f>'Financial Statements'!F104:W104</xm:f>
              <xm:sqref>Y104</xm:sqref>
            </x14:sparkline>
            <x14:sparkline>
              <xm:f>'Financial Statements'!F105:W105</xm:f>
              <xm:sqref>Y105</xm:sqref>
            </x14:sparkline>
            <x14:sparkline>
              <xm:f>'Financial Statements'!F106:W106</xm:f>
              <xm:sqref>Y106</xm:sqref>
            </x14:sparkline>
            <x14:sparkline>
              <xm:f>'Financial Statements'!F107:W107</xm:f>
              <xm:sqref>Y107</xm:sqref>
            </x14:sparkline>
            <x14:sparkline>
              <xm:f>'Financial Statements'!F108:W108</xm:f>
              <xm:sqref>Y108</xm:sqref>
            </x14:sparkline>
            <x14:sparkline>
              <xm:f>'Financial Statements'!F109:W109</xm:f>
              <xm:sqref>Y109</xm:sqref>
            </x14:sparkline>
            <x14:sparkline>
              <xm:f>'Financial Statements'!F110:W110</xm:f>
              <xm:sqref>Y110</xm:sqref>
            </x14:sparkline>
            <x14:sparkline>
              <xm:f>'Financial Statements'!F111:W111</xm:f>
              <xm:sqref>Y111</xm:sqref>
            </x14:sparkline>
            <x14:sparkline>
              <xm:f>'Financial Statements'!F112:W112</xm:f>
              <xm:sqref>Y112</xm:sqref>
            </x14:sparkline>
            <x14:sparkline>
              <xm:f>'Financial Statements'!F113:W113</xm:f>
              <xm:sqref>Y113</xm:sqref>
            </x14:sparkline>
            <x14:sparkline>
              <xm:f>'Financial Statements'!F114:W114</xm:f>
              <xm:sqref>Y114</xm:sqref>
            </x14:sparkline>
            <x14:sparkline>
              <xm:f>'Financial Statements'!F115:W115</xm:f>
              <xm:sqref>Y115</xm:sqref>
            </x14:sparkline>
            <x14:sparkline>
              <xm:f>'Financial Statements'!F116:W116</xm:f>
              <xm:sqref>Y116</xm:sqref>
            </x14:sparkline>
            <x14:sparkline>
              <xm:f>'Financial Statements'!F117:W117</xm:f>
              <xm:sqref>Y117</xm:sqref>
            </x14:sparkline>
            <x14:sparkline>
              <xm:f>'Financial Statements'!F118:W118</xm:f>
              <xm:sqref>Y118</xm:sqref>
            </x14:sparkline>
            <x14:sparkline>
              <xm:f>'Financial Statements'!F119:W119</xm:f>
              <xm:sqref>Y119</xm:sqref>
            </x14:sparkline>
            <x14:sparkline>
              <xm:f>'Financial Statements'!F120:W120</xm:f>
              <xm:sqref>Y120</xm:sqref>
            </x14:sparkline>
          </x14:sparklines>
        </x14:sparklineGroup>
        <x14:sparklineGroup displayEmptyCellsAs="gap" xr2:uid="{6632D56E-8336-41AB-8465-8D47AB4CED3B}">
          <x14:colorSeries rgb="FF376092"/>
          <x14:colorNegative rgb="FFD00000"/>
          <x14:colorAxis rgb="FF000000"/>
          <x14:colorMarkers rgb="FFD00000"/>
          <x14:colorFirst rgb="FFD00000"/>
          <x14:colorLast rgb="FFD00000"/>
          <x14:colorHigh rgb="FFD00000"/>
          <x14:colorLow rgb="FFD00000"/>
          <x14:sparklines>
            <x14:sparkline>
              <xm:f>'Financial Statements'!F81:W81</xm:f>
              <xm:sqref>Y81</xm:sqref>
            </x14:sparkline>
            <x14:sparkline>
              <xm:f>'Financial Statements'!F82:W82</xm:f>
              <xm:sqref>Y82</xm:sqref>
            </x14:sparkline>
            <x14:sparkline>
              <xm:f>'Financial Statements'!F83:W83</xm:f>
              <xm:sqref>Y83</xm:sqref>
            </x14:sparkline>
            <x14:sparkline>
              <xm:f>'Financial Statements'!F84:W84</xm:f>
              <xm:sqref>Y84</xm:sqref>
            </x14:sparkline>
            <x14:sparkline>
              <xm:f>'Financial Statements'!F85:W85</xm:f>
              <xm:sqref>Y85</xm:sqref>
            </x14:sparkline>
            <x14:sparkline>
              <xm:f>'Financial Statements'!F86:W86</xm:f>
              <xm:sqref>Y86</xm:sqref>
            </x14:sparkline>
            <x14:sparkline>
              <xm:f>'Financial Statements'!F87:W87</xm:f>
              <xm:sqref>Y87</xm:sqref>
            </x14:sparkline>
            <x14:sparkline>
              <xm:f>'Financial Statements'!F88:W88</xm:f>
              <xm:sqref>Y88</xm:sqref>
            </x14:sparkline>
            <x14:sparkline>
              <xm:f>'Financial Statements'!F89:W89</xm:f>
              <xm:sqref>Y89</xm:sqref>
            </x14:sparkline>
            <x14:sparkline>
              <xm:f>'Financial Statements'!F90:W90</xm:f>
              <xm:sqref>Y90</xm:sqref>
            </x14:sparkline>
            <x14:sparkline>
              <xm:f>'Financial Statements'!F91:W91</xm:f>
              <xm:sqref>Y91</xm:sqref>
            </x14:sparkline>
          </x14:sparklines>
        </x14:sparklineGroup>
        <x14:sparklineGroup displayEmptyCellsAs="gap" xr2:uid="{E41DE92F-AF59-4939-A26F-8057D1D9A79D}">
          <x14:colorSeries rgb="FF376092"/>
          <x14:colorNegative rgb="FFD00000"/>
          <x14:colorAxis rgb="FF000000"/>
          <x14:colorMarkers rgb="FFD00000"/>
          <x14:colorFirst rgb="FFD00000"/>
          <x14:colorLast rgb="FFD00000"/>
          <x14:colorHigh rgb="FFD00000"/>
          <x14:colorLow rgb="FFD00000"/>
          <x14:sparklines>
            <x14:sparkline>
              <xm:f>'Financial Statements'!F72:W72</xm:f>
              <xm:sqref>Y72</xm:sqref>
            </x14:sparkline>
            <x14:sparkline>
              <xm:f>'Financial Statements'!F73:W73</xm:f>
              <xm:sqref>Y73</xm:sqref>
            </x14:sparkline>
            <x14:sparkline>
              <xm:f>'Financial Statements'!F74:W74</xm:f>
              <xm:sqref>Y74</xm:sqref>
            </x14:sparkline>
            <x14:sparkline>
              <xm:f>'Financial Statements'!F75:W75</xm:f>
              <xm:sqref>Y75</xm:sqref>
            </x14:sparkline>
            <x14:sparkline>
              <xm:f>'Financial Statements'!F76:W76</xm:f>
              <xm:sqref>Y76</xm:sqref>
            </x14:sparkline>
            <x14:sparkline>
              <xm:f>'Financial Statements'!F77:W77</xm:f>
              <xm:sqref>Y77</xm:sqref>
            </x14:sparkline>
            <x14:sparkline>
              <xm:f>'Financial Statements'!F78:W78</xm:f>
              <xm:sqref>Y78</xm:sqref>
            </x14:sparkline>
            <x14:sparkline>
              <xm:f>'Financial Statements'!F79:W79</xm:f>
              <xm:sqref>Y79</xm:sqref>
            </x14:sparkline>
          </x14:sparklines>
        </x14:sparklineGroup>
        <x14:sparklineGroup displayEmptyCellsAs="gap" xr2:uid="{048871B5-AAE6-46B2-A7C1-1F5C674D8533}">
          <x14:colorSeries rgb="FF376092"/>
          <x14:colorNegative rgb="FFD00000"/>
          <x14:colorAxis rgb="FF000000"/>
          <x14:colorMarkers rgb="FFD00000"/>
          <x14:colorFirst rgb="FFD00000"/>
          <x14:colorLast rgb="FFD00000"/>
          <x14:colorHigh rgb="FFD00000"/>
          <x14:colorLow rgb="FFD00000"/>
          <x14:sparklines>
            <x14:sparkline>
              <xm:f>'Financial Statements'!F64:W64</xm:f>
              <xm:sqref>Y64</xm:sqref>
            </x14:sparkline>
            <x14:sparkline>
              <xm:f>'Financial Statements'!F65:W65</xm:f>
              <xm:sqref>Y65</xm:sqref>
            </x14:sparkline>
            <x14:sparkline>
              <xm:f>'Financial Statements'!F66:W66</xm:f>
              <xm:sqref>Y66</xm:sqref>
            </x14:sparkline>
            <x14:sparkline>
              <xm:f>'Financial Statements'!F67:W67</xm:f>
              <xm:sqref>Y67</xm:sqref>
            </x14:sparkline>
            <x14:sparkline>
              <xm:f>'Financial Statements'!F68:W68</xm:f>
              <xm:sqref>Y68</xm:sqref>
            </x14:sparkline>
            <x14:sparkline>
              <xm:f>'Financial Statements'!F69:W69</xm:f>
              <xm:sqref>Y69</xm:sqref>
            </x14:sparkline>
            <x14:sparkline>
              <xm:f>'Financial Statements'!F70:W70</xm:f>
              <xm:sqref>Y70</xm:sqref>
            </x14:sparkline>
          </x14:sparklines>
        </x14:sparklineGroup>
        <x14:sparklineGroup displayEmptyCellsAs="gap" xr2:uid="{EF154FBC-C086-4BA4-813E-0CDE70292944}">
          <x14:colorSeries rgb="FF376092"/>
          <x14:colorNegative rgb="FFD00000"/>
          <x14:colorAxis rgb="FF000000"/>
          <x14:colorMarkers rgb="FFD00000"/>
          <x14:colorFirst rgb="FFD00000"/>
          <x14:colorLast rgb="FFD00000"/>
          <x14:colorHigh rgb="FFD00000"/>
          <x14:colorLow rgb="FFD00000"/>
          <x14:sparklines>
            <x14:sparkline>
              <xm:f>'Financial Statements'!F54:W54</xm:f>
              <xm:sqref>Y54</xm:sqref>
            </x14:sparkline>
            <x14:sparkline>
              <xm:f>'Financial Statements'!F55:W55</xm:f>
              <xm:sqref>Y55</xm:sqref>
            </x14:sparkline>
            <x14:sparkline>
              <xm:f>'Financial Statements'!F56:W56</xm:f>
              <xm:sqref>Y56</xm:sqref>
            </x14:sparkline>
            <x14:sparkline>
              <xm:f>'Financial Statements'!F57:W57</xm:f>
              <xm:sqref>Y57</xm:sqref>
            </x14:sparkline>
            <x14:sparkline>
              <xm:f>'Financial Statements'!F58:W58</xm:f>
              <xm:sqref>Y58</xm:sqref>
            </x14:sparkline>
            <x14:sparkline>
              <xm:f>'Financial Statements'!F59:W59</xm:f>
              <xm:sqref>Y59</xm:sqref>
            </x14:sparkline>
            <x14:sparkline>
              <xm:f>'Financial Statements'!F60:W60</xm:f>
              <xm:sqref>Y60</xm:sqref>
            </x14:sparkline>
            <x14:sparkline>
              <xm:f>'Financial Statements'!F61:W61</xm:f>
              <xm:sqref>Y61</xm:sqref>
            </x14:sparkline>
            <x14:sparkline>
              <xm:f>'Financial Statements'!F62:W62</xm:f>
              <xm:sqref>Y62</xm:sqref>
            </x14:sparkline>
          </x14:sparklines>
        </x14:sparklineGroup>
        <x14:sparklineGroup displayEmptyCellsAs="gap" xr2:uid="{8F7B856F-801F-4904-882F-6D113066F168}">
          <x14:colorSeries rgb="FF376092"/>
          <x14:colorNegative rgb="FFD00000"/>
          <x14:colorAxis rgb="FF000000"/>
          <x14:colorMarkers rgb="FFD00000"/>
          <x14:colorFirst rgb="FFD00000"/>
          <x14:colorLast rgb="FFD00000"/>
          <x14:colorHigh rgb="FFD00000"/>
          <x14:colorLow rgb="FFD00000"/>
          <x14:sparklines>
            <x14:sparkline>
              <xm:f>'Financial Statements'!F45:W45</xm:f>
              <xm:sqref>Y45</xm:sqref>
            </x14:sparkline>
            <x14:sparkline>
              <xm:f>'Financial Statements'!F46:W46</xm:f>
              <xm:sqref>Y46</xm:sqref>
            </x14:sparkline>
            <x14:sparkline>
              <xm:f>'Financial Statements'!F47:W47</xm:f>
              <xm:sqref>Y47</xm:sqref>
            </x14:sparkline>
            <x14:sparkline>
              <xm:f>'Financial Statements'!F48:W48</xm:f>
              <xm:sqref>Y48</xm:sqref>
            </x14:sparkline>
            <x14:sparkline>
              <xm:f>'Financial Statements'!F49:W49</xm:f>
              <xm:sqref>Y49</xm:sqref>
            </x14:sparkline>
            <x14:sparkline>
              <xm:f>'Financial Statements'!F50:W50</xm:f>
              <xm:sqref>Y50</xm:sqref>
            </x14:sparkline>
            <x14:sparkline>
              <xm:f>'Financial Statements'!F51:W51</xm:f>
              <xm:sqref>Y51</xm:sqref>
            </x14:sparkline>
            <x14:sparkline>
              <xm:f>'Financial Statements'!F52:W52</xm:f>
              <xm:sqref>Y52</xm:sqref>
            </x14:sparkline>
          </x14:sparklines>
        </x14:sparklineGroup>
        <x14:sparklineGroup displayEmptyCellsAs="gap" xr2:uid="{613019BE-CF94-4C56-86DA-DBE270130397}">
          <x14:colorSeries rgb="FF376092"/>
          <x14:colorNegative rgb="FFD00000"/>
          <x14:colorAxis rgb="FF000000"/>
          <x14:colorMarkers rgb="FFD00000"/>
          <x14:colorFirst rgb="FFD00000"/>
          <x14:colorLast rgb="FFD00000"/>
          <x14:colorHigh rgb="FFD00000"/>
          <x14:colorLow rgb="FFD00000"/>
          <x14:sparklines>
            <x14:sparkline>
              <xm:f>'Financial Statements'!F41:W41</xm:f>
              <xm:sqref>Y41</xm:sqref>
            </x14:sparkline>
          </x14:sparklines>
        </x14:sparklineGroup>
        <x14:sparklineGroup displayEmptyCellsAs="gap" xr2:uid="{A0CB44BF-E5AE-4088-9615-50F4E29F99CE}">
          <x14:colorSeries rgb="FF376092"/>
          <x14:colorNegative rgb="FFD00000"/>
          <x14:colorAxis rgb="FF000000"/>
          <x14:colorMarkers rgb="FFD00000"/>
          <x14:colorFirst rgb="FFD00000"/>
          <x14:colorLast rgb="FFD00000"/>
          <x14:colorHigh rgb="FFD00000"/>
          <x14:colorLow rgb="FFD00000"/>
          <x14:sparklines>
            <x14:sparkline>
              <xm:f>'Financial Statements'!F37:W37</xm:f>
              <xm:sqref>Y37</xm:sqref>
            </x14:sparkline>
            <x14:sparkline>
              <xm:f>'Financial Statements'!F38:W38</xm:f>
              <xm:sqref>Y38</xm:sqref>
            </x14:sparkline>
          </x14:sparklines>
        </x14:sparklineGroup>
        <x14:sparklineGroup displayEmptyCellsAs="gap" xr2:uid="{4D7A62CF-F56E-4EB9-98CD-2E325857C546}">
          <x14:colorSeries rgb="FF376092"/>
          <x14:colorNegative rgb="FFD00000"/>
          <x14:colorAxis rgb="FF000000"/>
          <x14:colorMarkers rgb="FFD00000"/>
          <x14:colorFirst rgb="FFD00000"/>
          <x14:colorLast rgb="FFD00000"/>
          <x14:colorHigh rgb="FFD00000"/>
          <x14:colorLow rgb="FFD00000"/>
          <x14:sparklines>
            <x14:sparkline>
              <xm:f>'Financial Statements'!F4:W4</xm:f>
              <xm:sqref>Y4</xm:sqref>
            </x14:sparkline>
            <x14:sparkline>
              <xm:f>'Financial Statements'!F5:W5</xm:f>
              <xm:sqref>Y5</xm:sqref>
            </x14:sparkline>
            <x14:sparkline>
              <xm:f>'Financial Statements'!F6:W6</xm:f>
              <xm:sqref>Y6</xm:sqref>
            </x14:sparkline>
            <x14:sparkline>
              <xm:f>'Financial Statements'!F7:W7</xm:f>
              <xm:sqref>Y7</xm:sqref>
            </x14:sparkline>
            <x14:sparkline>
              <xm:f>'Financial Statements'!F8:W8</xm:f>
              <xm:sqref>Y8</xm:sqref>
            </x14:sparkline>
            <x14:sparkline>
              <xm:f>'Financial Statements'!F9:W9</xm:f>
              <xm:sqref>Y9</xm:sqref>
            </x14:sparkline>
            <x14:sparkline>
              <xm:f>'Financial Statements'!F10:W10</xm:f>
              <xm:sqref>Y10</xm:sqref>
            </x14:sparkline>
            <x14:sparkline>
              <xm:f>'Financial Statements'!F11:W11</xm:f>
              <xm:sqref>Y11</xm:sqref>
            </x14:sparkline>
            <x14:sparkline>
              <xm:f>'Financial Statements'!F12:W12</xm:f>
              <xm:sqref>Y12</xm:sqref>
            </x14:sparkline>
            <x14:sparkline>
              <xm:f>'Financial Statements'!F13:W13</xm:f>
              <xm:sqref>Y13</xm:sqref>
            </x14:sparkline>
            <x14:sparkline>
              <xm:f>'Financial Statements'!F14:W14</xm:f>
              <xm:sqref>Y14</xm:sqref>
            </x14:sparkline>
            <x14:sparkline>
              <xm:f>'Financial Statements'!F15:W15</xm:f>
              <xm:sqref>Y15</xm:sqref>
            </x14:sparkline>
            <x14:sparkline>
              <xm:f>'Financial Statements'!F16:W16</xm:f>
              <xm:sqref>Y16</xm:sqref>
            </x14:sparkline>
            <x14:sparkline>
              <xm:f>'Financial Statements'!F17:W17</xm:f>
              <xm:sqref>Y17</xm:sqref>
            </x14:sparkline>
            <x14:sparkline>
              <xm:f>'Financial Statements'!F18:W18</xm:f>
              <xm:sqref>Y18</xm:sqref>
            </x14:sparkline>
            <x14:sparkline>
              <xm:f>'Financial Statements'!F19:W19</xm:f>
              <xm:sqref>Y19</xm:sqref>
            </x14:sparkline>
            <x14:sparkline>
              <xm:f>'Financial Statements'!F20:W20</xm:f>
              <xm:sqref>Y20</xm:sqref>
            </x14:sparkline>
            <x14:sparkline>
              <xm:f>'Financial Statements'!F21:W21</xm:f>
              <xm:sqref>Y21</xm:sqref>
            </x14:sparkline>
            <x14:sparkline>
              <xm:f>'Financial Statements'!F22:W22</xm:f>
              <xm:sqref>Y22</xm:sqref>
            </x14:sparkline>
            <x14:sparkline>
              <xm:f>'Financial Statements'!F23:W23</xm:f>
              <xm:sqref>Y23</xm:sqref>
            </x14:sparkline>
            <x14:sparkline>
              <xm:f>'Financial Statements'!F24:W24</xm:f>
              <xm:sqref>Y24</xm:sqref>
            </x14:sparkline>
            <x14:sparkline>
              <xm:f>'Financial Statements'!F25:W25</xm:f>
              <xm:sqref>Y25</xm:sqref>
            </x14:sparkline>
            <x14:sparkline>
              <xm:f>'Financial Statements'!F26:W26</xm:f>
              <xm:sqref>Y26</xm:sqref>
            </x14:sparkline>
            <x14:sparkline>
              <xm:f>'Financial Statements'!F27:W27</xm:f>
              <xm:sqref>Y27</xm:sqref>
            </x14:sparkline>
            <x14:sparkline>
              <xm:f>'Financial Statements'!F28:W28</xm:f>
              <xm:sqref>Y28</xm:sqref>
            </x14:sparkline>
            <x14:sparkline>
              <xm:f>'Financial Statements'!F29:W29</xm:f>
              <xm:sqref>Y29</xm:sqref>
            </x14:sparkline>
            <x14:sparkline>
              <xm:f>'Financial Statements'!F30:W30</xm:f>
              <xm:sqref>Y30</xm:sqref>
            </x14:sparkline>
          </x14:sparklines>
        </x14:sparklineGroup>
        <x14:sparklineGroup displayEmptyCellsAs="gap" xr2:uid="{2927EE67-F5C7-4E96-82C9-A55571698D55}">
          <x14:colorSeries rgb="FF376092"/>
          <x14:colorNegative rgb="FFD00000"/>
          <x14:colorAxis rgb="FF000000"/>
          <x14:colorMarkers rgb="FFD00000"/>
          <x14:colorFirst rgb="FFD00000"/>
          <x14:colorLast rgb="FFD00000"/>
          <x14:colorHigh rgb="FFD00000"/>
          <x14:colorLow rgb="FFD00000"/>
          <x14:sparklines>
            <x14:sparkline>
              <xm:f>'Financial Statements'!F33:W33</xm:f>
              <xm:sqref>Y33</xm:sqref>
            </x14:sparkline>
            <x14:sparkline>
              <xm:f>'Financial Statements'!F34:W34</xm:f>
              <xm:sqref>Y34</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D0C01-97A5-490A-94AF-C54D3EEAAA0E}">
  <dimension ref="B1:AK33"/>
  <sheetViews>
    <sheetView showGridLines="0" zoomScale="89" zoomScaleNormal="89" workbookViewId="0">
      <pane xSplit="2" ySplit="2" topLeftCell="I3" activePane="bottomRight" state="frozen"/>
      <selection pane="topRight" activeCell="C1" sqref="C1"/>
      <selection pane="bottomLeft" activeCell="A3" sqref="A3"/>
      <selection pane="bottomRight" activeCell="AE6" sqref="AE6"/>
    </sheetView>
  </sheetViews>
  <sheetFormatPr defaultRowHeight="14.4" x14ac:dyDescent="0.3"/>
  <cols>
    <col min="1" max="1" width="1.5546875" customWidth="1"/>
    <col min="2" max="2" width="24.109375" bestFit="1" customWidth="1"/>
    <col min="8" max="8" width="9.109375" customWidth="1"/>
    <col min="10" max="10" width="10.109375" bestFit="1" customWidth="1"/>
    <col min="12" max="12" width="10.109375" bestFit="1" customWidth="1"/>
  </cols>
  <sheetData>
    <row r="1" spans="2:37" ht="15" thickBot="1" x14ac:dyDescent="0.35"/>
    <row r="2" spans="2:37" x14ac:dyDescent="0.3">
      <c r="B2" s="86" t="s">
        <v>167</v>
      </c>
      <c r="C2" s="87" t="str">
        <f>'Financial Statements'!C44</f>
        <v>H1'21</v>
      </c>
      <c r="D2" s="87" t="str">
        <f>'Financial Statements'!D44</f>
        <v>H2'21</v>
      </c>
      <c r="E2" s="87" t="str">
        <f>'Financial Statements'!E44</f>
        <v>FY21</v>
      </c>
      <c r="F2" s="87" t="str">
        <f>'Financial Statements'!F44</f>
        <v>H1'22</v>
      </c>
      <c r="G2" s="87" t="str">
        <f>'Financial Statements'!G44</f>
        <v>H2'22</v>
      </c>
      <c r="H2" s="87" t="str">
        <f>'Financial Statements'!H44</f>
        <v>H1'23</v>
      </c>
      <c r="I2" s="87" t="str">
        <f>'Financial Statements'!I44</f>
        <v>H2'23</v>
      </c>
      <c r="J2" s="87" t="str">
        <f>'Financial Statements'!J44</f>
        <v>H1'24</v>
      </c>
      <c r="K2" s="87" t="str">
        <f>'Financial Statements'!K44</f>
        <v>H2'24</v>
      </c>
      <c r="L2" s="87" t="str">
        <f>'Financial Statements'!L44</f>
        <v>H1'25</v>
      </c>
      <c r="M2" s="179" t="str">
        <f>'Financial Statements'!M44</f>
        <v>H2'25</v>
      </c>
      <c r="N2" s="179" t="str">
        <f>'Financial Statements'!N44</f>
        <v>H1'26</v>
      </c>
      <c r="O2" s="179" t="str">
        <f>'Financial Statements'!O44</f>
        <v>H2'26</v>
      </c>
      <c r="P2" s="179" t="str">
        <f>'Financial Statements'!P44</f>
        <v>H1'27</v>
      </c>
      <c r="Q2" s="179" t="str">
        <f>'Financial Statements'!Q44</f>
        <v>H2'27</v>
      </c>
      <c r="R2" s="179" t="str">
        <f>'Financial Statements'!R44</f>
        <v>H1'28</v>
      </c>
      <c r="S2" s="179" t="str">
        <f>'Financial Statements'!S44</f>
        <v>H2'28</v>
      </c>
      <c r="T2" s="179" t="str">
        <f>'Financial Statements'!T44</f>
        <v>H1'29</v>
      </c>
      <c r="U2" s="179" t="str">
        <f>'Financial Statements'!U44</f>
        <v>H2'29</v>
      </c>
      <c r="V2" s="179" t="str">
        <f>'Financial Statements'!V44</f>
        <v>H1'30</v>
      </c>
      <c r="W2" s="179" t="str">
        <f>'Financial Statements'!W44</f>
        <v>H2'30</v>
      </c>
      <c r="AC2" s="87" t="str">
        <f>'Financial Statements'!AC44</f>
        <v>FY22</v>
      </c>
      <c r="AD2" s="87" t="str">
        <f>'Financial Statements'!AD44</f>
        <v>FY23</v>
      </c>
      <c r="AE2" s="87" t="str">
        <f>'Financial Statements'!AE44</f>
        <v>FY24</v>
      </c>
      <c r="AF2" s="179" t="str">
        <f>'Financial Statements'!AF44</f>
        <v>FY25</v>
      </c>
      <c r="AG2" s="179" t="str">
        <f>'Financial Statements'!AG44</f>
        <v>FY26</v>
      </c>
      <c r="AH2" s="179" t="str">
        <f>'Financial Statements'!AH44</f>
        <v>FY27</v>
      </c>
      <c r="AI2" s="179" t="str">
        <f>'Financial Statements'!AI44</f>
        <v>FY28</v>
      </c>
      <c r="AJ2" s="179" t="str">
        <f>'Financial Statements'!AJ44</f>
        <v>FY29</v>
      </c>
      <c r="AK2" s="180" t="str">
        <f>'Financial Statements'!AK44</f>
        <v>FY30</v>
      </c>
    </row>
    <row r="3" spans="2:37" x14ac:dyDescent="0.3">
      <c r="B3" s="168" t="s">
        <v>67</v>
      </c>
      <c r="C3" s="96">
        <v>182.5</v>
      </c>
      <c r="D3" s="96">
        <v>182.5</v>
      </c>
      <c r="E3" s="96">
        <f>+C3+D3</f>
        <v>365</v>
      </c>
      <c r="F3" s="96">
        <v>182.5</v>
      </c>
      <c r="G3" s="96">
        <v>182.5</v>
      </c>
      <c r="H3" s="96">
        <v>182.5</v>
      </c>
      <c r="I3" s="96">
        <v>182.5</v>
      </c>
      <c r="J3" s="96">
        <v>183</v>
      </c>
      <c r="K3" s="96">
        <v>183</v>
      </c>
      <c r="L3" s="96">
        <v>182.5</v>
      </c>
      <c r="M3" s="181">
        <v>182.5</v>
      </c>
      <c r="N3" s="181">
        <v>182.5</v>
      </c>
      <c r="O3" s="181">
        <v>182.5</v>
      </c>
      <c r="P3" s="181">
        <v>182.5</v>
      </c>
      <c r="Q3" s="181">
        <v>182.5</v>
      </c>
      <c r="R3" s="181">
        <v>183</v>
      </c>
      <c r="S3" s="181">
        <v>183</v>
      </c>
      <c r="T3" s="181">
        <v>182.5</v>
      </c>
      <c r="U3" s="181">
        <v>182.5</v>
      </c>
      <c r="V3" s="181">
        <v>182.5</v>
      </c>
      <c r="W3" s="181">
        <v>182.5</v>
      </c>
      <c r="AC3" s="96">
        <f>+F3+G3</f>
        <v>365</v>
      </c>
      <c r="AD3" s="96">
        <f>+H3+I3</f>
        <v>365</v>
      </c>
      <c r="AE3" s="96">
        <v>366</v>
      </c>
      <c r="AF3" s="181">
        <f>+L3+M3</f>
        <v>365</v>
      </c>
      <c r="AG3" s="181">
        <f>+N3+O3</f>
        <v>365</v>
      </c>
      <c r="AH3" s="181">
        <f>+P3+Q3</f>
        <v>365</v>
      </c>
      <c r="AI3" s="181">
        <f>+R3+S3</f>
        <v>366</v>
      </c>
      <c r="AJ3" s="181">
        <f>+T3+U3</f>
        <v>365</v>
      </c>
      <c r="AK3" s="182">
        <f>+V3+W3</f>
        <v>365</v>
      </c>
    </row>
    <row r="4" spans="2:37" x14ac:dyDescent="0.3">
      <c r="B4" s="90" t="s">
        <v>135</v>
      </c>
      <c r="C4" s="3"/>
      <c r="D4" s="3">
        <f>C11</f>
        <v>3051</v>
      </c>
      <c r="E4" s="93"/>
      <c r="F4" s="3">
        <f>E11</f>
        <v>3177</v>
      </c>
      <c r="G4" s="3">
        <f>F11</f>
        <v>3232</v>
      </c>
      <c r="H4" s="3">
        <f>AC11</f>
        <v>3591</v>
      </c>
      <c r="I4" s="3">
        <f>H11</f>
        <v>3614</v>
      </c>
      <c r="J4" s="3">
        <f>AD11</f>
        <v>3901</v>
      </c>
      <c r="K4" s="3">
        <f>J11</f>
        <v>4065</v>
      </c>
      <c r="L4" s="3">
        <f>AE11</f>
        <v>3982</v>
      </c>
      <c r="M4" s="48">
        <f>L11</f>
        <v>4266</v>
      </c>
      <c r="N4" s="48">
        <f>AF11</f>
        <v>4409.4911999999995</v>
      </c>
      <c r="O4" s="48">
        <f>N11</f>
        <v>4691.0339779999995</v>
      </c>
      <c r="P4" s="48">
        <f>AG11</f>
        <v>4882.5640383199998</v>
      </c>
      <c r="Q4" s="48">
        <f>P11</f>
        <v>5093.8964635207994</v>
      </c>
      <c r="R4" s="48">
        <f>AH11</f>
        <v>5259.8578876795518</v>
      </c>
      <c r="S4" s="48">
        <f>R11</f>
        <v>5405.4719199437786</v>
      </c>
      <c r="T4" s="48">
        <f>AI11</f>
        <v>5551.3000230762527</v>
      </c>
      <c r="U4" s="48">
        <f>T11</f>
        <v>5635.0543423824274</v>
      </c>
      <c r="V4" s="48">
        <f>AJ11</f>
        <v>5765.6255427184551</v>
      </c>
      <c r="W4" s="48">
        <f>V11</f>
        <v>5963.7847167483733</v>
      </c>
      <c r="AC4" s="93">
        <f>E11</f>
        <v>3177</v>
      </c>
      <c r="AD4" s="93">
        <f>AC11</f>
        <v>3591</v>
      </c>
      <c r="AE4" s="93">
        <f>AD11</f>
        <v>3901</v>
      </c>
      <c r="AF4" s="95">
        <f>AE11</f>
        <v>3982</v>
      </c>
      <c r="AG4" s="95">
        <f>AF11</f>
        <v>4409.4911999999995</v>
      </c>
      <c r="AH4" s="95">
        <f>AG11</f>
        <v>4882.5640383199998</v>
      </c>
      <c r="AI4" s="95">
        <f>AH11</f>
        <v>5259.8578876795518</v>
      </c>
      <c r="AJ4" s="95">
        <f>AI11</f>
        <v>5551.3000230762527</v>
      </c>
      <c r="AK4" s="95">
        <f>AJ11</f>
        <v>5765.6255427184551</v>
      </c>
    </row>
    <row r="5" spans="2:37" x14ac:dyDescent="0.3">
      <c r="B5" s="85" t="s">
        <v>115</v>
      </c>
      <c r="C5">
        <f>-'Financial Statements'!C122</f>
        <v>174</v>
      </c>
      <c r="D5">
        <f>E5-C5</f>
        <v>259</v>
      </c>
      <c r="E5" s="22">
        <f>-'Financial Statements'!E122</f>
        <v>433</v>
      </c>
      <c r="F5">
        <f>-'Financial Statements'!F122</f>
        <v>177</v>
      </c>
      <c r="G5">
        <f>AC5-F5</f>
        <v>329</v>
      </c>
      <c r="H5">
        <f>-'Financial Statements'!H122</f>
        <v>268</v>
      </c>
      <c r="I5">
        <f>AD5-H5</f>
        <v>434</v>
      </c>
      <c r="J5">
        <f>-'Financial Statements'!J122</f>
        <v>393</v>
      </c>
      <c r="K5">
        <f>AE5-J5</f>
        <v>380</v>
      </c>
      <c r="L5">
        <f>-'Financial Statements'!L122</f>
        <v>370</v>
      </c>
      <c r="M5">
        <f>M6*'Financial Statements'!M4</f>
        <v>399.45119999999997</v>
      </c>
      <c r="N5">
        <f>N6*'Financial Statements'!N4</f>
        <v>546.1122499999999</v>
      </c>
      <c r="O5">
        <f>O6*'Financial Statements'!O4</f>
        <v>472.992099</v>
      </c>
      <c r="P5">
        <f>P6*'Financial Statements'!P4</f>
        <v>504.28626749999989</v>
      </c>
      <c r="Q5">
        <f>Q6*'Financial Statements'!Q4</f>
        <v>471.59521197000009</v>
      </c>
      <c r="R5">
        <f>R6*'Financial Statements'!R4</f>
        <v>461.20550552499992</v>
      </c>
      <c r="S5">
        <f>S6*'Financial Statements'!S4</f>
        <v>470.15641832910006</v>
      </c>
      <c r="T5">
        <f>T6*'Financial Statements'!T4</f>
        <v>416.83232069074995</v>
      </c>
      <c r="U5">
        <f>U6*'Financial Statements'!U4</f>
        <v>468.67446087897304</v>
      </c>
      <c r="V5">
        <f>V6*'Financial Statements'!V4</f>
        <v>371.12794031147246</v>
      </c>
      <c r="W5">
        <f>W6*'Financial Statements'!W4</f>
        <v>467.14804470534227</v>
      </c>
      <c r="AC5" s="22">
        <f>-'Financial Statements'!AC122</f>
        <v>506</v>
      </c>
      <c r="AD5" s="22">
        <f>-'Financial Statements'!AD122</f>
        <v>702</v>
      </c>
      <c r="AE5" s="22">
        <f>-'Financial Statements'!AE122</f>
        <v>773</v>
      </c>
      <c r="AF5" s="22">
        <f>SUM(L5:M5)</f>
        <v>769.45119999999997</v>
      </c>
      <c r="AG5" s="22">
        <f>SUM(N5:O5)</f>
        <v>1019.104349</v>
      </c>
      <c r="AH5" s="22">
        <f>SUM(P5:Q5)</f>
        <v>975.88147946999993</v>
      </c>
      <c r="AI5" s="22">
        <f>SUM(R5:S5)</f>
        <v>931.36192385410004</v>
      </c>
      <c r="AJ5" s="22">
        <f>SUM(T5:U5)</f>
        <v>885.50678156972299</v>
      </c>
      <c r="AK5" s="22">
        <f>SUM(V5:W5)</f>
        <v>838.27598501681473</v>
      </c>
    </row>
    <row r="6" spans="2:37" s="10" customFormat="1" x14ac:dyDescent="0.3">
      <c r="B6" s="91" t="s">
        <v>116</v>
      </c>
      <c r="C6" s="10">
        <f>C5/'Financial Statements'!C4</f>
        <v>3.4904714142427282E-2</v>
      </c>
      <c r="D6" s="10">
        <f>D5/'Financial Statements'!D4</f>
        <v>6.7465485803594683E-2</v>
      </c>
      <c r="E6" s="54">
        <f>E5/'Financial Statements'!E4</f>
        <v>4.9070716228467814E-2</v>
      </c>
      <c r="F6" s="10">
        <f>F5/'Financial Statements'!F4</f>
        <v>2.9702970297029702E-2</v>
      </c>
      <c r="G6" s="10">
        <f>G5/'Financial Statements'!G4</f>
        <v>6.9380008435259391E-2</v>
      </c>
      <c r="H6" s="10">
        <f>H5/'Financial Statements'!H4</f>
        <v>3.7661607644744237E-2</v>
      </c>
      <c r="I6" s="10">
        <f>I5/'Financial Statements'!I4</f>
        <v>8.6436964748058162E-2</v>
      </c>
      <c r="J6" s="10">
        <f>J5/'Financial Statements'!J4</f>
        <v>5.9635811836115327E-2</v>
      </c>
      <c r="K6" s="10">
        <f>K5/'Financial Statements'!K4</f>
        <v>7.5878594249201278E-2</v>
      </c>
      <c r="L6" s="10">
        <f>L5/'Financial Statements'!L4</f>
        <v>5.9909326424870464E-2</v>
      </c>
      <c r="M6" s="205">
        <v>0.08</v>
      </c>
      <c r="N6" s="205">
        <v>9.5000000000000001E-2</v>
      </c>
      <c r="O6" s="205">
        <v>9.5000000000000001E-2</v>
      </c>
      <c r="P6" s="205">
        <v>9.5000000000000001E-2</v>
      </c>
      <c r="Q6" s="205">
        <v>9.5000000000000001E-2</v>
      </c>
      <c r="R6" s="205">
        <v>9.5000000000000001E-2</v>
      </c>
      <c r="S6" s="205">
        <v>9.5000000000000001E-2</v>
      </c>
      <c r="T6" s="205">
        <v>9.5000000000000001E-2</v>
      </c>
      <c r="U6" s="205">
        <v>9.5000000000000001E-2</v>
      </c>
      <c r="V6" s="205">
        <v>9.5000000000000001E-2</v>
      </c>
      <c r="W6" s="205">
        <v>9.5000000000000001E-2</v>
      </c>
      <c r="AC6" s="54">
        <f>AC5/'Financial Statements'!AC4</f>
        <v>4.7285300439211288E-2</v>
      </c>
      <c r="AD6" s="54">
        <f>AD5/'Financial Statements'!AD4</f>
        <v>5.7839663837851198E-2</v>
      </c>
      <c r="AE6" s="54">
        <f>AE5/'Financial Statements'!AE4</f>
        <v>6.6649422314192103E-2</v>
      </c>
      <c r="AF6" s="54">
        <f>AF5/'Financial Statements'!AF4</f>
        <v>6.8890818809684534E-2</v>
      </c>
      <c r="AG6" s="54">
        <f>AG5/'Financial Statements'!AG4</f>
        <v>9.5000000000000001E-2</v>
      </c>
      <c r="AH6" s="54">
        <f>AH5/'Financial Statements'!AH4</f>
        <v>9.5000000000000001E-2</v>
      </c>
      <c r="AI6" s="54">
        <f>AI5/'Financial Statements'!AI4</f>
        <v>9.5000000000000029E-2</v>
      </c>
      <c r="AJ6" s="54">
        <f>AJ5/'Financial Statements'!AJ4</f>
        <v>9.5000000000000029E-2</v>
      </c>
      <c r="AK6" s="54">
        <f>AK5/'Financial Statements'!AK4</f>
        <v>9.5000000000000043E-2</v>
      </c>
    </row>
    <row r="7" spans="2:37" x14ac:dyDescent="0.3">
      <c r="B7" s="85" t="s">
        <v>117</v>
      </c>
      <c r="C7">
        <f>C4+C5-C9-C11</f>
        <v>-3056</v>
      </c>
      <c r="D7">
        <f>E7-C7</f>
        <v>-55</v>
      </c>
      <c r="E7" s="22">
        <f>E4+E5-E9-E11</f>
        <v>-3111</v>
      </c>
      <c r="F7">
        <f>F4+F5-F9-F11</f>
        <v>-67</v>
      </c>
      <c r="G7">
        <f>AC7-F7</f>
        <v>-232</v>
      </c>
      <c r="H7">
        <f>H4+H5-H9-H11</f>
        <v>41</v>
      </c>
      <c r="I7">
        <f>AD7-H7</f>
        <v>-116</v>
      </c>
      <c r="J7">
        <f>J4+J5-J9-J11</f>
        <v>12</v>
      </c>
      <c r="K7">
        <f>AE7-J7</f>
        <v>-255</v>
      </c>
      <c r="L7">
        <f>L4+L5-L9-L11</f>
        <v>-125</v>
      </c>
      <c r="M7" s="206"/>
      <c r="N7" s="206"/>
      <c r="O7" s="206"/>
      <c r="P7" s="206"/>
      <c r="Q7" s="206"/>
      <c r="R7" s="206"/>
      <c r="S7" s="206"/>
      <c r="T7" s="206"/>
      <c r="U7" s="206"/>
      <c r="V7" s="206"/>
      <c r="W7" s="206"/>
      <c r="AC7" s="22">
        <f>AC4+AC5-AC9-AC11</f>
        <v>-299</v>
      </c>
      <c r="AD7" s="22">
        <f>AD4+AD5-AD9-AD11</f>
        <v>-75</v>
      </c>
      <c r="AE7" s="22">
        <f>AE4+AE5-AE9-AE11</f>
        <v>-243</v>
      </c>
      <c r="AF7" s="30">
        <f>SUM(L7:M7)</f>
        <v>-125</v>
      </c>
      <c r="AG7" s="30">
        <f>SUM(N7:O7)</f>
        <v>0</v>
      </c>
      <c r="AH7" s="30">
        <f>SUM(P7:Q7)</f>
        <v>0</v>
      </c>
      <c r="AI7" s="30">
        <f>SUM(R7:S7)</f>
        <v>0</v>
      </c>
      <c r="AJ7" s="30">
        <f>SUM(T7:U7)</f>
        <v>0</v>
      </c>
      <c r="AK7" s="30">
        <f>SUM(V7:W7)</f>
        <v>0</v>
      </c>
    </row>
    <row r="8" spans="2:37" x14ac:dyDescent="0.3">
      <c r="B8" s="85" t="s">
        <v>120</v>
      </c>
      <c r="D8">
        <f>E8</f>
        <v>0</v>
      </c>
      <c r="E8" s="22"/>
      <c r="G8">
        <f>AC8</f>
        <v>0</v>
      </c>
      <c r="I8">
        <f>AD8</f>
        <v>0</v>
      </c>
      <c r="K8">
        <f>AE8</f>
        <v>0</v>
      </c>
      <c r="M8">
        <f>L8+M9</f>
        <v>255.95999999999998</v>
      </c>
      <c r="N8">
        <f>AF8+N9</f>
        <v>520.52947199999994</v>
      </c>
      <c r="O8">
        <f>N8+O9</f>
        <v>801.99151067999992</v>
      </c>
      <c r="P8">
        <f>AG8+P9</f>
        <v>1094.9453529791999</v>
      </c>
      <c r="Q8">
        <f>P8+Q9</f>
        <v>1400.5791407904478</v>
      </c>
      <c r="R8">
        <f>AH8+R9</f>
        <v>1716.170614051221</v>
      </c>
      <c r="S8">
        <f>R8+S9</f>
        <v>2040.4989292478476</v>
      </c>
      <c r="T8">
        <f>AI8+T9</f>
        <v>2373.5769306324228</v>
      </c>
      <c r="U8">
        <f>T8+U9</f>
        <v>2711.6801911753682</v>
      </c>
      <c r="V8">
        <f>AJ8+V9</f>
        <v>2884.6489574569218</v>
      </c>
      <c r="W8">
        <f>V8+W9</f>
        <v>3063.562498959373</v>
      </c>
      <c r="AC8" s="22"/>
      <c r="AD8" s="22"/>
      <c r="AE8" s="22"/>
      <c r="AF8" s="22">
        <f>M8</f>
        <v>255.95999999999998</v>
      </c>
      <c r="AG8" s="22">
        <f>O8</f>
        <v>801.99151067999992</v>
      </c>
      <c r="AH8" s="22">
        <f>Q8</f>
        <v>1400.5791407904478</v>
      </c>
      <c r="AI8" s="22">
        <f>S8</f>
        <v>2040.4989292478476</v>
      </c>
      <c r="AJ8" s="22">
        <f>U8</f>
        <v>2711.6801911753682</v>
      </c>
      <c r="AK8" s="22">
        <f>W8</f>
        <v>3063.562498959373</v>
      </c>
    </row>
    <row r="9" spans="2:37" x14ac:dyDescent="0.3">
      <c r="B9" s="85" t="s">
        <v>121</v>
      </c>
      <c r="C9">
        <f>'Financial Statements'!C102</f>
        <v>179</v>
      </c>
      <c r="D9">
        <f>'Financial Statements'!D102</f>
        <v>188</v>
      </c>
      <c r="E9" s="22">
        <f>'Financial Statements'!E102</f>
        <v>367</v>
      </c>
      <c r="F9">
        <f>'Financial Statements'!F102</f>
        <v>189</v>
      </c>
      <c r="G9">
        <f>'Financial Statements'!G102</f>
        <v>192</v>
      </c>
      <c r="H9">
        <f>'Financial Statements'!H102</f>
        <v>204</v>
      </c>
      <c r="I9">
        <f>'Financial Statements'!I102</f>
        <v>213</v>
      </c>
      <c r="J9">
        <f>'Financial Statements'!J102</f>
        <v>217</v>
      </c>
      <c r="K9">
        <f>'Financial Statements'!K102</f>
        <v>224</v>
      </c>
      <c r="L9">
        <f>'Financial Statements'!L102</f>
        <v>211</v>
      </c>
      <c r="M9">
        <f t="shared" ref="M9" si="0">M10*M4</f>
        <v>255.95999999999998</v>
      </c>
      <c r="N9">
        <f t="shared" ref="N9" si="1">N10*N4</f>
        <v>264.56947199999996</v>
      </c>
      <c r="O9">
        <f t="shared" ref="O9" si="2">O10*O4</f>
        <v>281.46203867999998</v>
      </c>
      <c r="P9">
        <f t="shared" ref="P9" si="3">P10*P4</f>
        <v>292.95384229919995</v>
      </c>
      <c r="Q9">
        <f t="shared" ref="Q9" si="4">Q10*Q4</f>
        <v>305.63378781124794</v>
      </c>
      <c r="R9">
        <f t="shared" ref="R9" si="5">R10*R4</f>
        <v>315.59147326077311</v>
      </c>
      <c r="S9">
        <f t="shared" ref="S9" si="6">S10*S4</f>
        <v>324.3283151966267</v>
      </c>
      <c r="T9">
        <f t="shared" ref="T9" si="7">T10*T4</f>
        <v>333.07800138457515</v>
      </c>
      <c r="U9">
        <f t="shared" ref="U9" si="8">U10*U4</f>
        <v>338.10326054294563</v>
      </c>
      <c r="V9">
        <f t="shared" ref="V9" si="9">V10*V4</f>
        <v>172.96876628155366</v>
      </c>
      <c r="W9">
        <f t="shared" ref="W9" si="10">W10*W4</f>
        <v>178.91354150245118</v>
      </c>
      <c r="AC9" s="22">
        <v>391</v>
      </c>
      <c r="AD9" s="22">
        <v>467</v>
      </c>
      <c r="AE9" s="22">
        <v>935</v>
      </c>
      <c r="AF9" s="22">
        <f>SUM(L9:M9)</f>
        <v>466.96</v>
      </c>
      <c r="AG9" s="22">
        <f>SUM(N9:O9)</f>
        <v>546.03151067999988</v>
      </c>
      <c r="AH9" s="22">
        <f>SUM(P9:Q9)</f>
        <v>598.58763011044789</v>
      </c>
      <c r="AI9" s="22">
        <f>SUM(R9:S9)</f>
        <v>639.91978845739982</v>
      </c>
      <c r="AJ9" s="22">
        <f>SUM(T9:U9)</f>
        <v>671.18126192752084</v>
      </c>
      <c r="AK9" s="22">
        <f>SUM(V9:W9)</f>
        <v>351.88230778400487</v>
      </c>
    </row>
    <row r="10" spans="2:37" s="10" customFormat="1" x14ac:dyDescent="0.3">
      <c r="B10" s="92" t="s">
        <v>118</v>
      </c>
      <c r="C10" s="10" t="e">
        <f t="shared" ref="C10:J10" si="11">C9/C4</f>
        <v>#DIV/0!</v>
      </c>
      <c r="D10" s="10">
        <f t="shared" si="11"/>
        <v>6.1619141265158967E-2</v>
      </c>
      <c r="E10" s="54" t="e">
        <f t="shared" si="11"/>
        <v>#DIV/0!</v>
      </c>
      <c r="F10" s="10">
        <f t="shared" si="11"/>
        <v>5.9490084985835696E-2</v>
      </c>
      <c r="G10" s="10">
        <f t="shared" si="11"/>
        <v>5.9405940594059403E-2</v>
      </c>
      <c r="H10" s="10">
        <f t="shared" si="11"/>
        <v>5.6808688387635753E-2</v>
      </c>
      <c r="I10" s="10">
        <f t="shared" si="11"/>
        <v>5.8937465412285554E-2</v>
      </c>
      <c r="J10" s="10">
        <f t="shared" si="11"/>
        <v>5.5626762368623427E-2</v>
      </c>
      <c r="K10" s="10">
        <f t="shared" ref="K10:L10" si="12">K9/K4</f>
        <v>5.5104551045510458E-2</v>
      </c>
      <c r="L10" s="10">
        <f t="shared" si="12"/>
        <v>5.2988448016072325E-2</v>
      </c>
      <c r="M10" s="205">
        <v>0.06</v>
      </c>
      <c r="N10" s="205">
        <v>0.06</v>
      </c>
      <c r="O10" s="205">
        <v>0.06</v>
      </c>
      <c r="P10" s="205">
        <v>0.06</v>
      </c>
      <c r="Q10" s="205">
        <v>0.06</v>
      </c>
      <c r="R10" s="205">
        <v>0.06</v>
      </c>
      <c r="S10" s="205">
        <v>0.06</v>
      </c>
      <c r="T10" s="205">
        <v>0.06</v>
      </c>
      <c r="U10" s="205">
        <v>0.06</v>
      </c>
      <c r="V10" s="205">
        <v>0.03</v>
      </c>
      <c r="W10" s="205">
        <v>0.03</v>
      </c>
      <c r="AC10" s="54">
        <f>AC9/AC4</f>
        <v>0.12307208057916273</v>
      </c>
      <c r="AD10" s="54">
        <f>AD9/AD4</f>
        <v>0.13004734057365636</v>
      </c>
      <c r="AE10" s="54">
        <f>AE9/AE4</f>
        <v>0.239682132786465</v>
      </c>
      <c r="AF10" s="54">
        <f>AF9/AF4</f>
        <v>0.11726770467101959</v>
      </c>
      <c r="AG10" s="54">
        <f>AG9/AG4</f>
        <v>0.12383095597968309</v>
      </c>
      <c r="AH10" s="54">
        <f>AH9/AH4</f>
        <v>0.12259698498832405</v>
      </c>
      <c r="AI10" s="54">
        <f>AI9/AI4</f>
        <v>0.12166104144302423</v>
      </c>
      <c r="AJ10" s="54">
        <f>AJ9/AJ4</f>
        <v>0.12090524005863149</v>
      </c>
      <c r="AK10" s="54">
        <f>AK9/AK4</f>
        <v>6.1031072027978882E-2</v>
      </c>
    </row>
    <row r="11" spans="2:37" s="3" customFormat="1" ht="15" thickBot="1" x14ac:dyDescent="0.35">
      <c r="B11" s="88" t="s">
        <v>119</v>
      </c>
      <c r="C11" s="77">
        <f>'Financial Statements'!C47</f>
        <v>3051</v>
      </c>
      <c r="D11" s="77">
        <f>'Financial Statements'!D47</f>
        <v>3177</v>
      </c>
      <c r="E11" s="94">
        <f>'Financial Statements'!E47</f>
        <v>3177</v>
      </c>
      <c r="F11" s="77">
        <f>'Financial Statements'!F47</f>
        <v>3232</v>
      </c>
      <c r="G11" s="77">
        <f>'Financial Statements'!G47</f>
        <v>3591</v>
      </c>
      <c r="H11" s="77">
        <f>'Financial Statements'!H47</f>
        <v>3614</v>
      </c>
      <c r="I11" s="83">
        <f>'Financial Statements'!I47</f>
        <v>3901</v>
      </c>
      <c r="J11" s="77">
        <f>'Financial Statements'!J47</f>
        <v>4065</v>
      </c>
      <c r="K11" s="83">
        <f>'Financial Statements'!K47</f>
        <v>3982</v>
      </c>
      <c r="L11" s="77">
        <f>'Financial Statements'!L47</f>
        <v>4266</v>
      </c>
      <c r="M11" s="83">
        <f t="shared" ref="M11" si="13">M4+M5-M7-M9</f>
        <v>4409.4911999999995</v>
      </c>
      <c r="N11" s="83">
        <f t="shared" ref="N11:W11" si="14">N4+N5-N7-N9</f>
        <v>4691.0339779999995</v>
      </c>
      <c r="O11" s="83">
        <f t="shared" si="14"/>
        <v>4882.5640383199998</v>
      </c>
      <c r="P11" s="83">
        <f t="shared" si="14"/>
        <v>5093.8964635207994</v>
      </c>
      <c r="Q11" s="83">
        <f t="shared" si="14"/>
        <v>5259.8578876795518</v>
      </c>
      <c r="R11" s="83">
        <f t="shared" si="14"/>
        <v>5405.4719199437786</v>
      </c>
      <c r="S11" s="83">
        <f t="shared" si="14"/>
        <v>5551.3000230762518</v>
      </c>
      <c r="T11" s="83">
        <f t="shared" si="14"/>
        <v>5635.0543423824274</v>
      </c>
      <c r="U11" s="83">
        <f t="shared" si="14"/>
        <v>5765.6255427184551</v>
      </c>
      <c r="V11" s="83">
        <f t="shared" si="14"/>
        <v>5963.7847167483733</v>
      </c>
      <c r="W11" s="83">
        <f t="shared" si="14"/>
        <v>6252.0192199512649</v>
      </c>
      <c r="AC11" s="89">
        <f>'Financial Statements'!AC47</f>
        <v>3591</v>
      </c>
      <c r="AD11" s="89">
        <f>'Financial Statements'!AD47</f>
        <v>3901</v>
      </c>
      <c r="AE11" s="89">
        <f>'Financial Statements'!AE47</f>
        <v>3982</v>
      </c>
      <c r="AF11" s="94">
        <f>AF4+AF5-AF7-AF9</f>
        <v>4409.4911999999995</v>
      </c>
      <c r="AG11" s="94">
        <f>AG4+AG5-AG7-AG9</f>
        <v>4882.5640383199998</v>
      </c>
      <c r="AH11" s="94">
        <f>AH4+AH5-AH7-AH9</f>
        <v>5259.8578876795518</v>
      </c>
      <c r="AI11" s="94">
        <f>AI4+AI5-AI7-AI9</f>
        <v>5551.3000230762527</v>
      </c>
      <c r="AJ11" s="94">
        <f>AJ4+AJ5-AJ7-AJ9</f>
        <v>5765.6255427184551</v>
      </c>
      <c r="AK11" s="94">
        <f>AK4+AK5-AK7-AK9</f>
        <v>6252.0192199512649</v>
      </c>
    </row>
    <row r="12" spans="2:37" ht="15" thickBot="1" x14ac:dyDescent="0.35">
      <c r="J12">
        <f>J4+J5-J7-J9</f>
        <v>4065</v>
      </c>
      <c r="L12">
        <f>L4+L5-L7-L9</f>
        <v>4266</v>
      </c>
      <c r="AD12">
        <f>AD4+AD5-AD7-AD9</f>
        <v>3901</v>
      </c>
      <c r="AE12">
        <f>AE4+AE5-AE7-AE9</f>
        <v>3982</v>
      </c>
    </row>
    <row r="13" spans="2:37" x14ac:dyDescent="0.3">
      <c r="B13" s="169" t="s">
        <v>126</v>
      </c>
      <c r="C13" s="87"/>
      <c r="D13" s="87"/>
      <c r="E13" s="97"/>
      <c r="F13" s="87"/>
      <c r="G13" s="87"/>
      <c r="H13" s="87"/>
      <c r="I13" s="87"/>
      <c r="J13" s="87"/>
      <c r="K13" s="87"/>
      <c r="L13" s="87"/>
      <c r="M13" s="179"/>
      <c r="N13" s="179"/>
      <c r="O13" s="179"/>
      <c r="P13" s="179"/>
      <c r="Q13" s="179"/>
      <c r="R13" s="179"/>
      <c r="S13" s="179"/>
      <c r="T13" s="179"/>
      <c r="U13" s="179"/>
      <c r="V13" s="179"/>
      <c r="W13" s="179"/>
      <c r="AC13" s="97"/>
      <c r="AD13" s="97"/>
      <c r="AE13" s="97"/>
      <c r="AF13" s="183"/>
      <c r="AG13" s="183"/>
      <c r="AH13" s="183"/>
      <c r="AI13" s="183"/>
      <c r="AJ13" s="183"/>
      <c r="AK13" s="184"/>
    </row>
    <row r="14" spans="2:37" x14ac:dyDescent="0.3">
      <c r="B14" s="170" t="s">
        <v>130</v>
      </c>
      <c r="C14" s="96">
        <v>182.5</v>
      </c>
      <c r="D14" s="96">
        <v>182.5</v>
      </c>
      <c r="E14" s="98">
        <v>365</v>
      </c>
      <c r="F14" s="96">
        <v>182.5</v>
      </c>
      <c r="G14" s="96">
        <v>182.5</v>
      </c>
      <c r="H14" s="96">
        <v>182.5</v>
      </c>
      <c r="I14" s="96">
        <v>182.5</v>
      </c>
      <c r="J14" s="96">
        <v>183</v>
      </c>
      <c r="K14" s="96">
        <v>183</v>
      </c>
      <c r="L14" s="96">
        <v>182.5</v>
      </c>
      <c r="M14" s="181">
        <v>182.5</v>
      </c>
      <c r="N14" s="181">
        <v>182.5</v>
      </c>
      <c r="O14" s="181">
        <v>182.5</v>
      </c>
      <c r="P14" s="181">
        <v>182.5</v>
      </c>
      <c r="Q14" s="181">
        <v>182.5</v>
      </c>
      <c r="R14" s="181">
        <v>183</v>
      </c>
      <c r="S14" s="181">
        <v>183</v>
      </c>
      <c r="T14" s="181">
        <v>182.5</v>
      </c>
      <c r="U14" s="181">
        <v>182.5</v>
      </c>
      <c r="V14" s="181">
        <v>182.5</v>
      </c>
      <c r="W14" s="181">
        <v>182.5</v>
      </c>
      <c r="Y14" s="3"/>
      <c r="Z14" s="3"/>
      <c r="AA14" s="3"/>
      <c r="AC14" s="98">
        <v>365</v>
      </c>
      <c r="AD14" s="98">
        <v>365</v>
      </c>
      <c r="AE14" s="98">
        <v>366</v>
      </c>
      <c r="AF14" s="185">
        <v>365</v>
      </c>
      <c r="AG14" s="185">
        <v>365</v>
      </c>
      <c r="AH14" s="185">
        <v>365</v>
      </c>
      <c r="AI14" s="185">
        <v>366</v>
      </c>
      <c r="AJ14" s="185">
        <v>365</v>
      </c>
      <c r="AK14" s="186">
        <v>365</v>
      </c>
    </row>
    <row r="15" spans="2:37" x14ac:dyDescent="0.3">
      <c r="B15" s="171" t="s">
        <v>3</v>
      </c>
      <c r="C15">
        <f>'Financial Statements'!C4</f>
        <v>4985</v>
      </c>
      <c r="D15">
        <f>'Financial Statements'!D4</f>
        <v>3839</v>
      </c>
      <c r="E15" s="17">
        <f>'Financial Statements'!E4</f>
        <v>8824</v>
      </c>
      <c r="F15">
        <f>'Financial Statements'!F4</f>
        <v>5959</v>
      </c>
      <c r="G15">
        <f>'Financial Statements'!G4</f>
        <v>4742</v>
      </c>
      <c r="H15">
        <f>'Financial Statements'!H4</f>
        <v>7116</v>
      </c>
      <c r="I15">
        <f>'Financial Statements'!I4</f>
        <v>5021</v>
      </c>
      <c r="J15">
        <f>'Financial Statements'!J4</f>
        <v>6590</v>
      </c>
      <c r="K15">
        <f>'Financial Statements'!K4</f>
        <v>5008</v>
      </c>
      <c r="L15">
        <f>'Financial Statements'!L4</f>
        <v>6176</v>
      </c>
      <c r="M15">
        <f>'Financial Statements'!M4</f>
        <v>4993.1399999999994</v>
      </c>
      <c r="N15">
        <f>'Financial Statements'!N4</f>
        <v>5748.5499999999993</v>
      </c>
      <c r="O15">
        <f>'Financial Statements'!O4</f>
        <v>4978.8642</v>
      </c>
      <c r="P15">
        <f>'Financial Statements'!P4</f>
        <v>5308.276499999999</v>
      </c>
      <c r="Q15">
        <f>'Financial Statements'!Q4</f>
        <v>4964.1601260000007</v>
      </c>
      <c r="R15">
        <f>'Financial Statements'!R4</f>
        <v>4854.7947949999989</v>
      </c>
      <c r="S15">
        <f>'Financial Statements'!S4</f>
        <v>4949.0149297800008</v>
      </c>
      <c r="T15">
        <f>'Financial Statements'!T4</f>
        <v>4387.7086388499993</v>
      </c>
      <c r="U15">
        <f>'Financial Statements'!U4</f>
        <v>4933.4153776734001</v>
      </c>
      <c r="V15">
        <f>'Financial Statements'!V4</f>
        <v>3906.6098980154993</v>
      </c>
      <c r="W15">
        <f>'Financial Statements'!W4</f>
        <v>4917.3478390036025</v>
      </c>
      <c r="AC15" s="17">
        <f>'Financial Statements'!AC4</f>
        <v>10701</v>
      </c>
      <c r="AD15" s="17">
        <f>'Financial Statements'!AD4</f>
        <v>12137</v>
      </c>
      <c r="AE15" s="17">
        <f>'Financial Statements'!AE4</f>
        <v>11598</v>
      </c>
      <c r="AF15" s="17">
        <f>'Financial Statements'!AF4</f>
        <v>11169.140000000001</v>
      </c>
      <c r="AG15" s="17">
        <f>'Financial Statements'!AG4</f>
        <v>10727.414199999999</v>
      </c>
      <c r="AH15" s="17">
        <f>'Financial Statements'!AH4</f>
        <v>10272.436625999999</v>
      </c>
      <c r="AI15" s="17">
        <f>'Financial Statements'!AI4</f>
        <v>9803.8097247799979</v>
      </c>
      <c r="AJ15" s="17">
        <f>'Financial Statements'!AJ4</f>
        <v>9321.1240165233976</v>
      </c>
      <c r="AK15" s="22">
        <f>'Financial Statements'!AK4</f>
        <v>8823.9577370190982</v>
      </c>
    </row>
    <row r="16" spans="2:37" x14ac:dyDescent="0.3">
      <c r="B16" s="171" t="s">
        <v>4</v>
      </c>
      <c r="C16">
        <f>'Financial Statements'!C5</f>
        <v>1964</v>
      </c>
      <c r="D16">
        <f>'Financial Statements'!D5</f>
        <v>1567</v>
      </c>
      <c r="E16" s="17">
        <f>'Financial Statements'!E5</f>
        <v>3531</v>
      </c>
      <c r="F16">
        <f>'Financial Statements'!F5</f>
        <v>2319</v>
      </c>
      <c r="G16">
        <f>'Financial Statements'!G5</f>
        <v>1909</v>
      </c>
      <c r="H16">
        <f>'Financial Statements'!H5</f>
        <v>2747</v>
      </c>
      <c r="I16">
        <f>'Financial Statements'!I5</f>
        <v>2144</v>
      </c>
      <c r="J16">
        <f>'Financial Statements'!J5</f>
        <v>2509</v>
      </c>
      <c r="K16">
        <f>'Financial Statements'!K5</f>
        <v>2114</v>
      </c>
      <c r="L16">
        <f>'Financial Statements'!L5</f>
        <v>2403</v>
      </c>
      <c r="M16">
        <f>'Financial Statements'!M5</f>
        <v>2084.4999999999991</v>
      </c>
      <c r="N16">
        <f>'Financial Statements'!N5</f>
        <v>2296.9099999999989</v>
      </c>
      <c r="O16">
        <f>'Financial Statements'!O5</f>
        <v>2052.9186</v>
      </c>
      <c r="P16">
        <f>'Financial Statements'!P5</f>
        <v>2190.850899999999</v>
      </c>
      <c r="Q16">
        <f>'Financial Statements'!Q5</f>
        <v>2020.2167020000006</v>
      </c>
      <c r="R16">
        <f>'Financial Statements'!R5</f>
        <v>2084.952170999999</v>
      </c>
      <c r="S16">
        <f>'Financial Statements'!S5</f>
        <v>1986.3537688200004</v>
      </c>
      <c r="T16">
        <f>'Financial Statements'!T5</f>
        <v>1979.3523098899996</v>
      </c>
      <c r="U16">
        <f>'Financial Statements'!U5</f>
        <v>1951.2877702749997</v>
      </c>
      <c r="V16">
        <f>'Financial Statements'!V5</f>
        <v>1874.1993158970995</v>
      </c>
      <c r="W16">
        <f>'Financial Statements'!W5</f>
        <v>1914.9751273092666</v>
      </c>
      <c r="AC16" s="17">
        <f>'Financial Statements'!AC5</f>
        <v>4228</v>
      </c>
      <c r="AD16" s="17">
        <f>'Financial Statements'!AD5</f>
        <v>4891</v>
      </c>
      <c r="AE16" s="17">
        <f>'Financial Statements'!AE5</f>
        <v>4623</v>
      </c>
      <c r="AF16" s="17">
        <f>'Financial Statements'!AF5</f>
        <v>4486.5000000000009</v>
      </c>
      <c r="AG16" s="17">
        <f>'Financial Statements'!AG5</f>
        <v>4348.8285999999989</v>
      </c>
      <c r="AH16" s="17">
        <f>'Financial Statements'!AH5</f>
        <v>4210.0676019999983</v>
      </c>
      <c r="AI16" s="17">
        <f>'Financial Statements'!AI5</f>
        <v>4070.3059398199975</v>
      </c>
      <c r="AJ16" s="17">
        <f>'Financial Statements'!AJ5</f>
        <v>3929.6400801649979</v>
      </c>
      <c r="AK16" s="22">
        <f>'Financial Statements'!AK5</f>
        <v>3788.1744432063624</v>
      </c>
    </row>
    <row r="17" spans="2:37" x14ac:dyDescent="0.3">
      <c r="B17" s="172"/>
      <c r="E17" s="17"/>
      <c r="AC17" s="17"/>
      <c r="AD17" s="17"/>
      <c r="AE17" s="17"/>
      <c r="AF17" s="17"/>
      <c r="AG17" s="17"/>
      <c r="AH17" s="17"/>
      <c r="AI17" s="17"/>
      <c r="AJ17" s="17"/>
      <c r="AK17" s="22"/>
    </row>
    <row r="18" spans="2:37" x14ac:dyDescent="0.3">
      <c r="B18" s="172" t="s">
        <v>70</v>
      </c>
      <c r="C18">
        <f>'Financial Statements'!C54</f>
        <v>6139</v>
      </c>
      <c r="D18">
        <f>'Financial Statements'!D54</f>
        <v>6555</v>
      </c>
      <c r="E18" s="17">
        <f>'Financial Statements'!E54</f>
        <v>6555</v>
      </c>
      <c r="F18">
        <f>'Financial Statements'!F54</f>
        <v>6694</v>
      </c>
      <c r="G18">
        <f>'Financial Statements'!G54</f>
        <v>7369</v>
      </c>
      <c r="H18">
        <f>'Financial Statements'!H54</f>
        <v>7567</v>
      </c>
      <c r="I18">
        <f>'Financial Statements'!I54</f>
        <v>8104</v>
      </c>
      <c r="J18">
        <f>'Financial Statements'!J54</f>
        <v>8252</v>
      </c>
      <c r="K18">
        <f>'Financial Statements'!K54</f>
        <v>8255</v>
      </c>
      <c r="L18">
        <f>'Financial Statements'!L54</f>
        <v>8423</v>
      </c>
      <c r="M18" s="16">
        <f>+AF18</f>
        <v>7375.0684931506858</v>
      </c>
      <c r="N18" s="101">
        <f>N22*N16/N14</f>
        <v>7551.4849315068459</v>
      </c>
      <c r="O18" s="16">
        <f>+AG18</f>
        <v>7148.7593424657516</v>
      </c>
      <c r="P18" s="101">
        <f>P22*P16/P14</f>
        <v>7202.7974794520514</v>
      </c>
      <c r="Q18" s="16">
        <f>+AH18</f>
        <v>6920.6590717808194</v>
      </c>
      <c r="R18" s="101">
        <f>R22*R16/R14</f>
        <v>6835.9087573770457</v>
      </c>
      <c r="S18" s="16">
        <f>+AI18</f>
        <v>6672.6326882295043</v>
      </c>
      <c r="T18" s="101">
        <f>T22*T16/T14</f>
        <v>6507.4596489534224</v>
      </c>
      <c r="U18" s="16">
        <f>+AJ18</f>
        <v>6459.6823235589</v>
      </c>
      <c r="V18" s="101">
        <f>V22*V16/V14</f>
        <v>6161.7511755521082</v>
      </c>
      <c r="W18" s="16">
        <f>+AK18</f>
        <v>6227.1360710241579</v>
      </c>
      <c r="AC18" s="17">
        <f>'Financial Statements'!AC54</f>
        <v>7369</v>
      </c>
      <c r="AD18" s="17">
        <f>'Financial Statements'!AD54</f>
        <v>8104</v>
      </c>
      <c r="AE18" s="17">
        <f>'Financial Statements'!AE54</f>
        <v>8255</v>
      </c>
      <c r="AF18" s="17">
        <f>AF22*AF16/AF14</f>
        <v>7375.0684931506858</v>
      </c>
      <c r="AG18" s="17">
        <f>AG22*AG16/AG14</f>
        <v>7148.7593424657516</v>
      </c>
      <c r="AH18" s="17">
        <f>AH22*AH16/AH14</f>
        <v>6920.6590717808194</v>
      </c>
      <c r="AI18" s="17">
        <f>AI22*AI16/AI14</f>
        <v>6672.6326882295043</v>
      </c>
      <c r="AJ18" s="17">
        <f>AJ22*AJ16/AJ14</f>
        <v>6459.6823235589</v>
      </c>
      <c r="AK18" s="105">
        <f>AK22*AK16/AK14</f>
        <v>6227.1360710241579</v>
      </c>
    </row>
    <row r="19" spans="2:37" x14ac:dyDescent="0.3">
      <c r="B19" s="172" t="s">
        <v>124</v>
      </c>
      <c r="C19">
        <f>'Financial Statements'!C55</f>
        <v>1829</v>
      </c>
      <c r="D19">
        <f>'Financial Statements'!D55</f>
        <v>1126</v>
      </c>
      <c r="E19" s="17">
        <f>'Financial Statements'!E55</f>
        <v>1126</v>
      </c>
      <c r="F19">
        <f>'Financial Statements'!F55</f>
        <v>2233</v>
      </c>
      <c r="G19">
        <f>'Financial Statements'!G55</f>
        <v>1388</v>
      </c>
      <c r="H19">
        <f>'Financial Statements'!H55</f>
        <v>2469</v>
      </c>
      <c r="I19">
        <f>'Financial Statements'!I55</f>
        <v>1814</v>
      </c>
      <c r="J19">
        <f>'Financial Statements'!J55</f>
        <v>2458</v>
      </c>
      <c r="K19">
        <f>'Financial Statements'!K55</f>
        <v>1581</v>
      </c>
      <c r="L19">
        <f>'Financial Statements'!L55</f>
        <v>2203</v>
      </c>
      <c r="M19" s="16">
        <f>+AF19</f>
        <v>2080.8260821917811</v>
      </c>
      <c r="N19" s="101">
        <f>N23*N15/N14</f>
        <v>2141.9254794520548</v>
      </c>
      <c r="O19" s="16">
        <f>+AG19</f>
        <v>1998.5319605479451</v>
      </c>
      <c r="P19" s="101">
        <f>P23*P15/P14</f>
        <v>1977.8783671232873</v>
      </c>
      <c r="Q19" s="16">
        <f>+AH19</f>
        <v>1913.7690152547943</v>
      </c>
      <c r="R19" s="101">
        <f>R23*R15/R14</f>
        <v>1803.9674648087428</v>
      </c>
      <c r="S19" s="16">
        <f>+AI19</f>
        <v>1821.4728450410926</v>
      </c>
      <c r="T19" s="101">
        <f>T23*T15/T14</f>
        <v>1634.8722599550683</v>
      </c>
      <c r="U19" s="16">
        <f>+AJ19</f>
        <v>1736.5381729413452</v>
      </c>
      <c r="V19" s="101">
        <f>V23*V15/V14</f>
        <v>1455.6135510413915</v>
      </c>
      <c r="W19" s="16">
        <f>+AK19</f>
        <v>1643.9154140199964</v>
      </c>
      <c r="AC19" s="17">
        <f>'Financial Statements'!AC55</f>
        <v>1388</v>
      </c>
      <c r="AD19" s="17">
        <f>'Financial Statements'!AD55</f>
        <v>1814</v>
      </c>
      <c r="AE19" s="17">
        <f>'Financial Statements'!AE55</f>
        <v>1581</v>
      </c>
      <c r="AF19" s="17">
        <f>AF23*AF15/AF14</f>
        <v>2080.8260821917811</v>
      </c>
      <c r="AG19" s="17">
        <f>AG23*AG15/AG14</f>
        <v>1998.5319605479451</v>
      </c>
      <c r="AH19" s="17">
        <f>AH23*AH15/AH14</f>
        <v>1913.7690152547943</v>
      </c>
      <c r="AI19" s="17">
        <f>AI23*AI15/AI14</f>
        <v>1821.4728450410926</v>
      </c>
      <c r="AJ19" s="17">
        <f>AJ23*AJ15/AJ14</f>
        <v>1736.5381729413452</v>
      </c>
      <c r="AK19" s="105">
        <f>AK23*AK15/AK14</f>
        <v>1643.9154140199964</v>
      </c>
    </row>
    <row r="20" spans="2:37" x14ac:dyDescent="0.3">
      <c r="B20" s="172" t="s">
        <v>125</v>
      </c>
      <c r="C20">
        <f>'Financial Statements'!C82</f>
        <v>2345</v>
      </c>
      <c r="D20">
        <f>'Financial Statements'!D82</f>
        <v>2337</v>
      </c>
      <c r="E20" s="17">
        <f>'Financial Statements'!E82</f>
        <v>2337</v>
      </c>
      <c r="F20">
        <f>'Financial Statements'!F82</f>
        <v>2976</v>
      </c>
      <c r="G20">
        <f>'Financial Statements'!G82</f>
        <v>3019</v>
      </c>
      <c r="H20">
        <f>'Financial Statements'!H82</f>
        <v>3222</v>
      </c>
      <c r="I20">
        <f>'Financial Statements'!I82</f>
        <v>3461</v>
      </c>
      <c r="J20">
        <f>'Financial Statements'!J82</f>
        <v>3068</v>
      </c>
      <c r="K20">
        <f>'Financial Statements'!K82</f>
        <v>2930</v>
      </c>
      <c r="L20">
        <f>'Financial Statements'!L82</f>
        <v>2727</v>
      </c>
      <c r="M20" s="16">
        <f>+AF20</f>
        <v>2741.0671232876721</v>
      </c>
      <c r="N20" s="101">
        <f>N24*N16/N14</f>
        <v>2806.6352328767111</v>
      </c>
      <c r="O20" s="16">
        <f>+AG20</f>
        <v>2656.9555556164378</v>
      </c>
      <c r="P20" s="101">
        <f>P24*P16/P14</f>
        <v>2677.0397298630128</v>
      </c>
      <c r="Q20" s="16">
        <f>+AH20</f>
        <v>2572.1782883452042</v>
      </c>
      <c r="R20" s="101">
        <f>R24*R16/R14</f>
        <v>2540.6794214918018</v>
      </c>
      <c r="S20" s="16">
        <f>+AI20</f>
        <v>2479.9951491252991</v>
      </c>
      <c r="T20" s="101">
        <f>T24*T16/T14</f>
        <v>2418.6058361943556</v>
      </c>
      <c r="U20" s="16">
        <f>+AJ20</f>
        <v>2400.8485969227249</v>
      </c>
      <c r="V20" s="101">
        <f>V24*V16/V14</f>
        <v>2290.1175202468667</v>
      </c>
      <c r="W20" s="16">
        <f>+AK20</f>
        <v>2314.4189063973117</v>
      </c>
      <c r="AC20" s="17">
        <f>'Financial Statements'!AC82</f>
        <v>3019</v>
      </c>
      <c r="AD20" s="17">
        <f>'Financial Statements'!AD82</f>
        <v>3461</v>
      </c>
      <c r="AE20" s="17">
        <f>'Financial Statements'!AE82</f>
        <v>2930</v>
      </c>
      <c r="AF20" s="17">
        <f>AF24*AF16/AF14</f>
        <v>2741.0671232876721</v>
      </c>
      <c r="AG20" s="17">
        <f>AG24*AG16/AG14</f>
        <v>2656.9555556164378</v>
      </c>
      <c r="AH20" s="17">
        <f>AH24*AH16/AH14</f>
        <v>2572.1782883452042</v>
      </c>
      <c r="AI20" s="17">
        <f>AI24*AI16/AI14</f>
        <v>2479.9951491252991</v>
      </c>
      <c r="AJ20" s="17">
        <f>AJ24*AJ16/AJ14</f>
        <v>2400.8485969227249</v>
      </c>
      <c r="AK20" s="105">
        <f>AK24*AK16/AK14</f>
        <v>2314.4189063973117</v>
      </c>
    </row>
    <row r="21" spans="2:37" x14ac:dyDescent="0.3">
      <c r="B21" s="172"/>
      <c r="E21" s="17"/>
      <c r="AC21" s="17"/>
      <c r="AD21" s="17"/>
      <c r="AE21" s="17"/>
      <c r="AF21" s="17"/>
      <c r="AG21" s="17"/>
      <c r="AH21" s="17"/>
      <c r="AI21" s="17"/>
      <c r="AJ21" s="17"/>
      <c r="AK21" s="22"/>
    </row>
    <row r="22" spans="2:37" x14ac:dyDescent="0.3">
      <c r="B22" s="172" t="s">
        <v>127</v>
      </c>
      <c r="C22" s="59">
        <f t="shared" ref="C22:J22" si="15">C18/C16*C14</f>
        <v>570.45188391038698</v>
      </c>
      <c r="D22" s="59">
        <f t="shared" si="15"/>
        <v>763.42533503509901</v>
      </c>
      <c r="E22" s="99">
        <f t="shared" si="15"/>
        <v>677.59133389974511</v>
      </c>
      <c r="F22" s="59">
        <f t="shared" si="15"/>
        <v>526.80250107805091</v>
      </c>
      <c r="G22" s="59">
        <f t="shared" si="15"/>
        <v>704.4748559455212</v>
      </c>
      <c r="H22" s="59">
        <f t="shared" si="15"/>
        <v>502.72206042955952</v>
      </c>
      <c r="I22" s="59">
        <f t="shared" si="15"/>
        <v>689.82276119402991</v>
      </c>
      <c r="J22" s="59">
        <f t="shared" si="15"/>
        <v>601.8796333200479</v>
      </c>
      <c r="K22" s="59">
        <f t="shared" ref="K22:M22" si="16">K18/K16*K14</f>
        <v>714.60028382213818</v>
      </c>
      <c r="L22" s="59">
        <f t="shared" si="16"/>
        <v>639.69933416562628</v>
      </c>
      <c r="M22" s="59">
        <f t="shared" si="16"/>
        <v>645.69441112976767</v>
      </c>
      <c r="N22" s="102">
        <v>600</v>
      </c>
      <c r="O22" s="59">
        <f t="shared" ref="O22" si="17">O18/O16*O14</f>
        <v>635.5091624188118</v>
      </c>
      <c r="P22" s="102">
        <v>600</v>
      </c>
      <c r="Q22" s="59">
        <f t="shared" ref="Q22" si="18">Q18/Q16*Q14</f>
        <v>625.19049533132659</v>
      </c>
      <c r="R22" s="102">
        <v>600</v>
      </c>
      <c r="S22" s="59">
        <f t="shared" ref="S22" si="19">S18/S16*S14</f>
        <v>614.74033533885188</v>
      </c>
      <c r="T22" s="102">
        <v>600</v>
      </c>
      <c r="U22" s="59">
        <f t="shared" ref="U22" si="20">U18/U16*U14</f>
        <v>604.16102740363874</v>
      </c>
      <c r="V22" s="102">
        <v>600</v>
      </c>
      <c r="W22" s="59">
        <f t="shared" ref="W22" si="21">W18/W16*W14</f>
        <v>593.45540145930727</v>
      </c>
      <c r="AC22" s="99">
        <f>AC18/AC16*AC14</f>
        <v>636.16012298959322</v>
      </c>
      <c r="AD22" s="99">
        <f>AD18/AD16*AD14</f>
        <v>604.77611940298516</v>
      </c>
      <c r="AE22" s="99">
        <f>AE18/AE16*AE14</f>
        <v>653.5431537962362</v>
      </c>
      <c r="AF22" s="191">
        <v>600</v>
      </c>
      <c r="AG22" s="191">
        <v>600</v>
      </c>
      <c r="AH22" s="191">
        <v>600</v>
      </c>
      <c r="AI22" s="191">
        <v>600</v>
      </c>
      <c r="AJ22" s="191">
        <v>600</v>
      </c>
      <c r="AK22" s="106">
        <v>600</v>
      </c>
    </row>
    <row r="23" spans="2:37" x14ac:dyDescent="0.3">
      <c r="B23" s="172" t="s">
        <v>128</v>
      </c>
      <c r="C23" s="59">
        <f t="shared" ref="C23:J23" si="22">C19/C15*C14</f>
        <v>66.95937813440321</v>
      </c>
      <c r="D23" s="59">
        <f t="shared" si="22"/>
        <v>53.528262568377187</v>
      </c>
      <c r="E23" s="99">
        <f t="shared" si="22"/>
        <v>46.576382592928375</v>
      </c>
      <c r="F23" s="59">
        <f t="shared" si="22"/>
        <v>68.387732841080719</v>
      </c>
      <c r="G23" s="59">
        <f t="shared" si="22"/>
        <v>53.418388865457608</v>
      </c>
      <c r="H23" s="59">
        <f t="shared" si="22"/>
        <v>63.321037099494099</v>
      </c>
      <c r="I23" s="59">
        <f t="shared" si="22"/>
        <v>65.934076877116112</v>
      </c>
      <c r="J23" s="59">
        <f t="shared" si="22"/>
        <v>68.257056145675264</v>
      </c>
      <c r="K23" s="59">
        <f t="shared" ref="K23:M23" si="23">K19/K15*K14</f>
        <v>57.772164536741208</v>
      </c>
      <c r="L23" s="59">
        <f t="shared" si="23"/>
        <v>65.098364637305693</v>
      </c>
      <c r="M23" s="59">
        <f t="shared" si="23"/>
        <v>76.05449877231564</v>
      </c>
      <c r="N23" s="102">
        <v>68</v>
      </c>
      <c r="O23" s="59">
        <f t="shared" ref="O23" si="24">O19/O15*O14</f>
        <v>73.25608173848164</v>
      </c>
      <c r="P23" s="102">
        <v>68</v>
      </c>
      <c r="Q23" s="59">
        <f t="shared" ref="Q23" si="25">Q19/Q15*Q14</f>
        <v>70.35688543863057</v>
      </c>
      <c r="R23" s="102">
        <v>68</v>
      </c>
      <c r="S23" s="59">
        <f t="shared" ref="S23" si="26">S19/S15*S14</f>
        <v>67.352702582640518</v>
      </c>
      <c r="T23" s="102">
        <v>68</v>
      </c>
      <c r="U23" s="59">
        <f t="shared" ref="U23" si="27">U19/U15*U14</f>
        <v>64.239110697233485</v>
      </c>
      <c r="V23" s="102">
        <v>68</v>
      </c>
      <c r="W23" s="59">
        <f t="shared" ref="W23" si="28">W19/W15*W14</f>
        <v>61.01145838799173</v>
      </c>
      <c r="AC23" s="99">
        <f>AC19/AC15*AC14</f>
        <v>47.34323894963088</v>
      </c>
      <c r="AD23" s="99">
        <f>AD19/AD15*AD14</f>
        <v>54.553019691851361</v>
      </c>
      <c r="AE23" s="99">
        <f>AE19/AE15*AE14</f>
        <v>49.89187790998448</v>
      </c>
      <c r="AF23" s="191">
        <v>68</v>
      </c>
      <c r="AG23" s="191">
        <v>68</v>
      </c>
      <c r="AH23" s="191">
        <v>68</v>
      </c>
      <c r="AI23" s="191">
        <v>68</v>
      </c>
      <c r="AJ23" s="191">
        <v>68</v>
      </c>
      <c r="AK23" s="106">
        <v>68</v>
      </c>
    </row>
    <row r="24" spans="2:37" ht="15" thickBot="1" x14ac:dyDescent="0.35">
      <c r="B24" s="173" t="s">
        <v>129</v>
      </c>
      <c r="C24" s="103">
        <f t="shared" ref="C24:J24" si="29">C20/C16*C14</f>
        <v>217.90351323828921</v>
      </c>
      <c r="D24" s="103">
        <f t="shared" si="29"/>
        <v>272.1777281429483</v>
      </c>
      <c r="E24" s="100">
        <f t="shared" si="29"/>
        <v>241.57604078164826</v>
      </c>
      <c r="F24" s="103">
        <f t="shared" si="29"/>
        <v>234.20439844760674</v>
      </c>
      <c r="G24" s="103">
        <f t="shared" si="29"/>
        <v>288.61576741749604</v>
      </c>
      <c r="H24" s="103">
        <f t="shared" si="29"/>
        <v>214.05715325809976</v>
      </c>
      <c r="I24" s="103">
        <f t="shared" si="29"/>
        <v>294.60471082089549</v>
      </c>
      <c r="J24" s="103">
        <f t="shared" si="29"/>
        <v>223.77202072538859</v>
      </c>
      <c r="K24" s="103">
        <f t="shared" ref="K24:M24" si="30">K20/K16*K14</f>
        <v>253.63765373699147</v>
      </c>
      <c r="L24" s="103">
        <f t="shared" si="30"/>
        <v>207.10674157303373</v>
      </c>
      <c r="M24" s="103">
        <f t="shared" si="30"/>
        <v>239.98308946989704</v>
      </c>
      <c r="N24" s="104">
        <v>223</v>
      </c>
      <c r="O24" s="103">
        <f t="shared" ref="O24" si="31">O20/O16*O14</f>
        <v>236.19757203232504</v>
      </c>
      <c r="P24" s="104">
        <v>223</v>
      </c>
      <c r="Q24" s="103">
        <f t="shared" ref="Q24" si="32">Q20/Q16*Q14</f>
        <v>232.3624674314764</v>
      </c>
      <c r="R24" s="104">
        <v>223</v>
      </c>
      <c r="S24" s="103">
        <f t="shared" ref="S24" si="33">S20/S16*S14</f>
        <v>228.47849130093994</v>
      </c>
      <c r="T24" s="104">
        <v>223</v>
      </c>
      <c r="U24" s="103">
        <f t="shared" ref="U24" si="34">U20/U16*U14</f>
        <v>224.5465151850191</v>
      </c>
      <c r="V24" s="104">
        <v>223</v>
      </c>
      <c r="W24" s="103">
        <f t="shared" ref="W24" si="35">W20/W16*W14</f>
        <v>220.56759087570916</v>
      </c>
      <c r="AC24" s="100">
        <f>AC20/AC16*AC14</f>
        <v>260.62795648060552</v>
      </c>
      <c r="AD24" s="100">
        <f>AD20/AD16*AD14</f>
        <v>258.28358208955223</v>
      </c>
      <c r="AE24" s="100">
        <f>AE20/AE16*AE14</f>
        <v>231.96625567813109</v>
      </c>
      <c r="AF24" s="192">
        <v>223</v>
      </c>
      <c r="AG24" s="192">
        <v>223</v>
      </c>
      <c r="AH24" s="192">
        <v>223</v>
      </c>
      <c r="AI24" s="192">
        <v>223</v>
      </c>
      <c r="AJ24" s="192">
        <v>223</v>
      </c>
      <c r="AK24" s="107">
        <v>223</v>
      </c>
    </row>
    <row r="26" spans="2:37" ht="15" thickBot="1" x14ac:dyDescent="0.35"/>
    <row r="27" spans="2:37" x14ac:dyDescent="0.3">
      <c r="B27" s="169" t="s">
        <v>131</v>
      </c>
      <c r="C27" s="87"/>
      <c r="D27" s="87"/>
      <c r="E27" s="87"/>
      <c r="F27" s="87"/>
      <c r="G27" s="87"/>
      <c r="H27" s="87"/>
      <c r="I27" s="87"/>
      <c r="J27" s="87"/>
      <c r="K27" s="87"/>
      <c r="L27" s="87"/>
      <c r="M27" s="179"/>
      <c r="N27" s="179"/>
      <c r="O27" s="179"/>
      <c r="P27" s="179"/>
      <c r="Q27" s="179"/>
      <c r="R27" s="179"/>
      <c r="S27" s="179"/>
      <c r="T27" s="179"/>
      <c r="U27" s="179"/>
      <c r="V27" s="179"/>
      <c r="W27" s="179"/>
      <c r="AC27" s="87"/>
      <c r="AD27" s="87"/>
      <c r="AE27" s="87"/>
      <c r="AF27" s="179"/>
      <c r="AG27" s="179"/>
      <c r="AH27" s="179"/>
      <c r="AI27" s="179"/>
      <c r="AJ27" s="179"/>
      <c r="AK27" s="180"/>
    </row>
    <row r="28" spans="2:37" x14ac:dyDescent="0.3">
      <c r="B28" s="174" t="s">
        <v>122</v>
      </c>
      <c r="D28">
        <f>C31</f>
        <v>8680</v>
      </c>
      <c r="E28" s="81">
        <f>D31</f>
        <v>8787</v>
      </c>
      <c r="F28">
        <f>E31</f>
        <v>8787</v>
      </c>
      <c r="G28">
        <f>F31</f>
        <v>8236</v>
      </c>
      <c r="H28">
        <f>AC31</f>
        <v>9238</v>
      </c>
      <c r="I28">
        <f>H31</f>
        <v>9732</v>
      </c>
      <c r="J28">
        <f>AD31</f>
        <v>9678</v>
      </c>
      <c r="K28">
        <f>J31</f>
        <v>10318</v>
      </c>
      <c r="L28">
        <f>AE31</f>
        <v>10907</v>
      </c>
      <c r="M28">
        <f>L31</f>
        <v>11014</v>
      </c>
      <c r="N28">
        <f>AF31</f>
        <v>11514</v>
      </c>
      <c r="O28">
        <f>N31</f>
        <v>12014</v>
      </c>
      <c r="P28">
        <f>AG31</f>
        <v>12514</v>
      </c>
      <c r="Q28">
        <f>P31</f>
        <v>13014</v>
      </c>
      <c r="R28">
        <f>AH31</f>
        <v>13514</v>
      </c>
      <c r="S28">
        <f>R31</f>
        <v>14014</v>
      </c>
      <c r="T28">
        <f>AI31</f>
        <v>14514</v>
      </c>
      <c r="U28">
        <f>T31</f>
        <v>15014</v>
      </c>
      <c r="V28">
        <f>AJ31</f>
        <v>15514</v>
      </c>
      <c r="W28">
        <f>V31</f>
        <v>16014</v>
      </c>
      <c r="AC28" s="81">
        <f>E31</f>
        <v>8787</v>
      </c>
      <c r="AD28" s="81">
        <f>AC31</f>
        <v>9238</v>
      </c>
      <c r="AE28" s="81">
        <f>AD31</f>
        <v>9678</v>
      </c>
      <c r="AF28" s="81">
        <f>AE31</f>
        <v>10907</v>
      </c>
      <c r="AG28" s="81">
        <f>AF31</f>
        <v>11514</v>
      </c>
      <c r="AH28" s="81">
        <f>AG31</f>
        <v>12514</v>
      </c>
      <c r="AI28" s="81">
        <f>AH31</f>
        <v>13514</v>
      </c>
      <c r="AJ28" s="81">
        <f>AI31</f>
        <v>14514</v>
      </c>
      <c r="AK28" s="82">
        <f>AJ31</f>
        <v>15514</v>
      </c>
    </row>
    <row r="29" spans="2:37" x14ac:dyDescent="0.3">
      <c r="B29" s="172" t="s">
        <v>218</v>
      </c>
      <c r="D29">
        <f>D31-D28</f>
        <v>107</v>
      </c>
      <c r="E29" s="17">
        <f>E31-E28</f>
        <v>0</v>
      </c>
      <c r="F29">
        <f>F31-F28</f>
        <v>-551</v>
      </c>
      <c r="G29">
        <f>G31-G28</f>
        <v>1002</v>
      </c>
      <c r="H29">
        <f>-'Financial Statements'!H132</f>
        <v>811</v>
      </c>
      <c r="I29">
        <f>AD29-H29</f>
        <v>34</v>
      </c>
      <c r="J29" s="203">
        <f>J28+J30-J31</f>
        <v>1052</v>
      </c>
      <c r="K29">
        <f>AE29-J29</f>
        <v>305</v>
      </c>
      <c r="L29" s="203">
        <f>L28+L30-L31</f>
        <v>744</v>
      </c>
      <c r="M29">
        <v>500</v>
      </c>
      <c r="N29">
        <v>500</v>
      </c>
      <c r="O29">
        <v>500</v>
      </c>
      <c r="P29">
        <v>500</v>
      </c>
      <c r="Q29">
        <v>500</v>
      </c>
      <c r="R29">
        <v>500</v>
      </c>
      <c r="S29">
        <v>500</v>
      </c>
      <c r="T29">
        <v>500</v>
      </c>
      <c r="U29">
        <v>500</v>
      </c>
      <c r="V29">
        <v>500</v>
      </c>
      <c r="W29">
        <v>500</v>
      </c>
      <c r="AC29" s="17">
        <v>493</v>
      </c>
      <c r="AD29" s="17">
        <f>-'Financial Statements'!AD132</f>
        <v>845</v>
      </c>
      <c r="AE29" s="17">
        <f>-'Financial Statements'!AE132</f>
        <v>1357</v>
      </c>
      <c r="AF29" s="17">
        <f>L29+M29</f>
        <v>1244</v>
      </c>
      <c r="AG29" s="17">
        <f>N29+O29</f>
        <v>1000</v>
      </c>
      <c r="AH29" s="17">
        <f>P29+Q29</f>
        <v>1000</v>
      </c>
      <c r="AI29" s="17">
        <f>R29+S29</f>
        <v>1000</v>
      </c>
      <c r="AJ29" s="17">
        <f>T29+U29</f>
        <v>1000</v>
      </c>
      <c r="AK29" s="22">
        <f>V29+W29</f>
        <v>1000</v>
      </c>
    </row>
    <row r="30" spans="2:37" x14ac:dyDescent="0.3">
      <c r="B30" s="172" t="s">
        <v>219</v>
      </c>
      <c r="E30" s="17">
        <f>E31-E28+E29</f>
        <v>0</v>
      </c>
      <c r="F30">
        <f>F31-F28+F29</f>
        <v>-1102</v>
      </c>
      <c r="G30">
        <f>G31-G28+G29</f>
        <v>2004</v>
      </c>
      <c r="H30">
        <f>'Financial Statements'!H131</f>
        <v>1302</v>
      </c>
      <c r="I30">
        <f>I31-I28+I29</f>
        <v>-20</v>
      </c>
      <c r="J30" s="203">
        <f>'Financial Statements'!J131</f>
        <v>1692</v>
      </c>
      <c r="K30">
        <f>K31-K28+K29</f>
        <v>894</v>
      </c>
      <c r="L30" s="203">
        <f>'Financial Statements'!L131</f>
        <v>851</v>
      </c>
      <c r="M30">
        <v>1000</v>
      </c>
      <c r="N30">
        <v>1000</v>
      </c>
      <c r="O30">
        <v>1000</v>
      </c>
      <c r="P30">
        <v>1000</v>
      </c>
      <c r="Q30">
        <v>1000</v>
      </c>
      <c r="R30">
        <v>1000</v>
      </c>
      <c r="S30">
        <v>1000</v>
      </c>
      <c r="T30">
        <v>1000</v>
      </c>
      <c r="U30">
        <v>1000</v>
      </c>
      <c r="V30">
        <v>1000</v>
      </c>
      <c r="W30">
        <v>1000</v>
      </c>
      <c r="AC30" s="17">
        <f>AC31-AC28+AC29</f>
        <v>944</v>
      </c>
      <c r="AD30" s="17">
        <f>'Financial Statements'!AD131</f>
        <v>1702</v>
      </c>
      <c r="AE30" s="17">
        <f>'Financial Statements'!AE131</f>
        <v>2815</v>
      </c>
      <c r="AF30" s="200">
        <f>L30+M30</f>
        <v>1851</v>
      </c>
      <c r="AG30" s="200">
        <f>N30+O30</f>
        <v>2000</v>
      </c>
      <c r="AH30" s="200">
        <f>P30+Q30</f>
        <v>2000</v>
      </c>
      <c r="AI30" s="200">
        <f>R30+S30</f>
        <v>2000</v>
      </c>
      <c r="AJ30" s="200">
        <f>T30+U30</f>
        <v>2000</v>
      </c>
      <c r="AK30" s="22">
        <f>V30+W30</f>
        <v>2000</v>
      </c>
    </row>
    <row r="31" spans="2:37" x14ac:dyDescent="0.3">
      <c r="B31" s="174" t="s">
        <v>123</v>
      </c>
      <c r="C31">
        <f>'Financial Statements'!C75</f>
        <v>8680</v>
      </c>
      <c r="D31">
        <f>'Financial Statements'!D75</f>
        <v>8787</v>
      </c>
      <c r="E31" s="200">
        <f>'Financial Statements'!E75</f>
        <v>8787</v>
      </c>
      <c r="F31">
        <f>'Financial Statements'!F75</f>
        <v>8236</v>
      </c>
      <c r="G31">
        <f>'Financial Statements'!G75</f>
        <v>9238</v>
      </c>
      <c r="H31">
        <f>'Financial Statements'!H75</f>
        <v>9732</v>
      </c>
      <c r="I31">
        <f>'Financial Statements'!I75</f>
        <v>9678</v>
      </c>
      <c r="J31" s="203">
        <f>'Financial Statements'!J75</f>
        <v>10318</v>
      </c>
      <c r="K31">
        <f>'Financial Statements'!K75</f>
        <v>10907</v>
      </c>
      <c r="L31" s="203">
        <f>'Financial Statements'!L75</f>
        <v>11014</v>
      </c>
      <c r="M31">
        <f t="shared" ref="M31:W31" si="36">M28-M29+M30</f>
        <v>11514</v>
      </c>
      <c r="N31">
        <f t="shared" si="36"/>
        <v>12014</v>
      </c>
      <c r="O31">
        <f t="shared" si="36"/>
        <v>12514</v>
      </c>
      <c r="P31">
        <f t="shared" si="36"/>
        <v>13014</v>
      </c>
      <c r="Q31">
        <f t="shared" si="36"/>
        <v>13514</v>
      </c>
      <c r="R31">
        <f t="shared" si="36"/>
        <v>14014</v>
      </c>
      <c r="S31">
        <f t="shared" si="36"/>
        <v>14514</v>
      </c>
      <c r="T31">
        <f t="shared" si="36"/>
        <v>15014</v>
      </c>
      <c r="U31">
        <f t="shared" si="36"/>
        <v>15514</v>
      </c>
      <c r="V31">
        <f t="shared" si="36"/>
        <v>16014</v>
      </c>
      <c r="W31">
        <f t="shared" si="36"/>
        <v>16514</v>
      </c>
      <c r="AC31" s="200">
        <f>'Financial Statements'!AC75</f>
        <v>9238</v>
      </c>
      <c r="AD31" s="200">
        <f>'Financial Statements'!AD75</f>
        <v>9678</v>
      </c>
      <c r="AE31" s="200">
        <f>'Financial Statements'!AE75</f>
        <v>10907</v>
      </c>
      <c r="AF31" s="17">
        <f>AF28-AF29+AF30</f>
        <v>11514</v>
      </c>
      <c r="AG31" s="17">
        <f>AG28-AG29+AG30</f>
        <v>12514</v>
      </c>
      <c r="AH31" s="17">
        <f>AH28-AH29+AH30</f>
        <v>13514</v>
      </c>
      <c r="AI31" s="17">
        <f>AI28-AI29+AI30</f>
        <v>14514</v>
      </c>
      <c r="AJ31" s="17">
        <f>AJ28-AJ29+AJ30</f>
        <v>15514</v>
      </c>
      <c r="AK31" s="22">
        <f>AK28-AK29+AK30</f>
        <v>16514</v>
      </c>
    </row>
    <row r="32" spans="2:37" x14ac:dyDescent="0.3">
      <c r="B32" s="172" t="s">
        <v>132</v>
      </c>
      <c r="C32">
        <f>'Financial Statements'!C17</f>
        <v>265</v>
      </c>
      <c r="D32">
        <f>'Financial Statements'!D17</f>
        <v>145</v>
      </c>
      <c r="E32" s="17">
        <f>'Financial Statements'!E17</f>
        <v>410</v>
      </c>
      <c r="F32">
        <f>'Financial Statements'!F17</f>
        <v>154</v>
      </c>
      <c r="G32">
        <f>'Financial Statements'!G17</f>
        <v>154</v>
      </c>
      <c r="H32">
        <f>'Financial Statements'!H17</f>
        <v>163</v>
      </c>
      <c r="I32">
        <f>'Financial Statements'!I17</f>
        <v>217</v>
      </c>
      <c r="J32">
        <f>'Financial Statements'!J17</f>
        <v>249</v>
      </c>
      <c r="K32">
        <f>'Financial Statements'!K17</f>
        <v>256</v>
      </c>
      <c r="L32">
        <f>'Financial Statements'!L17</f>
        <v>287</v>
      </c>
      <c r="M32" s="214">
        <f>AF32-L32</f>
        <v>173.56</v>
      </c>
      <c r="N32" s="59">
        <f>N33*N31</f>
        <v>300.35000000000002</v>
      </c>
      <c r="O32" s="214">
        <f>AG32-N32</f>
        <v>200.20999999999998</v>
      </c>
      <c r="P32" s="59">
        <f>P33*P31</f>
        <v>325.35000000000002</v>
      </c>
      <c r="Q32" s="214">
        <f>AH32-P32</f>
        <v>215.21000000000004</v>
      </c>
      <c r="R32" s="59">
        <f>R33*R31</f>
        <v>350.35</v>
      </c>
      <c r="S32" s="214">
        <f>AI32-R32</f>
        <v>230.21000000000004</v>
      </c>
      <c r="T32" s="59">
        <f>T33*T31</f>
        <v>375.35</v>
      </c>
      <c r="U32" s="214">
        <f>AJ32-T32</f>
        <v>245.21000000000004</v>
      </c>
      <c r="V32" s="59">
        <f>V33*V31</f>
        <v>400.35</v>
      </c>
      <c r="W32" s="59">
        <f>AK32-V32</f>
        <v>260.21000000000004</v>
      </c>
      <c r="AC32" s="17">
        <f>'Financial Statements'!AC17</f>
        <v>308</v>
      </c>
      <c r="AD32" s="17">
        <f>'Financial Statements'!AD17</f>
        <v>380</v>
      </c>
      <c r="AE32" s="17">
        <f>'Financial Statements'!AE17</f>
        <v>505</v>
      </c>
      <c r="AF32" s="213">
        <f>AF33*AF31</f>
        <v>460.56</v>
      </c>
      <c r="AG32" s="213">
        <f>AG33*AG31</f>
        <v>500.56</v>
      </c>
      <c r="AH32" s="213">
        <f>AH33*AH31</f>
        <v>540.56000000000006</v>
      </c>
      <c r="AI32" s="213">
        <f>AI33*AI31</f>
        <v>580.56000000000006</v>
      </c>
      <c r="AJ32" s="213">
        <f>AJ33*AJ31</f>
        <v>620.56000000000006</v>
      </c>
      <c r="AK32" s="60">
        <f>AK33*AK31</f>
        <v>660.56000000000006</v>
      </c>
    </row>
    <row r="33" spans="2:37" ht="15" thickBot="1" x14ac:dyDescent="0.35">
      <c r="B33" s="173" t="s">
        <v>133</v>
      </c>
      <c r="C33" s="108">
        <f t="shared" ref="C33:E33" si="37">C32/C31</f>
        <v>3.0529953917050691E-2</v>
      </c>
      <c r="D33" s="108">
        <f t="shared" si="37"/>
        <v>1.65016501650165E-2</v>
      </c>
      <c r="E33" s="18">
        <f t="shared" si="37"/>
        <v>4.6659838397632866E-2</v>
      </c>
      <c r="F33" s="108">
        <f t="shared" ref="F33" si="38">F32/F31</f>
        <v>1.8698397280233123E-2</v>
      </c>
      <c r="G33" s="108">
        <f t="shared" ref="G33" si="39">G32/G31</f>
        <v>1.6670274951288158E-2</v>
      </c>
      <c r="H33" s="108">
        <f t="shared" ref="H33" si="40">H32/H31</f>
        <v>1.6748869708179202E-2</v>
      </c>
      <c r="I33" s="108">
        <f t="shared" ref="I33" si="41">I32/I31</f>
        <v>2.2421988014052489E-2</v>
      </c>
      <c r="J33" s="108">
        <f t="shared" ref="J33:K33" si="42">J32/J31</f>
        <v>2.4132583834076373E-2</v>
      </c>
      <c r="K33" s="108">
        <f t="shared" si="42"/>
        <v>2.3471165306683781E-2</v>
      </c>
      <c r="L33" s="108">
        <f t="shared" ref="L33:M33" si="43">L32/L31</f>
        <v>2.6057744688578174E-2</v>
      </c>
      <c r="M33" s="108">
        <f t="shared" si="43"/>
        <v>1.5073823171790863E-2</v>
      </c>
      <c r="N33" s="109">
        <v>2.5000000000000001E-2</v>
      </c>
      <c r="O33" s="108">
        <f t="shared" ref="O33" si="44">O32/O31</f>
        <v>1.5998881252996641E-2</v>
      </c>
      <c r="P33" s="109">
        <v>2.5000000000000001E-2</v>
      </c>
      <c r="Q33" s="108">
        <f t="shared" ref="Q33" si="45">Q32/Q31</f>
        <v>1.5924966701198761E-2</v>
      </c>
      <c r="R33" s="109">
        <v>2.5000000000000001E-2</v>
      </c>
      <c r="S33" s="108">
        <f t="shared" ref="S33" si="46">S32/S31</f>
        <v>1.5861237425933584E-2</v>
      </c>
      <c r="T33" s="109">
        <v>2.5000000000000001E-2</v>
      </c>
      <c r="U33" s="108">
        <f t="shared" ref="U33" si="47">U32/U31</f>
        <v>1.5805723862317909E-2</v>
      </c>
      <c r="V33" s="109">
        <v>2.5000000000000001E-2</v>
      </c>
      <c r="W33" s="109">
        <f t="shared" ref="W33" si="48">W32/W31</f>
        <v>1.57569335109604E-2</v>
      </c>
      <c r="AC33" s="18">
        <f t="shared" ref="AC33" si="49">AC32/AC31</f>
        <v>3.3340549902576316E-2</v>
      </c>
      <c r="AD33" s="18">
        <f t="shared" ref="AD33" si="50">AD32/AD31</f>
        <v>3.9264310808018184E-2</v>
      </c>
      <c r="AE33" s="18">
        <f>AE32/AE31</f>
        <v>4.6300540937012927E-2</v>
      </c>
      <c r="AF33" s="212">
        <v>0.04</v>
      </c>
      <c r="AG33" s="212">
        <v>0.04</v>
      </c>
      <c r="AH33" s="212">
        <v>0.04</v>
      </c>
      <c r="AI33" s="212">
        <v>0.04</v>
      </c>
      <c r="AJ33" s="212">
        <v>0.04</v>
      </c>
      <c r="AK33" s="110">
        <v>0.04</v>
      </c>
    </row>
  </sheetData>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45807-BD05-4DA5-A77C-488289283C11}">
  <dimension ref="A2:K100"/>
  <sheetViews>
    <sheetView showGridLines="0" workbookViewId="0">
      <pane xSplit="2" ySplit="5" topLeftCell="C6" activePane="bottomRight" state="frozen"/>
      <selection pane="topRight" activeCell="C1" sqref="C1"/>
      <selection pane="bottomLeft" activeCell="A6" sqref="A6"/>
      <selection pane="bottomRight" activeCell="F22" sqref="F22"/>
    </sheetView>
  </sheetViews>
  <sheetFormatPr defaultColWidth="14.44140625" defaultRowHeight="15" customHeight="1" x14ac:dyDescent="0.3"/>
  <cols>
    <col min="1" max="1" width="35.6640625" style="112" customWidth="1"/>
    <col min="2" max="2" width="0.5546875" style="112" customWidth="1"/>
    <col min="3" max="3" width="10.6640625" style="112" customWidth="1"/>
    <col min="4" max="4" width="10.88671875" style="112" customWidth="1"/>
    <col min="5" max="6" width="9.88671875" style="112" customWidth="1"/>
    <col min="7" max="7" width="10.44140625" style="112" customWidth="1"/>
    <col min="8" max="11" width="8.6640625" style="112" customWidth="1"/>
    <col min="12" max="16384" width="14.44140625" style="112"/>
  </cols>
  <sheetData>
    <row r="2" spans="1:11" ht="14.4" x14ac:dyDescent="0.3">
      <c r="A2" s="111"/>
    </row>
    <row r="3" spans="1:11" ht="14.4" x14ac:dyDescent="0.3">
      <c r="A3" s="111" t="s">
        <v>235</v>
      </c>
    </row>
    <row r="4" spans="1:11" ht="14.4" x14ac:dyDescent="0.3">
      <c r="A4" s="113" t="s">
        <v>162</v>
      </c>
      <c r="B4" s="114"/>
      <c r="C4" s="115" t="s">
        <v>163</v>
      </c>
      <c r="D4" s="115" t="s">
        <v>164</v>
      </c>
      <c r="E4" s="115" t="s">
        <v>165</v>
      </c>
      <c r="F4" s="116" t="s">
        <v>166</v>
      </c>
      <c r="G4" s="116" t="s">
        <v>222</v>
      </c>
    </row>
    <row r="5" spans="1:11" ht="14.4" x14ac:dyDescent="0.3">
      <c r="A5" s="117" t="s">
        <v>136</v>
      </c>
      <c r="B5" s="111"/>
      <c r="C5" s="118">
        <v>0.5</v>
      </c>
      <c r="D5" s="118">
        <f>+C5+1</f>
        <v>1.5</v>
      </c>
      <c r="E5" s="118">
        <f>+D5+1</f>
        <v>2.5</v>
      </c>
      <c r="F5" s="119">
        <f>+E5+1</f>
        <v>3.5</v>
      </c>
      <c r="G5" s="119">
        <f>+F5+1</f>
        <v>4.5</v>
      </c>
    </row>
    <row r="6" spans="1:11" ht="14.4" x14ac:dyDescent="0.3">
      <c r="A6" s="112" t="s">
        <v>137</v>
      </c>
      <c r="C6" s="120">
        <f>'Financial Statements'!AF4</f>
        <v>11169.140000000001</v>
      </c>
      <c r="D6" s="120">
        <f>'Financial Statements'!AG4</f>
        <v>10727.414199999999</v>
      </c>
      <c r="E6" s="120">
        <f>'Financial Statements'!AH4</f>
        <v>10272.436625999999</v>
      </c>
      <c r="F6" s="121">
        <f>'Financial Statements'!AI4</f>
        <v>9803.8097247799979</v>
      </c>
      <c r="G6" s="121">
        <f>'Financial Statements'!AJ4</f>
        <v>9321.1240165233976</v>
      </c>
    </row>
    <row r="7" spans="1:11" ht="14.4" x14ac:dyDescent="0.3">
      <c r="A7" s="122" t="s">
        <v>8</v>
      </c>
      <c r="C7" s="120">
        <f>'Financial Statements'!AF15</f>
        <v>2755.0190000000002</v>
      </c>
      <c r="D7" s="120">
        <f>'Financial Statements'!AG15</f>
        <v>2967.3716593200006</v>
      </c>
      <c r="E7" s="120">
        <f>'Financial Statements'!AH15</f>
        <v>2871.4506789895522</v>
      </c>
      <c r="F7" s="121">
        <f>'Financial Statements'!AI15</f>
        <v>2790.4747513156008</v>
      </c>
      <c r="G7" s="121">
        <f>'Financial Statements'!AJ15</f>
        <v>2723.8486404294699</v>
      </c>
    </row>
    <row r="8" spans="1:11" ht="14.4" x14ac:dyDescent="0.3">
      <c r="A8" s="123" t="s">
        <v>138</v>
      </c>
      <c r="B8" s="124"/>
      <c r="C8" s="125">
        <f>'Financial Statements'!AF23</f>
        <v>0.23</v>
      </c>
      <c r="D8" s="125">
        <f>'Financial Statements'!AG23</f>
        <v>0.23</v>
      </c>
      <c r="E8" s="125">
        <f>'Financial Statements'!AH23</f>
        <v>0.23</v>
      </c>
      <c r="F8" s="126">
        <f>'Financial Statements'!AI23</f>
        <v>0.15</v>
      </c>
      <c r="G8" s="126">
        <f>'Financial Statements'!AJ23</f>
        <v>0.15</v>
      </c>
      <c r="H8" s="124"/>
      <c r="I8" s="124"/>
      <c r="J8" s="124"/>
      <c r="K8" s="124"/>
    </row>
    <row r="9" spans="1:11" ht="14.4" x14ac:dyDescent="0.3">
      <c r="A9" s="122" t="s">
        <v>139</v>
      </c>
      <c r="C9" s="120">
        <f t="shared" ref="C9" si="0">+C7*(1-C8)</f>
        <v>2121.36463</v>
      </c>
      <c r="D9" s="120">
        <f t="shared" ref="D9" si="1">+D7*(1-D8)</f>
        <v>2284.8761776764004</v>
      </c>
      <c r="E9" s="120">
        <f t="shared" ref="E9" si="2">+E7*(1-E8)</f>
        <v>2211.0170228219554</v>
      </c>
      <c r="F9" s="121">
        <f t="shared" ref="F9:G9" si="3">+F7*(1-F8)</f>
        <v>2371.9035386182604</v>
      </c>
      <c r="G9" s="121">
        <f t="shared" si="3"/>
        <v>2315.2713443650496</v>
      </c>
    </row>
    <row r="10" spans="1:11" ht="14.4" x14ac:dyDescent="0.3">
      <c r="A10" s="122" t="s">
        <v>7</v>
      </c>
      <c r="C10" s="120">
        <f>'Financial Statements'!AF102</f>
        <v>466.96</v>
      </c>
      <c r="D10" s="120">
        <f>'Financial Statements'!AG102</f>
        <v>546.03151067999988</v>
      </c>
      <c r="E10" s="120">
        <f>'Financial Statements'!AH102</f>
        <v>598.58763011044789</v>
      </c>
      <c r="F10" s="121">
        <f>'Financial Statements'!AI102</f>
        <v>639.91978845739982</v>
      </c>
      <c r="G10" s="121">
        <f>'Financial Statements'!AJ102</f>
        <v>671.18126192752084</v>
      </c>
    </row>
    <row r="11" spans="1:11" ht="14.4" x14ac:dyDescent="0.3">
      <c r="A11" s="122" t="s">
        <v>140</v>
      </c>
      <c r="C11" s="120">
        <f>'Financial Statements'!AF114</f>
        <v>157</v>
      </c>
      <c r="D11" s="120">
        <f>'Financial Statements'!AG114</f>
        <v>0</v>
      </c>
      <c r="E11" s="120">
        <f>'Financial Statements'!AH114</f>
        <v>0</v>
      </c>
      <c r="F11" s="121">
        <f>'Financial Statements'!AI114</f>
        <v>0</v>
      </c>
      <c r="G11" s="121">
        <f>'Financial Statements'!AJ114</f>
        <v>0</v>
      </c>
    </row>
    <row r="12" spans="1:11" ht="14.4" x14ac:dyDescent="0.3">
      <c r="A12" s="122" t="s">
        <v>141</v>
      </c>
      <c r="C12" s="120">
        <f>'Financial Statements'!AF122</f>
        <v>-769.45119999999997</v>
      </c>
      <c r="D12" s="120">
        <f>'Financial Statements'!AG122</f>
        <v>-1019.104349</v>
      </c>
      <c r="E12" s="120">
        <f>'Financial Statements'!AH122</f>
        <v>-975.88147946999993</v>
      </c>
      <c r="F12" s="121">
        <f>'Financial Statements'!AI122</f>
        <v>-931.36192385410004</v>
      </c>
      <c r="G12" s="121">
        <f>'Financial Statements'!AJ122</f>
        <v>-885.50678156972299</v>
      </c>
    </row>
    <row r="13" spans="1:11" ht="14.4" x14ac:dyDescent="0.3">
      <c r="A13" s="127" t="s">
        <v>142</v>
      </c>
      <c r="B13" s="128"/>
      <c r="C13" s="129">
        <f t="shared" ref="C13" si="4">+C9+C10+C11+C12</f>
        <v>1975.8734300000001</v>
      </c>
      <c r="D13" s="129">
        <f t="shared" ref="D13" si="5">+D9+D10+D11+D12</f>
        <v>1811.8033393564003</v>
      </c>
      <c r="E13" s="129">
        <f t="shared" ref="E13" si="6">+E9+E10+E11+E12</f>
        <v>1833.7231734624031</v>
      </c>
      <c r="F13" s="130">
        <f t="shared" ref="F13:G13" si="7">+F9+F10+F11+F12</f>
        <v>2080.46140322156</v>
      </c>
      <c r="G13" s="130">
        <f t="shared" si="7"/>
        <v>2100.9458247228476</v>
      </c>
    </row>
    <row r="14" spans="1:11" ht="14.4" x14ac:dyDescent="0.3">
      <c r="A14" s="122" t="s">
        <v>143</v>
      </c>
      <c r="C14" s="131">
        <f t="shared" ref="C14" si="8">1/(1+$C$30)^C5</f>
        <v>0.99258333397093024</v>
      </c>
      <c r="D14" s="131">
        <f t="shared" ref="D14" si="9">1/(1+$C$30)^D5</f>
        <v>0.97791461474968511</v>
      </c>
      <c r="E14" s="131">
        <f t="shared" ref="E14" si="10">1/(1+$C$30)^E5</f>
        <v>0.96346267463023172</v>
      </c>
      <c r="F14" s="132">
        <f t="shared" ref="F14:G14" si="11">1/(1+$C$30)^F5</f>
        <v>0.94922430998052398</v>
      </c>
      <c r="G14" s="132">
        <f t="shared" si="11"/>
        <v>0.93519636451283172</v>
      </c>
    </row>
    <row r="15" spans="1:11" ht="14.4" x14ac:dyDescent="0.3">
      <c r="A15" s="122" t="s">
        <v>144</v>
      </c>
      <c r="C15" s="120">
        <f t="shared" ref="C15" si="12">+C14*C13</f>
        <v>1961.2190366539776</v>
      </c>
      <c r="D15" s="120">
        <f t="shared" ref="D15" si="13">+D14*D13</f>
        <v>1771.7889646089072</v>
      </c>
      <c r="E15" s="120">
        <f t="shared" ref="E15" si="14">+E14*E13</f>
        <v>1766.7238332355232</v>
      </c>
      <c r="F15" s="121">
        <f t="shared" ref="F15:G15" si="15">+F14*F13</f>
        <v>1974.8245399140978</v>
      </c>
      <c r="G15" s="121">
        <f t="shared" si="15"/>
        <v>1964.7968973192201</v>
      </c>
    </row>
    <row r="16" spans="1:11" ht="14.4" x14ac:dyDescent="0.3">
      <c r="A16" s="122" t="s">
        <v>145</v>
      </c>
      <c r="D16" s="133"/>
      <c r="E16" s="133"/>
      <c r="F16" s="133"/>
      <c r="G16" s="134">
        <f>+(G13*(1+C33))/(C30-C33)</f>
        <v>144965.26190587648</v>
      </c>
    </row>
    <row r="17" spans="1:11" ht="14.4" x14ac:dyDescent="0.3">
      <c r="A17" s="135" t="s">
        <v>146</v>
      </c>
      <c r="B17" s="136"/>
      <c r="C17" s="137">
        <f>+SUM(C15:G15)+G16</f>
        <v>154404.61517760821</v>
      </c>
    </row>
    <row r="18" spans="1:11" ht="14.4" x14ac:dyDescent="0.3">
      <c r="A18" s="122" t="s">
        <v>147</v>
      </c>
      <c r="C18" s="121">
        <f>'Financial Statements'!AF75-'Financial Statements'!AF59</f>
        <v>7667.7277699999995</v>
      </c>
    </row>
    <row r="19" spans="1:11" ht="14.4" x14ac:dyDescent="0.3">
      <c r="A19" s="122" t="s">
        <v>148</v>
      </c>
      <c r="C19" s="121">
        <f>'Financial Statements'!AF29</f>
        <v>24</v>
      </c>
    </row>
    <row r="20" spans="1:11" ht="14.4" x14ac:dyDescent="0.3">
      <c r="A20" s="138" t="s">
        <v>149</v>
      </c>
      <c r="C20" s="121">
        <f>+C17+C18+C19</f>
        <v>162096.34294760821</v>
      </c>
    </row>
    <row r="21" spans="1:11" ht="15.75" customHeight="1" x14ac:dyDescent="0.3">
      <c r="A21" s="122" t="s">
        <v>20</v>
      </c>
      <c r="C21" s="121">
        <f>'Financial Statements'!AF38</f>
        <v>2531.8830699999999</v>
      </c>
    </row>
    <row r="22" spans="1:11" ht="15.75" customHeight="1" x14ac:dyDescent="0.3">
      <c r="A22" s="139" t="s">
        <v>150</v>
      </c>
      <c r="B22" s="140"/>
      <c r="C22" s="130">
        <f>+C20/C21</f>
        <v>64.022049386193899</v>
      </c>
    </row>
    <row r="23" spans="1:11" ht="15.75" customHeight="1" x14ac:dyDescent="0.3">
      <c r="A23" s="122" t="s">
        <v>151</v>
      </c>
      <c r="C23" s="121">
        <v>89.86</v>
      </c>
    </row>
    <row r="24" spans="1:11" ht="15.75" customHeight="1" x14ac:dyDescent="0.3">
      <c r="A24" s="141" t="s">
        <v>152</v>
      </c>
      <c r="B24" s="142"/>
      <c r="C24" s="143">
        <f>+C22/C23-1</f>
        <v>-0.28753561778106052</v>
      </c>
    </row>
    <row r="25" spans="1:11" ht="15.75" customHeight="1" x14ac:dyDescent="0.3"/>
    <row r="26" spans="1:11" ht="15.75" customHeight="1" x14ac:dyDescent="0.3">
      <c r="A26" s="144" t="s">
        <v>153</v>
      </c>
      <c r="B26" s="145"/>
      <c r="C26" s="146"/>
      <c r="F26" s="245" t="s">
        <v>154</v>
      </c>
      <c r="G26" s="246"/>
    </row>
    <row r="27" spans="1:11" ht="15.75" customHeight="1" x14ac:dyDescent="0.3">
      <c r="A27" s="147" t="s">
        <v>155</v>
      </c>
      <c r="C27" s="148">
        <v>0.05</v>
      </c>
      <c r="F27" s="149">
        <f>+C22</f>
        <v>64.022049386193899</v>
      </c>
      <c r="G27" s="150">
        <v>8.0000000000000002E-3</v>
      </c>
      <c r="H27" s="150">
        <v>0.01</v>
      </c>
      <c r="I27" s="151">
        <v>1.2999999999999999E-2</v>
      </c>
      <c r="J27" s="150">
        <v>1.4999999999999999E-2</v>
      </c>
      <c r="K27" s="152">
        <v>1.7999999999999999E-2</v>
      </c>
    </row>
    <row r="28" spans="1:11" ht="15.75" customHeight="1" x14ac:dyDescent="0.3">
      <c r="A28" s="147" t="s">
        <v>156</v>
      </c>
      <c r="C28" s="148">
        <v>0.01</v>
      </c>
      <c r="F28" s="153">
        <v>5.0000000000000001E-3</v>
      </c>
      <c r="G28" s="154">
        <f t="dataTable" ref="G28:K32" dt2D="1" dtr="1" r1="C30" r2="C24"/>
        <v>117.52673086856372</v>
      </c>
      <c r="H28" s="154">
        <v>94.203559724630338</v>
      </c>
      <c r="I28" s="155">
        <v>73.201603104521823</v>
      </c>
      <c r="J28" s="154">
        <v>64.022049386193899</v>
      </c>
      <c r="K28" s="156">
        <v>54.179134647555749</v>
      </c>
    </row>
    <row r="29" spans="1:11" ht="15.75" customHeight="1" x14ac:dyDescent="0.3">
      <c r="A29" s="147" t="s">
        <v>157</v>
      </c>
      <c r="C29" s="157">
        <v>0.96</v>
      </c>
      <c r="F29" s="153">
        <v>0.01</v>
      </c>
      <c r="G29" s="154">
        <v>117.52673086856372</v>
      </c>
      <c r="H29" s="154">
        <v>94.203559724630338</v>
      </c>
      <c r="I29" s="155">
        <v>73.201603104521823</v>
      </c>
      <c r="J29" s="154">
        <v>64.022049386193899</v>
      </c>
      <c r="K29" s="156">
        <v>54.179134647555749</v>
      </c>
    </row>
    <row r="30" spans="1:11" ht="15.75" customHeight="1" x14ac:dyDescent="0.3">
      <c r="A30" s="147" t="s">
        <v>158</v>
      </c>
      <c r="C30" s="158">
        <v>1.4999999999999999E-2</v>
      </c>
      <c r="F30" s="159">
        <v>1.4999999999999999E-2</v>
      </c>
      <c r="G30" s="155">
        <v>117.52673086856372</v>
      </c>
      <c r="H30" s="155">
        <v>94.203559724630338</v>
      </c>
      <c r="I30" s="155">
        <v>73.201603104521823</v>
      </c>
      <c r="J30" s="155">
        <v>64.022049386193899</v>
      </c>
      <c r="K30" s="160">
        <v>54.179134647555749</v>
      </c>
    </row>
    <row r="31" spans="1:11" ht="15.75" customHeight="1" x14ac:dyDescent="0.3">
      <c r="A31" s="147" t="s">
        <v>159</v>
      </c>
      <c r="C31" s="158">
        <f>+C28+(C29*C27)</f>
        <v>5.8000000000000003E-2</v>
      </c>
      <c r="F31" s="153">
        <v>0.02</v>
      </c>
      <c r="G31" s="154">
        <v>117.52673086856372</v>
      </c>
      <c r="H31" s="154">
        <v>94.203559724630338</v>
      </c>
      <c r="I31" s="155">
        <v>73.201603104521823</v>
      </c>
      <c r="J31" s="154">
        <v>64.022049386193899</v>
      </c>
      <c r="K31" s="156">
        <v>54.179134647555749</v>
      </c>
    </row>
    <row r="32" spans="1:11" ht="15.75" customHeight="1" x14ac:dyDescent="0.3">
      <c r="A32" s="147" t="s">
        <v>160</v>
      </c>
      <c r="C32" s="158">
        <f>Schedules!AE33</f>
        <v>4.6300540937012927E-2</v>
      </c>
      <c r="F32" s="161">
        <v>2.5000000000000001E-2</v>
      </c>
      <c r="G32" s="162">
        <v>117.52673086856372</v>
      </c>
      <c r="H32" s="162">
        <v>94.203559724630338</v>
      </c>
      <c r="I32" s="163">
        <v>73.201603104521823</v>
      </c>
      <c r="J32" s="162">
        <v>64.022049386193899</v>
      </c>
      <c r="K32" s="164">
        <v>54.179134647555749</v>
      </c>
    </row>
    <row r="33" spans="1:3" ht="15.75" customHeight="1" x14ac:dyDescent="0.3">
      <c r="A33" s="165" t="s">
        <v>161</v>
      </c>
      <c r="B33" s="166"/>
      <c r="C33" s="167">
        <v>5.0000000000000001E-4</v>
      </c>
    </row>
    <row r="34" spans="1:3" ht="15.75" customHeight="1" x14ac:dyDescent="0.3"/>
    <row r="35" spans="1:3" ht="15.75" customHeight="1" x14ac:dyDescent="0.3"/>
    <row r="36" spans="1:3" ht="15.75" customHeight="1" x14ac:dyDescent="0.3">
      <c r="A36" s="111"/>
    </row>
    <row r="37" spans="1:3" ht="15.75" customHeight="1" x14ac:dyDescent="0.3"/>
    <row r="38" spans="1:3" ht="15.75" customHeight="1" x14ac:dyDescent="0.3"/>
    <row r="39" spans="1:3" ht="15.75" customHeight="1" x14ac:dyDescent="0.3"/>
    <row r="40" spans="1:3" ht="15.75" customHeight="1" x14ac:dyDescent="0.3"/>
    <row r="41" spans="1:3" ht="15.75" customHeight="1" x14ac:dyDescent="0.3"/>
    <row r="42" spans="1:3" ht="15.75" customHeight="1" x14ac:dyDescent="0.3"/>
    <row r="43" spans="1:3" ht="15.75" customHeight="1" x14ac:dyDescent="0.3"/>
    <row r="44" spans="1:3" ht="15.75" customHeight="1" x14ac:dyDescent="0.3"/>
    <row r="45" spans="1:3" ht="15.75" customHeight="1" x14ac:dyDescent="0.3"/>
    <row r="46" spans="1:3" ht="15.75" customHeight="1" x14ac:dyDescent="0.3"/>
    <row r="47" spans="1:3" ht="15.75" customHeight="1" x14ac:dyDescent="0.3"/>
    <row r="48" spans="1:3"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mergeCells count="1">
    <mergeCell ref="F26:G26"/>
  </mergeCell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Revenue Model</vt:lpstr>
      <vt:lpstr>Revenue Model-Segment</vt:lpstr>
      <vt:lpstr>Gross Margin</vt:lpstr>
      <vt:lpstr>Advertisment &amp; promotional spen</vt:lpstr>
      <vt:lpstr>Financial Statements</vt:lpstr>
      <vt:lpstr>Schedules</vt:lpstr>
      <vt:lpstr>DCF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Kumar</dc:creator>
  <cp:lastModifiedBy>Praveen Kumar</cp:lastModifiedBy>
  <cp:lastPrinted>2024-05-14T09:33:04Z</cp:lastPrinted>
  <dcterms:created xsi:type="dcterms:W3CDTF">2024-05-14T04:18:08Z</dcterms:created>
  <dcterms:modified xsi:type="dcterms:W3CDTF">2025-06-24T07:46:43Z</dcterms:modified>
</cp:coreProperties>
</file>