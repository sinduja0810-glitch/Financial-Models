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emp\Downloads\"/>
    </mc:Choice>
  </mc:AlternateContent>
  <xr:revisionPtr revIDLastSave="0" documentId="13_ncr:1_{C57065DD-E174-4547-9DDF-1A5CBE8CA645}" xr6:coauthVersionLast="47" xr6:coauthVersionMax="47" xr10:uidLastSave="{00000000-0000-0000-0000-000000000000}"/>
  <bookViews>
    <workbookView xWindow="-108" yWindow="-108" windowWidth="23256" windowHeight="12456" firstSheet="1" activeTab="7" xr2:uid="{4E62B831-04A6-4634-8B18-A494AA6CB5F1}"/>
  </bookViews>
  <sheets>
    <sheet name="Company" sheetId="7" r:id="rId1"/>
    <sheet name="Revenue Model" sheetId="2" r:id="rId2"/>
    <sheet name="Financial Statements" sheetId="1" r:id="rId3"/>
    <sheet name="Schedules" sheetId="4" r:id="rId4"/>
    <sheet name="Ratio Analysis" sheetId="6" r:id="rId5"/>
    <sheet name="DCF " sheetId="5" r:id="rId6"/>
    <sheet name="Relative" sheetId="8" r:id="rId7"/>
    <sheet name="Football Field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8" l="1"/>
  <c r="D18" i="8"/>
  <c r="D17" i="8"/>
  <c r="W61" i="6"/>
  <c r="V61" i="6"/>
  <c r="D16" i="8"/>
  <c r="D15" i="8"/>
  <c r="D14" i="8"/>
  <c r="W56" i="4"/>
  <c r="W16" i="1"/>
  <c r="V16" i="1"/>
  <c r="W10" i="1"/>
  <c r="V29" i="4"/>
  <c r="W29" i="4"/>
  <c r="W28" i="4"/>
  <c r="W23" i="4"/>
  <c r="W42" i="4"/>
  <c r="W41" i="4"/>
  <c r="W8" i="4"/>
  <c r="W4" i="4"/>
  <c r="W18" i="1"/>
  <c r="W17" i="1"/>
  <c r="W69" i="4"/>
  <c r="W48" i="4"/>
  <c r="W36" i="4"/>
  <c r="W22" i="4"/>
  <c r="W13" i="4"/>
  <c r="U61" i="6"/>
  <c r="U62" i="6" s="1"/>
  <c r="U59" i="6"/>
  <c r="U57" i="6"/>
  <c r="U56" i="6"/>
  <c r="U40" i="6"/>
  <c r="U39" i="6"/>
  <c r="U38" i="6"/>
  <c r="U37" i="6"/>
  <c r="U36" i="6"/>
  <c r="U35" i="6"/>
  <c r="U34" i="6"/>
  <c r="U33" i="6"/>
  <c r="U29" i="6"/>
  <c r="U28" i="6"/>
  <c r="U27" i="6"/>
  <c r="U26" i="6"/>
  <c r="U25" i="6"/>
  <c r="U21" i="6"/>
  <c r="U20" i="6"/>
  <c r="U19" i="6"/>
  <c r="U18" i="6"/>
  <c r="U13" i="6"/>
  <c r="U12" i="6"/>
  <c r="U11" i="6"/>
  <c r="U10" i="6"/>
  <c r="U8" i="6"/>
  <c r="U7" i="6"/>
  <c r="U6" i="6"/>
  <c r="U9" i="6" s="1"/>
  <c r="U2" i="6"/>
  <c r="U43" i="4"/>
  <c r="U42" i="4"/>
  <c r="U37" i="4"/>
  <c r="U36" i="4"/>
  <c r="U29" i="4"/>
  <c r="U23" i="4"/>
  <c r="U12" i="4"/>
  <c r="U9" i="4"/>
  <c r="U8" i="4"/>
  <c r="U71" i="4"/>
  <c r="U69" i="4"/>
  <c r="U70" i="4" s="1"/>
  <c r="U68" i="4"/>
  <c r="U67" i="4"/>
  <c r="U66" i="4"/>
  <c r="U65" i="4"/>
  <c r="U60" i="4"/>
  <c r="U58" i="4"/>
  <c r="U62" i="4" s="1"/>
  <c r="U57" i="4"/>
  <c r="U56" i="4"/>
  <c r="U54" i="4"/>
  <c r="U53" i="4"/>
  <c r="U61" i="4" s="1"/>
  <c r="U51" i="4"/>
  <c r="U49" i="4"/>
  <c r="U48" i="4" s="1"/>
  <c r="U47" i="4"/>
  <c r="U46" i="4"/>
  <c r="U45" i="4"/>
  <c r="U40" i="4"/>
  <c r="U34" i="4"/>
  <c r="U26" i="4"/>
  <c r="U28" i="4"/>
  <c r="U22" i="4"/>
  <c r="U20" i="4"/>
  <c r="U18" i="4"/>
  <c r="U14" i="4"/>
  <c r="U10" i="4"/>
  <c r="U6" i="4"/>
  <c r="U4" i="4"/>
  <c r="U127" i="1"/>
  <c r="U101" i="1"/>
  <c r="U87" i="1"/>
  <c r="U63" i="1"/>
  <c r="U55" i="1"/>
  <c r="W50" i="1"/>
  <c r="Z50" i="1" s="1"/>
  <c r="U61" i="2"/>
  <c r="U46" i="2"/>
  <c r="U44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T61" i="6"/>
  <c r="R61" i="6"/>
  <c r="Q61" i="6"/>
  <c r="T106" i="1"/>
  <c r="T101" i="1"/>
  <c r="T96" i="1"/>
  <c r="U123" i="1"/>
  <c r="U114" i="1"/>
  <c r="U106" i="1"/>
  <c r="U86" i="1"/>
  <c r="U78" i="1"/>
  <c r="U70" i="1"/>
  <c r="U72" i="1" s="1"/>
  <c r="U62" i="1"/>
  <c r="U47" i="1"/>
  <c r="U91" i="1" s="1"/>
  <c r="U60" i="2"/>
  <c r="AH33" i="6"/>
  <c r="AG33" i="6"/>
  <c r="AE33" i="6"/>
  <c r="AD33" i="6"/>
  <c r="AB33" i="6"/>
  <c r="AA33" i="6"/>
  <c r="Y33" i="6"/>
  <c r="X33" i="6"/>
  <c r="V33" i="6"/>
  <c r="AI124" i="1"/>
  <c r="AF124" i="1"/>
  <c r="AC124" i="1"/>
  <c r="Z124" i="1"/>
  <c r="AH121" i="1"/>
  <c r="AG121" i="1"/>
  <c r="AI121" i="1" s="1"/>
  <c r="AE121" i="1"/>
  <c r="AD121" i="1"/>
  <c r="AF121" i="1" s="1"/>
  <c r="AB121" i="1"/>
  <c r="AA121" i="1"/>
  <c r="AC121" i="1" s="1"/>
  <c r="Y121" i="1"/>
  <c r="X121" i="1"/>
  <c r="Z121" i="1" s="1"/>
  <c r="AH120" i="1"/>
  <c r="AG120" i="1"/>
  <c r="AI120" i="1" s="1"/>
  <c r="AE120" i="1"/>
  <c r="AD120" i="1"/>
  <c r="AB120" i="1"/>
  <c r="AC120" i="1" s="1"/>
  <c r="AA120" i="1"/>
  <c r="Y120" i="1"/>
  <c r="X120" i="1"/>
  <c r="Z120" i="1" s="1"/>
  <c r="AH119" i="1"/>
  <c r="AH123" i="1" s="1"/>
  <c r="AG119" i="1"/>
  <c r="AF119" i="1"/>
  <c r="AE119" i="1"/>
  <c r="AD119" i="1"/>
  <c r="AB119" i="1"/>
  <c r="AA119" i="1"/>
  <c r="AA123" i="1" s="1"/>
  <c r="Y119" i="1"/>
  <c r="Y123" i="1" s="1"/>
  <c r="X119" i="1"/>
  <c r="Z119" i="1" s="1"/>
  <c r="AI113" i="1"/>
  <c r="AF113" i="1"/>
  <c r="AC113" i="1"/>
  <c r="Z113" i="1"/>
  <c r="AI112" i="1"/>
  <c r="AF112" i="1"/>
  <c r="AC112" i="1"/>
  <c r="Z112" i="1"/>
  <c r="AH111" i="1"/>
  <c r="AG111" i="1"/>
  <c r="AF111" i="1"/>
  <c r="AE111" i="1"/>
  <c r="AD111" i="1"/>
  <c r="AB111" i="1"/>
  <c r="AA111" i="1"/>
  <c r="Y111" i="1"/>
  <c r="X111" i="1"/>
  <c r="AI110" i="1"/>
  <c r="AF110" i="1"/>
  <c r="AC110" i="1"/>
  <c r="Z110" i="1"/>
  <c r="AI103" i="1"/>
  <c r="AF103" i="1"/>
  <c r="AC103" i="1"/>
  <c r="Z103" i="1"/>
  <c r="AI100" i="1"/>
  <c r="AF100" i="1"/>
  <c r="AC100" i="1"/>
  <c r="Z100" i="1"/>
  <c r="AI95" i="1"/>
  <c r="AF95" i="1"/>
  <c r="AC95" i="1"/>
  <c r="Z95" i="1"/>
  <c r="AI94" i="1"/>
  <c r="AF94" i="1"/>
  <c r="AC94" i="1"/>
  <c r="Z94" i="1"/>
  <c r="AI32" i="1"/>
  <c r="AF32" i="1"/>
  <c r="AC32" i="1"/>
  <c r="Z32" i="1"/>
  <c r="AI30" i="1"/>
  <c r="AF30" i="1"/>
  <c r="AC30" i="1"/>
  <c r="Z30" i="1"/>
  <c r="AH27" i="1"/>
  <c r="AI27" i="1" s="1"/>
  <c r="AE27" i="1"/>
  <c r="AF27" i="1" s="1"/>
  <c r="AB27" i="1"/>
  <c r="AC27" i="1" s="1"/>
  <c r="Z27" i="1"/>
  <c r="Y27" i="1"/>
  <c r="AI22" i="1"/>
  <c r="AF22" i="1"/>
  <c r="AC22" i="1"/>
  <c r="Z22" i="1"/>
  <c r="AI13" i="1"/>
  <c r="AF13" i="1"/>
  <c r="AC13" i="1"/>
  <c r="Z13" i="1"/>
  <c r="AI3" i="1"/>
  <c r="AI47" i="1" s="1"/>
  <c r="AI91" i="1" s="1"/>
  <c r="AH3" i="1"/>
  <c r="AH47" i="1" s="1"/>
  <c r="AH91" i="1" s="1"/>
  <c r="AG3" i="1"/>
  <c r="AG47" i="1" s="1"/>
  <c r="AG91" i="1" s="1"/>
  <c r="AF3" i="1"/>
  <c r="AF47" i="1" s="1"/>
  <c r="AF91" i="1" s="1"/>
  <c r="AE3" i="1"/>
  <c r="AE47" i="1" s="1"/>
  <c r="AE91" i="1" s="1"/>
  <c r="AD3" i="1"/>
  <c r="AD47" i="1" s="1"/>
  <c r="AD91" i="1" s="1"/>
  <c r="AC3" i="1"/>
  <c r="AC47" i="1" s="1"/>
  <c r="AC91" i="1" s="1"/>
  <c r="AB3" i="1"/>
  <c r="AB47" i="1" s="1"/>
  <c r="AB91" i="1" s="1"/>
  <c r="AA3" i="1"/>
  <c r="AA47" i="1" s="1"/>
  <c r="AA91" i="1" s="1"/>
  <c r="Z3" i="1"/>
  <c r="Z47" i="1" s="1"/>
  <c r="Z91" i="1" s="1"/>
  <c r="Y3" i="1"/>
  <c r="Y47" i="1" s="1"/>
  <c r="Y91" i="1" s="1"/>
  <c r="X3" i="1"/>
  <c r="X47" i="1" s="1"/>
  <c r="X91" i="1" s="1"/>
  <c r="T14" i="4"/>
  <c r="T11" i="4"/>
  <c r="T10" i="4"/>
  <c r="T9" i="4"/>
  <c r="V50" i="1"/>
  <c r="V48" i="1"/>
  <c r="W48" i="1" s="1"/>
  <c r="X48" i="1" s="1"/>
  <c r="Y48" i="1" s="1"/>
  <c r="T29" i="4"/>
  <c r="T71" i="4"/>
  <c r="T68" i="4"/>
  <c r="T67" i="4"/>
  <c r="S66" i="4"/>
  <c r="T58" i="4"/>
  <c r="T57" i="4"/>
  <c r="T56" i="4"/>
  <c r="T54" i="4"/>
  <c r="S54" i="4"/>
  <c r="T49" i="4"/>
  <c r="T47" i="4"/>
  <c r="S43" i="4"/>
  <c r="T42" i="4"/>
  <c r="T43" i="4" s="1"/>
  <c r="S40" i="4"/>
  <c r="T39" i="4"/>
  <c r="T40" i="4" s="1"/>
  <c r="T38" i="4"/>
  <c r="T37" i="4"/>
  <c r="T34" i="4"/>
  <c r="S34" i="4"/>
  <c r="T32" i="4"/>
  <c r="S32" i="4"/>
  <c r="T28" i="4"/>
  <c r="T25" i="4"/>
  <c r="T26" i="4" s="1"/>
  <c r="T24" i="4"/>
  <c r="S24" i="4"/>
  <c r="T23" i="4"/>
  <c r="T20" i="4"/>
  <c r="S18" i="4"/>
  <c r="T18" i="4" s="1"/>
  <c r="T123" i="1"/>
  <c r="T113" i="1"/>
  <c r="S113" i="1" s="1"/>
  <c r="T70" i="1"/>
  <c r="T72" i="1" s="1"/>
  <c r="T62" i="1"/>
  <c r="S18" i="1"/>
  <c r="S17" i="1"/>
  <c r="S124" i="1"/>
  <c r="S121" i="1"/>
  <c r="S120" i="1"/>
  <c r="S67" i="4" s="1"/>
  <c r="S69" i="4" s="1"/>
  <c r="S119" i="1"/>
  <c r="S68" i="4" s="1"/>
  <c r="S117" i="1"/>
  <c r="S116" i="1"/>
  <c r="S112" i="1"/>
  <c r="S111" i="1"/>
  <c r="S110" i="1"/>
  <c r="S109" i="1"/>
  <c r="S105" i="1"/>
  <c r="S104" i="1"/>
  <c r="S103" i="1"/>
  <c r="S100" i="1"/>
  <c r="S99" i="1"/>
  <c r="S98" i="1"/>
  <c r="S97" i="1"/>
  <c r="S95" i="1"/>
  <c r="S94" i="1"/>
  <c r="S93" i="1"/>
  <c r="T86" i="1"/>
  <c r="S85" i="1"/>
  <c r="S84" i="1"/>
  <c r="S83" i="1"/>
  <c r="S82" i="1"/>
  <c r="S81" i="1"/>
  <c r="S58" i="4" s="1"/>
  <c r="S80" i="1"/>
  <c r="T78" i="1"/>
  <c r="S77" i="1"/>
  <c r="S76" i="1"/>
  <c r="S75" i="1"/>
  <c r="S74" i="1"/>
  <c r="S61" i="6" s="1"/>
  <c r="S71" i="1"/>
  <c r="S69" i="1"/>
  <c r="S68" i="1"/>
  <c r="S49" i="4" s="1"/>
  <c r="S67" i="1"/>
  <c r="S66" i="1"/>
  <c r="S65" i="1"/>
  <c r="S61" i="1"/>
  <c r="S60" i="1"/>
  <c r="S59" i="1"/>
  <c r="S58" i="1"/>
  <c r="S57" i="4" s="1"/>
  <c r="S57" i="1"/>
  <c r="S56" i="4" s="1"/>
  <c r="S60" i="4" s="1"/>
  <c r="T55" i="1"/>
  <c r="T63" i="1" s="1"/>
  <c r="S54" i="1"/>
  <c r="S53" i="1"/>
  <c r="S52" i="1"/>
  <c r="S51" i="1"/>
  <c r="S15" i="4" s="1"/>
  <c r="S50" i="1"/>
  <c r="S49" i="1"/>
  <c r="S48" i="1"/>
  <c r="S45" i="1"/>
  <c r="S44" i="1"/>
  <c r="S32" i="1"/>
  <c r="S30" i="1"/>
  <c r="S27" i="1"/>
  <c r="S25" i="1"/>
  <c r="S22" i="1"/>
  <c r="S21" i="1"/>
  <c r="S71" i="4" s="1"/>
  <c r="S16" i="1"/>
  <c r="S13" i="1"/>
  <c r="S5" i="1"/>
  <c r="Q64" i="2"/>
  <c r="Q62" i="2"/>
  <c r="Q60" i="2"/>
  <c r="T62" i="2"/>
  <c r="S62" i="2"/>
  <c r="T60" i="2"/>
  <c r="S60" i="2"/>
  <c r="T52" i="2"/>
  <c r="T57" i="2" s="1"/>
  <c r="S52" i="2"/>
  <c r="V50" i="2" s="1"/>
  <c r="W50" i="2" s="1"/>
  <c r="W51" i="2" s="1"/>
  <c r="T31" i="2"/>
  <c r="T36" i="2" s="1"/>
  <c r="S31" i="2"/>
  <c r="S36" i="2" s="1"/>
  <c r="T16" i="2"/>
  <c r="T35" i="2" s="1"/>
  <c r="S16" i="2"/>
  <c r="S35" i="2" s="1"/>
  <c r="U15" i="4" l="1"/>
  <c r="U72" i="4"/>
  <c r="S20" i="4"/>
  <c r="T60" i="4"/>
  <c r="T6" i="6" s="1"/>
  <c r="AC111" i="1"/>
  <c r="X50" i="1"/>
  <c r="Y50" i="1" s="1"/>
  <c r="AG123" i="1"/>
  <c r="T62" i="4"/>
  <c r="AE123" i="1"/>
  <c r="AF120" i="1"/>
  <c r="AF123" i="1" s="1"/>
  <c r="S62" i="4"/>
  <c r="Z111" i="1"/>
  <c r="V29" i="2"/>
  <c r="W29" i="2" s="1"/>
  <c r="V41" i="2"/>
  <c r="W41" i="2" s="1"/>
  <c r="V5" i="2"/>
  <c r="V20" i="2"/>
  <c r="W20" i="2" s="1"/>
  <c r="W22" i="2" s="1"/>
  <c r="V48" i="2"/>
  <c r="W48" i="2" s="1"/>
  <c r="W49" i="2" s="1"/>
  <c r="V12" i="2"/>
  <c r="V27" i="2"/>
  <c r="W27" i="2" s="1"/>
  <c r="V14" i="2"/>
  <c r="U89" i="1"/>
  <c r="AI111" i="1"/>
  <c r="Z123" i="1"/>
  <c r="AB123" i="1"/>
  <c r="AC50" i="1"/>
  <c r="AA50" i="1"/>
  <c r="AB50" i="1" s="1"/>
  <c r="AD123" i="1"/>
  <c r="Z48" i="1"/>
  <c r="X123" i="1"/>
  <c r="AI119" i="1"/>
  <c r="AI123" i="1" s="1"/>
  <c r="AC119" i="1"/>
  <c r="AC123" i="1" s="1"/>
  <c r="S70" i="4"/>
  <c r="S72" i="4" s="1"/>
  <c r="S26" i="4"/>
  <c r="T114" i="1"/>
  <c r="S70" i="1"/>
  <c r="S72" i="1" s="1"/>
  <c r="S78" i="1"/>
  <c r="S86" i="1"/>
  <c r="T87" i="1"/>
  <c r="S123" i="1"/>
  <c r="S62" i="1"/>
  <c r="T102" i="1"/>
  <c r="T107" i="1" s="1"/>
  <c r="S106" i="1"/>
  <c r="S55" i="1"/>
  <c r="S63" i="1" s="1"/>
  <c r="S101" i="1"/>
  <c r="S114" i="1"/>
  <c r="S57" i="2"/>
  <c r="S37" i="2"/>
  <c r="T37" i="2"/>
  <c r="O10" i="6"/>
  <c r="N10" i="6"/>
  <c r="L10" i="6"/>
  <c r="K10" i="6"/>
  <c r="I10" i="6"/>
  <c r="H10" i="6"/>
  <c r="F10" i="6"/>
  <c r="E10" i="6"/>
  <c r="C10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AI8" i="6"/>
  <c r="AG8" i="6"/>
  <c r="AF8" i="6"/>
  <c r="AD8" i="6"/>
  <c r="AC8" i="6"/>
  <c r="AA8" i="6"/>
  <c r="Z8" i="6"/>
  <c r="X8" i="6"/>
  <c r="W8" i="6"/>
  <c r="T8" i="6"/>
  <c r="AI7" i="6"/>
  <c r="AG7" i="6"/>
  <c r="AF7" i="6"/>
  <c r="AD7" i="6"/>
  <c r="AC7" i="6"/>
  <c r="AA7" i="6"/>
  <c r="Z7" i="6"/>
  <c r="X7" i="6"/>
  <c r="W7" i="6"/>
  <c r="AI6" i="6"/>
  <c r="AG6" i="6"/>
  <c r="AF6" i="6"/>
  <c r="AD6" i="6"/>
  <c r="AC6" i="6"/>
  <c r="AA6" i="6"/>
  <c r="Z6" i="6"/>
  <c r="X6" i="6"/>
  <c r="W6" i="6"/>
  <c r="AI9" i="6" l="1"/>
  <c r="AG9" i="6"/>
  <c r="AF9" i="6"/>
  <c r="AC9" i="6"/>
  <c r="AD9" i="6"/>
  <c r="AA9" i="6"/>
  <c r="Z9" i="6"/>
  <c r="X9" i="6"/>
  <c r="W9" i="6"/>
  <c r="S87" i="1"/>
  <c r="T59" i="6"/>
  <c r="T125" i="1"/>
  <c r="AD50" i="1"/>
  <c r="AE50" i="1" s="1"/>
  <c r="AF50" i="1"/>
  <c r="AA48" i="1"/>
  <c r="T89" i="1"/>
  <c r="S56" i="2"/>
  <c r="S58" i="2" s="1"/>
  <c r="T56" i="2"/>
  <c r="C31" i="5"/>
  <c r="V120" i="1"/>
  <c r="V119" i="1"/>
  <c r="T58" i="2" l="1"/>
  <c r="T4" i="1" s="1"/>
  <c r="T14" i="6" s="1"/>
  <c r="AI50" i="1"/>
  <c r="AG50" i="1"/>
  <c r="AH50" i="1" s="1"/>
  <c r="AB48" i="1"/>
  <c r="S89" i="1"/>
  <c r="AH2" i="6"/>
  <c r="AI2" i="6"/>
  <c r="AE2" i="6"/>
  <c r="AG2" i="6"/>
  <c r="AA2" i="6"/>
  <c r="Z2" i="6"/>
  <c r="AB2" i="6"/>
  <c r="AF2" i="6"/>
  <c r="X2" i="6"/>
  <c r="Y2" i="6"/>
  <c r="AC2" i="6"/>
  <c r="AD2" i="6"/>
  <c r="T9" i="1" l="1"/>
  <c r="T6" i="4"/>
  <c r="T53" i="4"/>
  <c r="T61" i="4" s="1"/>
  <c r="T7" i="6" s="1"/>
  <c r="T9" i="6" s="1"/>
  <c r="T6" i="1"/>
  <c r="AC48" i="1"/>
  <c r="R101" i="1"/>
  <c r="R42" i="4"/>
  <c r="W124" i="1"/>
  <c r="W113" i="1"/>
  <c r="W112" i="1"/>
  <c r="W110" i="1"/>
  <c r="W103" i="1"/>
  <c r="W100" i="1"/>
  <c r="W95" i="1"/>
  <c r="W94" i="1"/>
  <c r="W119" i="1"/>
  <c r="AI68" i="4"/>
  <c r="AI67" i="4"/>
  <c r="AF68" i="4"/>
  <c r="AF67" i="4"/>
  <c r="AC68" i="4"/>
  <c r="AC67" i="4"/>
  <c r="Z68" i="4"/>
  <c r="Z67" i="4"/>
  <c r="W68" i="4"/>
  <c r="W67" i="4"/>
  <c r="R68" i="4"/>
  <c r="R67" i="4"/>
  <c r="R66" i="4"/>
  <c r="T66" i="4" s="1"/>
  <c r="T69" i="4" s="1"/>
  <c r="T70" i="4" s="1"/>
  <c r="T72" i="4" s="1"/>
  <c r="Q68" i="4"/>
  <c r="Q67" i="4"/>
  <c r="P66" i="4"/>
  <c r="O66" i="4"/>
  <c r="Q66" i="4" s="1"/>
  <c r="O67" i="4"/>
  <c r="O68" i="4"/>
  <c r="AI7" i="4"/>
  <c r="AF7" i="4"/>
  <c r="AC7" i="4"/>
  <c r="Z7" i="4"/>
  <c r="AI21" i="4"/>
  <c r="AF21" i="4"/>
  <c r="AC21" i="4"/>
  <c r="Z21" i="4"/>
  <c r="AI35" i="4"/>
  <c r="AH33" i="4"/>
  <c r="AG33" i="4"/>
  <c r="AF35" i="4"/>
  <c r="AE33" i="4"/>
  <c r="AD33" i="4"/>
  <c r="AC35" i="4"/>
  <c r="AB33" i="4"/>
  <c r="AA33" i="4"/>
  <c r="Z35" i="4"/>
  <c r="Y33" i="4"/>
  <c r="X33" i="4"/>
  <c r="R36" i="4"/>
  <c r="P43" i="4"/>
  <c r="O43" i="4"/>
  <c r="Q42" i="4"/>
  <c r="R38" i="4" s="1"/>
  <c r="Q39" i="4"/>
  <c r="O39" i="4"/>
  <c r="O40" i="4" s="1"/>
  <c r="Q38" i="4"/>
  <c r="Q37" i="4"/>
  <c r="W35" i="4"/>
  <c r="R34" i="4"/>
  <c r="Q34" i="4"/>
  <c r="P34" i="4"/>
  <c r="V33" i="4"/>
  <c r="O33" i="4"/>
  <c r="P32" i="4"/>
  <c r="Q32" i="4" s="1"/>
  <c r="R22" i="4"/>
  <c r="P29" i="4"/>
  <c r="P24" i="4"/>
  <c r="Q24" i="4" s="1"/>
  <c r="O15" i="4"/>
  <c r="O29" i="4"/>
  <c r="W21" i="4"/>
  <c r="R20" i="4"/>
  <c r="Q28" i="4"/>
  <c r="R24" i="4" s="1"/>
  <c r="R28" i="4" s="1"/>
  <c r="Q25" i="4"/>
  <c r="O25" i="4"/>
  <c r="O26" i="4" s="1"/>
  <c r="Q23" i="4"/>
  <c r="R18" i="4" s="1"/>
  <c r="Q20" i="4"/>
  <c r="P18" i="4"/>
  <c r="Q18" i="4" s="1"/>
  <c r="R13" i="4"/>
  <c r="Q14" i="4"/>
  <c r="R10" i="4" s="1"/>
  <c r="Q10" i="4"/>
  <c r="R8" i="4"/>
  <c r="Q9" i="4"/>
  <c r="R4" i="4" s="1"/>
  <c r="P4" i="4"/>
  <c r="Q4" i="4" s="1"/>
  <c r="W22" i="1"/>
  <c r="R64" i="2"/>
  <c r="R62" i="2"/>
  <c r="R60" i="2"/>
  <c r="C8" i="1"/>
  <c r="C21" i="6" s="1"/>
  <c r="E8" i="1"/>
  <c r="E21" i="6" s="1"/>
  <c r="F8" i="1"/>
  <c r="F21" i="6" s="1"/>
  <c r="H8" i="1"/>
  <c r="H21" i="6" s="1"/>
  <c r="I8" i="1"/>
  <c r="I21" i="6" s="1"/>
  <c r="K8" i="1"/>
  <c r="K21" i="6" s="1"/>
  <c r="L8" i="1"/>
  <c r="L21" i="6" s="1"/>
  <c r="N8" i="1"/>
  <c r="N21" i="6" s="1"/>
  <c r="O8" i="1"/>
  <c r="O21" i="6" s="1"/>
  <c r="Q8" i="1"/>
  <c r="Q21" i="6" s="1"/>
  <c r="R8" i="1"/>
  <c r="U52" i="2" l="1"/>
  <c r="T7" i="1"/>
  <c r="T33" i="6" s="1"/>
  <c r="T11" i="1"/>
  <c r="AD48" i="1"/>
  <c r="S8" i="1"/>
  <c r="R21" i="6"/>
  <c r="W120" i="1"/>
  <c r="R69" i="4"/>
  <c r="O69" i="4"/>
  <c r="Q69" i="4"/>
  <c r="Q70" i="4" s="1"/>
  <c r="Z33" i="4"/>
  <c r="Z34" i="4" s="1"/>
  <c r="Q43" i="4"/>
  <c r="AF33" i="4"/>
  <c r="AF34" i="4" s="1"/>
  <c r="AC33" i="4"/>
  <c r="AC34" i="4" s="1"/>
  <c r="R26" i="4"/>
  <c r="AI33" i="4"/>
  <c r="AI34" i="4" s="1"/>
  <c r="Q40" i="4"/>
  <c r="W33" i="4"/>
  <c r="W34" i="4" s="1"/>
  <c r="R32" i="4"/>
  <c r="P40" i="4"/>
  <c r="O34" i="4"/>
  <c r="R23" i="4"/>
  <c r="Q26" i="4"/>
  <c r="P26" i="4"/>
  <c r="Q29" i="4"/>
  <c r="R14" i="4"/>
  <c r="Q15" i="4"/>
  <c r="R9" i="4"/>
  <c r="S4" i="4" s="1"/>
  <c r="U31" i="2"/>
  <c r="V31" i="2"/>
  <c r="P8" i="1"/>
  <c r="R114" i="1"/>
  <c r="R55" i="1"/>
  <c r="R16" i="2"/>
  <c r="R71" i="4"/>
  <c r="R58" i="4"/>
  <c r="R57" i="4"/>
  <c r="R56" i="4"/>
  <c r="R54" i="4"/>
  <c r="R49" i="4"/>
  <c r="S45" i="4" s="1"/>
  <c r="R47" i="4"/>
  <c r="S47" i="4" s="1"/>
  <c r="R123" i="1"/>
  <c r="R106" i="1"/>
  <c r="R86" i="1"/>
  <c r="R20" i="6" s="1"/>
  <c r="R78" i="1"/>
  <c r="R70" i="1"/>
  <c r="R72" i="1" s="1"/>
  <c r="R62" i="1"/>
  <c r="R47" i="1"/>
  <c r="R91" i="1" s="1"/>
  <c r="R52" i="2"/>
  <c r="U49" i="2" s="1"/>
  <c r="R31" i="2"/>
  <c r="T19" i="1" l="1"/>
  <c r="T20" i="1" s="1"/>
  <c r="T68" i="2"/>
  <c r="T4" i="4"/>
  <c r="T12" i="4" s="1"/>
  <c r="S12" i="4"/>
  <c r="U25" i="2"/>
  <c r="U23" i="2"/>
  <c r="U21" i="2" s="1"/>
  <c r="U13" i="2"/>
  <c r="U8" i="2"/>
  <c r="U10" i="2"/>
  <c r="U36" i="2"/>
  <c r="X27" i="2"/>
  <c r="X20" i="2"/>
  <c r="X29" i="2"/>
  <c r="U22" i="2"/>
  <c r="U28" i="2"/>
  <c r="U57" i="2"/>
  <c r="X50" i="2"/>
  <c r="X48" i="2"/>
  <c r="X41" i="2"/>
  <c r="Y27" i="2"/>
  <c r="Y29" i="2"/>
  <c r="Z29" i="2" s="1"/>
  <c r="V32" i="2"/>
  <c r="Y20" i="2"/>
  <c r="V16" i="2"/>
  <c r="T57" i="6"/>
  <c r="T62" i="6"/>
  <c r="R35" i="2"/>
  <c r="U7" i="2"/>
  <c r="R57" i="2"/>
  <c r="U43" i="2"/>
  <c r="T14" i="1"/>
  <c r="T12" i="1"/>
  <c r="T34" i="6" s="1"/>
  <c r="AE48" i="1"/>
  <c r="R19" i="6"/>
  <c r="R18" i="6"/>
  <c r="R26" i="6"/>
  <c r="R25" i="6"/>
  <c r="R70" i="4"/>
  <c r="R72" i="4" s="1"/>
  <c r="R29" i="4"/>
  <c r="W37" i="4"/>
  <c r="Z28" i="4"/>
  <c r="X28" i="4"/>
  <c r="Y28" i="4" s="1"/>
  <c r="R37" i="4"/>
  <c r="R40" i="4"/>
  <c r="R15" i="4"/>
  <c r="U32" i="2"/>
  <c r="V52" i="2"/>
  <c r="Y50" i="2" s="1"/>
  <c r="V36" i="2"/>
  <c r="U53" i="2"/>
  <c r="R87" i="1"/>
  <c r="R2" i="4"/>
  <c r="R51" i="4" s="1"/>
  <c r="R60" i="4"/>
  <c r="R6" i="6" s="1"/>
  <c r="R63" i="1"/>
  <c r="R62" i="4"/>
  <c r="R8" i="6" s="1"/>
  <c r="R36" i="2"/>
  <c r="M71" i="1"/>
  <c r="J71" i="1"/>
  <c r="Q123" i="1"/>
  <c r="Q96" i="1"/>
  <c r="D5" i="5"/>
  <c r="Q71" i="4"/>
  <c r="Q58" i="4"/>
  <c r="Q57" i="4"/>
  <c r="Q56" i="4"/>
  <c r="Q54" i="4"/>
  <c r="Q49" i="4"/>
  <c r="Q47" i="4"/>
  <c r="Q11" i="4"/>
  <c r="P5" i="1"/>
  <c r="P54" i="4" s="1"/>
  <c r="P124" i="1"/>
  <c r="P121" i="1"/>
  <c r="P120" i="1"/>
  <c r="P67" i="4" s="1"/>
  <c r="P119" i="1"/>
  <c r="P68" i="4" s="1"/>
  <c r="P117" i="1"/>
  <c r="P116" i="1"/>
  <c r="Q114" i="1"/>
  <c r="P113" i="1"/>
  <c r="P112" i="1"/>
  <c r="P111" i="1"/>
  <c r="P110" i="1"/>
  <c r="P109" i="1"/>
  <c r="Q106" i="1"/>
  <c r="P105" i="1"/>
  <c r="P104" i="1"/>
  <c r="P103" i="1"/>
  <c r="Q101" i="1"/>
  <c r="P100" i="1"/>
  <c r="P99" i="1"/>
  <c r="P98" i="1"/>
  <c r="P97" i="1"/>
  <c r="P95" i="1"/>
  <c r="P94" i="1"/>
  <c r="P93" i="1"/>
  <c r="P92" i="1"/>
  <c r="Q86" i="1"/>
  <c r="Q20" i="6" s="1"/>
  <c r="P85" i="1"/>
  <c r="P84" i="1"/>
  <c r="P83" i="1"/>
  <c r="P82" i="1"/>
  <c r="P81" i="1"/>
  <c r="P58" i="4" s="1"/>
  <c r="P80" i="1"/>
  <c r="Q78" i="1"/>
  <c r="P77" i="1"/>
  <c r="P76" i="1"/>
  <c r="P75" i="1"/>
  <c r="P74" i="1"/>
  <c r="Q70" i="1"/>
  <c r="P69" i="1"/>
  <c r="P68" i="1"/>
  <c r="P49" i="4" s="1"/>
  <c r="P67" i="1"/>
  <c r="P66" i="1"/>
  <c r="P65" i="1"/>
  <c r="Q62" i="1"/>
  <c r="P61" i="1"/>
  <c r="P60" i="1"/>
  <c r="P59" i="1"/>
  <c r="P58" i="1"/>
  <c r="P57" i="4" s="1"/>
  <c r="P57" i="1"/>
  <c r="P56" i="4" s="1"/>
  <c r="Q55" i="1"/>
  <c r="P54" i="1"/>
  <c r="P53" i="1"/>
  <c r="P52" i="1"/>
  <c r="P51" i="1"/>
  <c r="P15" i="4" s="1"/>
  <c r="P50" i="1"/>
  <c r="P49" i="1"/>
  <c r="P48" i="1"/>
  <c r="Q47" i="1"/>
  <c r="Q91" i="1" s="1"/>
  <c r="P47" i="1"/>
  <c r="P91" i="1" s="1"/>
  <c r="P45" i="1"/>
  <c r="P44" i="1"/>
  <c r="P32" i="1"/>
  <c r="P30" i="1"/>
  <c r="P27" i="1"/>
  <c r="P25" i="1"/>
  <c r="P22" i="1"/>
  <c r="P21" i="1"/>
  <c r="P13" i="1"/>
  <c r="P16" i="1"/>
  <c r="V121" i="1"/>
  <c r="AI47" i="4"/>
  <c r="AF47" i="4"/>
  <c r="AC47" i="4"/>
  <c r="Z47" i="4"/>
  <c r="W7" i="4"/>
  <c r="O5" i="4"/>
  <c r="V111" i="1"/>
  <c r="O11" i="4"/>
  <c r="O71" i="4"/>
  <c r="C71" i="4"/>
  <c r="C70" i="4"/>
  <c r="O58" i="4"/>
  <c r="N58" i="4"/>
  <c r="L58" i="4"/>
  <c r="K58" i="4"/>
  <c r="I58" i="4"/>
  <c r="H58" i="4"/>
  <c r="F58" i="4"/>
  <c r="E58" i="4"/>
  <c r="O57" i="4"/>
  <c r="N57" i="4"/>
  <c r="L57" i="4"/>
  <c r="K57" i="4"/>
  <c r="I57" i="4"/>
  <c r="H57" i="4"/>
  <c r="F57" i="4"/>
  <c r="E57" i="4"/>
  <c r="O56" i="4"/>
  <c r="N56" i="4"/>
  <c r="L56" i="4"/>
  <c r="K56" i="4"/>
  <c r="I56" i="4"/>
  <c r="H56" i="4"/>
  <c r="F56" i="4"/>
  <c r="E56" i="4"/>
  <c r="C58" i="4"/>
  <c r="C57" i="4"/>
  <c r="C56" i="4"/>
  <c r="O54" i="4"/>
  <c r="N54" i="4"/>
  <c r="L54" i="4"/>
  <c r="K54" i="4"/>
  <c r="I54" i="4"/>
  <c r="H54" i="4"/>
  <c r="F54" i="4"/>
  <c r="E54" i="4"/>
  <c r="O53" i="4"/>
  <c r="N53" i="4"/>
  <c r="L53" i="4"/>
  <c r="K53" i="4"/>
  <c r="I53" i="4"/>
  <c r="H53" i="4"/>
  <c r="F53" i="4"/>
  <c r="E53" i="4"/>
  <c r="C54" i="4"/>
  <c r="C53" i="4"/>
  <c r="O47" i="4"/>
  <c r="L47" i="4"/>
  <c r="K47" i="4"/>
  <c r="I47" i="4"/>
  <c r="H47" i="4"/>
  <c r="F47" i="4"/>
  <c r="N47" i="4"/>
  <c r="O49" i="4"/>
  <c r="P45" i="4" s="1"/>
  <c r="N49" i="4"/>
  <c r="Q45" i="4" s="1"/>
  <c r="L49" i="4"/>
  <c r="M45" i="4" s="1"/>
  <c r="K49" i="4"/>
  <c r="N45" i="4" s="1"/>
  <c r="I49" i="4"/>
  <c r="J45" i="4" s="1"/>
  <c r="H49" i="4"/>
  <c r="K45" i="4" s="1"/>
  <c r="F49" i="4"/>
  <c r="G45" i="4" s="1"/>
  <c r="E49" i="4"/>
  <c r="F45" i="4" s="1"/>
  <c r="C49" i="4"/>
  <c r="O123" i="1"/>
  <c r="O19" i="4" s="1"/>
  <c r="N123" i="1"/>
  <c r="L123" i="1"/>
  <c r="K123" i="1"/>
  <c r="I123" i="1"/>
  <c r="H123" i="1"/>
  <c r="F123" i="1"/>
  <c r="E123" i="1"/>
  <c r="C123" i="1"/>
  <c r="C114" i="1"/>
  <c r="C101" i="1"/>
  <c r="F101" i="1"/>
  <c r="F96" i="1"/>
  <c r="M111" i="1"/>
  <c r="M110" i="1"/>
  <c r="G118" i="1"/>
  <c r="J118" i="1"/>
  <c r="D111" i="1"/>
  <c r="D110" i="1"/>
  <c r="G111" i="1"/>
  <c r="G110" i="1"/>
  <c r="J111" i="1"/>
  <c r="J110" i="1"/>
  <c r="D118" i="1"/>
  <c r="E114" i="1"/>
  <c r="E106" i="1"/>
  <c r="H114" i="1"/>
  <c r="D124" i="1"/>
  <c r="D121" i="1"/>
  <c r="D120" i="1"/>
  <c r="D119" i="1"/>
  <c r="D117" i="1"/>
  <c r="D116" i="1"/>
  <c r="D113" i="1"/>
  <c r="D112" i="1"/>
  <c r="D109" i="1"/>
  <c r="D105" i="1"/>
  <c r="D104" i="1"/>
  <c r="D103" i="1"/>
  <c r="D100" i="1"/>
  <c r="D99" i="1"/>
  <c r="D98" i="1"/>
  <c r="D97" i="1"/>
  <c r="D95" i="1"/>
  <c r="D94" i="1"/>
  <c r="D93" i="1"/>
  <c r="D92" i="1"/>
  <c r="G127" i="1"/>
  <c r="G124" i="1"/>
  <c r="G121" i="1"/>
  <c r="G47" i="4" s="1"/>
  <c r="G120" i="1"/>
  <c r="G119" i="1"/>
  <c r="G117" i="1"/>
  <c r="G116" i="1"/>
  <c r="G113" i="1"/>
  <c r="G112" i="1"/>
  <c r="G109" i="1"/>
  <c r="G105" i="1"/>
  <c r="G104" i="1"/>
  <c r="G103" i="1"/>
  <c r="G100" i="1"/>
  <c r="G99" i="1"/>
  <c r="G98" i="1"/>
  <c r="G97" i="1"/>
  <c r="G95" i="1"/>
  <c r="G94" i="1"/>
  <c r="G93" i="1"/>
  <c r="G92" i="1"/>
  <c r="J124" i="1"/>
  <c r="J121" i="1"/>
  <c r="J47" i="4" s="1"/>
  <c r="J120" i="1"/>
  <c r="J119" i="1"/>
  <c r="J117" i="1"/>
  <c r="J116" i="1"/>
  <c r="J113" i="1"/>
  <c r="J112" i="1"/>
  <c r="J109" i="1"/>
  <c r="J105" i="1"/>
  <c r="J104" i="1"/>
  <c r="J103" i="1"/>
  <c r="J100" i="1"/>
  <c r="J99" i="1"/>
  <c r="J98" i="1"/>
  <c r="J97" i="1"/>
  <c r="J95" i="1"/>
  <c r="J94" i="1"/>
  <c r="J93" i="1"/>
  <c r="J92" i="1"/>
  <c r="I96" i="1"/>
  <c r="I101" i="1"/>
  <c r="I106" i="1"/>
  <c r="I114" i="1"/>
  <c r="M124" i="1"/>
  <c r="M121" i="1"/>
  <c r="M120" i="1"/>
  <c r="M119" i="1"/>
  <c r="M117" i="1"/>
  <c r="M116" i="1"/>
  <c r="M113" i="1"/>
  <c r="M112" i="1"/>
  <c r="M109" i="1"/>
  <c r="M105" i="1"/>
  <c r="M104" i="1"/>
  <c r="M103" i="1"/>
  <c r="M100" i="1"/>
  <c r="M99" i="1"/>
  <c r="M98" i="1"/>
  <c r="M97" i="1"/>
  <c r="M95" i="1"/>
  <c r="M94" i="1"/>
  <c r="M93" i="1"/>
  <c r="M92" i="1"/>
  <c r="O9" i="1"/>
  <c r="K114" i="1"/>
  <c r="N106" i="1"/>
  <c r="N101" i="1"/>
  <c r="K101" i="1"/>
  <c r="N114" i="1"/>
  <c r="L114" i="1"/>
  <c r="F114" i="1"/>
  <c r="L106" i="1"/>
  <c r="K106" i="1"/>
  <c r="H106" i="1"/>
  <c r="F106" i="1"/>
  <c r="C106" i="1"/>
  <c r="L101" i="1"/>
  <c r="H101" i="1"/>
  <c r="E101" i="1"/>
  <c r="N96" i="1"/>
  <c r="L96" i="1"/>
  <c r="K96" i="1"/>
  <c r="H96" i="1"/>
  <c r="E96" i="1"/>
  <c r="C96" i="1"/>
  <c r="O114" i="1"/>
  <c r="O106" i="1"/>
  <c r="O101" i="1"/>
  <c r="O96" i="1"/>
  <c r="E86" i="1"/>
  <c r="E20" i="6" s="1"/>
  <c r="C70" i="1"/>
  <c r="C72" i="1" s="1"/>
  <c r="C55" i="1"/>
  <c r="E55" i="1"/>
  <c r="D85" i="1"/>
  <c r="D84" i="1"/>
  <c r="D83" i="1"/>
  <c r="D82" i="1"/>
  <c r="D81" i="1"/>
  <c r="D58" i="4" s="1"/>
  <c r="D80" i="1"/>
  <c r="D77" i="1"/>
  <c r="D76" i="1"/>
  <c r="D75" i="1"/>
  <c r="D74" i="1"/>
  <c r="D71" i="1"/>
  <c r="D69" i="1"/>
  <c r="D68" i="1"/>
  <c r="D49" i="4" s="1"/>
  <c r="D67" i="1"/>
  <c r="D66" i="1"/>
  <c r="D65" i="1"/>
  <c r="D61" i="1"/>
  <c r="D60" i="1"/>
  <c r="D59" i="1"/>
  <c r="D58" i="1"/>
  <c r="D57" i="4" s="1"/>
  <c r="D57" i="1"/>
  <c r="D56" i="4" s="1"/>
  <c r="D54" i="1"/>
  <c r="D53" i="1"/>
  <c r="D52" i="1"/>
  <c r="D51" i="1"/>
  <c r="D50" i="1"/>
  <c r="D49" i="1"/>
  <c r="D48" i="1"/>
  <c r="F78" i="1"/>
  <c r="F70" i="1"/>
  <c r="F72" i="1" s="1"/>
  <c r="F62" i="1"/>
  <c r="G85" i="1"/>
  <c r="G84" i="1"/>
  <c r="G83" i="1"/>
  <c r="G82" i="1"/>
  <c r="G81" i="1"/>
  <c r="G58" i="4" s="1"/>
  <c r="G80" i="1"/>
  <c r="G77" i="1"/>
  <c r="G76" i="1"/>
  <c r="G75" i="1"/>
  <c r="G74" i="1"/>
  <c r="G71" i="1"/>
  <c r="G69" i="1"/>
  <c r="G68" i="1"/>
  <c r="G49" i="4" s="1"/>
  <c r="G67" i="1"/>
  <c r="G66" i="1"/>
  <c r="G65" i="1"/>
  <c r="G61" i="1"/>
  <c r="G60" i="1"/>
  <c r="G59" i="1"/>
  <c r="G58" i="1"/>
  <c r="G57" i="4" s="1"/>
  <c r="G57" i="1"/>
  <c r="G56" i="4" s="1"/>
  <c r="G54" i="1"/>
  <c r="G53" i="1"/>
  <c r="G52" i="1"/>
  <c r="G51" i="1"/>
  <c r="G50" i="1"/>
  <c r="G49" i="1"/>
  <c r="G48" i="1"/>
  <c r="I78" i="1"/>
  <c r="I55" i="1"/>
  <c r="J85" i="1"/>
  <c r="J84" i="1"/>
  <c r="J83" i="1"/>
  <c r="J82" i="1"/>
  <c r="J81" i="1"/>
  <c r="J58" i="4" s="1"/>
  <c r="J80" i="1"/>
  <c r="J77" i="1"/>
  <c r="J76" i="1"/>
  <c r="J75" i="1"/>
  <c r="J74" i="1"/>
  <c r="J69" i="1"/>
  <c r="J68" i="1"/>
  <c r="J49" i="4" s="1"/>
  <c r="J67" i="1"/>
  <c r="J66" i="1"/>
  <c r="J65" i="1"/>
  <c r="J61" i="1"/>
  <c r="J60" i="1"/>
  <c r="J59" i="1"/>
  <c r="J58" i="1"/>
  <c r="J57" i="4" s="1"/>
  <c r="J57" i="1"/>
  <c r="J56" i="4" s="1"/>
  <c r="J54" i="1"/>
  <c r="J53" i="1"/>
  <c r="J52" i="1"/>
  <c r="J51" i="1"/>
  <c r="J50" i="1"/>
  <c r="J49" i="1"/>
  <c r="J48" i="1"/>
  <c r="M85" i="1"/>
  <c r="M84" i="1"/>
  <c r="M83" i="1"/>
  <c r="M82" i="1"/>
  <c r="M81" i="1"/>
  <c r="M58" i="4" s="1"/>
  <c r="M80" i="1"/>
  <c r="M77" i="1"/>
  <c r="M76" i="1"/>
  <c r="M75" i="1"/>
  <c r="M74" i="1"/>
  <c r="M69" i="1"/>
  <c r="M68" i="1"/>
  <c r="M49" i="4" s="1"/>
  <c r="M67" i="1"/>
  <c r="M66" i="1"/>
  <c r="M65" i="1"/>
  <c r="M61" i="1"/>
  <c r="M60" i="1"/>
  <c r="M59" i="1"/>
  <c r="M58" i="1"/>
  <c r="M57" i="4" s="1"/>
  <c r="M57" i="1"/>
  <c r="M56" i="4" s="1"/>
  <c r="M54" i="1"/>
  <c r="M53" i="1"/>
  <c r="M52" i="1"/>
  <c r="M51" i="1"/>
  <c r="M50" i="1"/>
  <c r="M49" i="1"/>
  <c r="M48" i="1"/>
  <c r="N70" i="1"/>
  <c r="N55" i="1"/>
  <c r="K55" i="1"/>
  <c r="K78" i="1"/>
  <c r="L86" i="1"/>
  <c r="L20" i="6" s="1"/>
  <c r="L78" i="1"/>
  <c r="L70" i="1"/>
  <c r="L72" i="1" s="1"/>
  <c r="L62" i="1"/>
  <c r="L55" i="1"/>
  <c r="O86" i="1"/>
  <c r="O20" i="6" s="1"/>
  <c r="O78" i="1"/>
  <c r="O70" i="1"/>
  <c r="O62" i="1"/>
  <c r="O55" i="1"/>
  <c r="K86" i="1"/>
  <c r="K20" i="6" s="1"/>
  <c r="I86" i="1"/>
  <c r="I20" i="6" s="1"/>
  <c r="H86" i="1"/>
  <c r="H20" i="6" s="1"/>
  <c r="F86" i="1"/>
  <c r="F20" i="6" s="1"/>
  <c r="C86" i="1"/>
  <c r="C20" i="6" s="1"/>
  <c r="H78" i="1"/>
  <c r="E78" i="1"/>
  <c r="C78" i="1"/>
  <c r="K70" i="1"/>
  <c r="K72" i="1" s="1"/>
  <c r="I70" i="1"/>
  <c r="I72" i="1" s="1"/>
  <c r="H70" i="1"/>
  <c r="H72" i="1" s="1"/>
  <c r="E70" i="1"/>
  <c r="E72" i="1" s="1"/>
  <c r="K62" i="1"/>
  <c r="I62" i="1"/>
  <c r="H62" i="1"/>
  <c r="E62" i="1"/>
  <c r="C62" i="1"/>
  <c r="H55" i="1"/>
  <c r="F55" i="1"/>
  <c r="N86" i="1"/>
  <c r="N20" i="6" s="1"/>
  <c r="N78" i="1"/>
  <c r="N62" i="1"/>
  <c r="C47" i="1"/>
  <c r="C91" i="1" s="1"/>
  <c r="D47" i="1"/>
  <c r="D91" i="1" s="1"/>
  <c r="E47" i="1"/>
  <c r="E91" i="1" s="1"/>
  <c r="F47" i="1"/>
  <c r="F91" i="1" s="1"/>
  <c r="G47" i="1"/>
  <c r="G91" i="1" s="1"/>
  <c r="H47" i="1"/>
  <c r="H91" i="1" s="1"/>
  <c r="I47" i="1"/>
  <c r="I91" i="1" s="1"/>
  <c r="J47" i="1"/>
  <c r="J91" i="1" s="1"/>
  <c r="K47" i="1"/>
  <c r="K91" i="1" s="1"/>
  <c r="L47" i="1"/>
  <c r="L91" i="1" s="1"/>
  <c r="M47" i="1"/>
  <c r="M91" i="1" s="1"/>
  <c r="N47" i="1"/>
  <c r="N91" i="1" s="1"/>
  <c r="O47" i="1"/>
  <c r="W32" i="1"/>
  <c r="W30" i="1"/>
  <c r="V27" i="1"/>
  <c r="W27" i="1" s="1"/>
  <c r="W13" i="1"/>
  <c r="F9" i="1"/>
  <c r="C9" i="1"/>
  <c r="D16" i="1"/>
  <c r="G16" i="1"/>
  <c r="J16" i="1"/>
  <c r="M16" i="1"/>
  <c r="I9" i="1"/>
  <c r="E9" i="1"/>
  <c r="H9" i="1"/>
  <c r="K9" i="1"/>
  <c r="N9" i="1"/>
  <c r="S3" i="1"/>
  <c r="T3" i="1"/>
  <c r="V3" i="1"/>
  <c r="W3" i="1"/>
  <c r="P52" i="2"/>
  <c r="S49" i="2" s="1"/>
  <c r="O52" i="2"/>
  <c r="R49" i="2" s="1"/>
  <c r="N52" i="2"/>
  <c r="Q49" i="2" s="1"/>
  <c r="M52" i="2"/>
  <c r="P49" i="2" s="1"/>
  <c r="L52" i="2"/>
  <c r="O49" i="2" s="1"/>
  <c r="K52" i="2"/>
  <c r="N49" i="2" s="1"/>
  <c r="J52" i="2"/>
  <c r="I52" i="2"/>
  <c r="L49" i="2" s="1"/>
  <c r="H52" i="2"/>
  <c r="K49" i="2" s="1"/>
  <c r="G52" i="2"/>
  <c r="J49" i="2" s="1"/>
  <c r="F52" i="2"/>
  <c r="I49" i="2" s="1"/>
  <c r="E52" i="2"/>
  <c r="H49" i="2" s="1"/>
  <c r="D52" i="2"/>
  <c r="G49" i="2" s="1"/>
  <c r="C52" i="2"/>
  <c r="F49" i="2" s="1"/>
  <c r="Q52" i="2"/>
  <c r="T49" i="2" s="1"/>
  <c r="P31" i="2"/>
  <c r="S28" i="2" s="1"/>
  <c r="O31" i="2"/>
  <c r="R28" i="2" s="1"/>
  <c r="N31" i="2"/>
  <c r="M31" i="2"/>
  <c r="L31" i="2"/>
  <c r="K31" i="2"/>
  <c r="J31" i="2"/>
  <c r="I31" i="2"/>
  <c r="L28" i="2" s="1"/>
  <c r="H31" i="2"/>
  <c r="G31" i="2"/>
  <c r="F31" i="2"/>
  <c r="I28" i="2" s="1"/>
  <c r="E31" i="2"/>
  <c r="H28" i="2" s="1"/>
  <c r="D31" i="2"/>
  <c r="G28" i="2" s="1"/>
  <c r="C31" i="2"/>
  <c r="F28" i="2" s="1"/>
  <c r="Q31" i="2"/>
  <c r="T28" i="2" s="1"/>
  <c r="P16" i="2"/>
  <c r="S13" i="2" s="1"/>
  <c r="O16" i="2"/>
  <c r="N16" i="2"/>
  <c r="Q13" i="2" s="1"/>
  <c r="M16" i="2"/>
  <c r="P13" i="2" s="1"/>
  <c r="L16" i="2"/>
  <c r="O13" i="2" s="1"/>
  <c r="K16" i="2"/>
  <c r="J16" i="2"/>
  <c r="I16" i="2"/>
  <c r="H16" i="2"/>
  <c r="G16" i="2"/>
  <c r="J13" i="2" s="1"/>
  <c r="F16" i="2"/>
  <c r="E16" i="2"/>
  <c r="H13" i="2" s="1"/>
  <c r="D16" i="2"/>
  <c r="G13" i="2" s="1"/>
  <c r="C16" i="2"/>
  <c r="F13" i="2" s="1"/>
  <c r="Q16" i="2"/>
  <c r="T13" i="2" s="1"/>
  <c r="D45" i="1"/>
  <c r="D44" i="1"/>
  <c r="D32" i="1"/>
  <c r="D30" i="1"/>
  <c r="D27" i="1"/>
  <c r="D25" i="1"/>
  <c r="D22" i="1"/>
  <c r="D21" i="1"/>
  <c r="D71" i="4" s="1"/>
  <c r="D13" i="1"/>
  <c r="D5" i="1"/>
  <c r="D54" i="4" s="1"/>
  <c r="D4" i="1"/>
  <c r="G45" i="1"/>
  <c r="G44" i="1"/>
  <c r="G32" i="1"/>
  <c r="G30" i="1"/>
  <c r="G27" i="1"/>
  <c r="G25" i="1"/>
  <c r="G22" i="1"/>
  <c r="G21" i="1"/>
  <c r="G13" i="1"/>
  <c r="G5" i="1"/>
  <c r="G54" i="4" s="1"/>
  <c r="G4" i="1"/>
  <c r="J45" i="1"/>
  <c r="J44" i="1"/>
  <c r="J32" i="1"/>
  <c r="J30" i="1"/>
  <c r="J27" i="1"/>
  <c r="J25" i="1"/>
  <c r="J22" i="1"/>
  <c r="J21" i="1"/>
  <c r="J13" i="1"/>
  <c r="J5" i="1"/>
  <c r="J54" i="4" s="1"/>
  <c r="J4" i="1"/>
  <c r="M45" i="1"/>
  <c r="M44" i="1"/>
  <c r="M32" i="1"/>
  <c r="M30" i="1"/>
  <c r="M27" i="1"/>
  <c r="M25" i="1"/>
  <c r="M22" i="1"/>
  <c r="M21" i="1"/>
  <c r="M13" i="1"/>
  <c r="M5" i="1"/>
  <c r="M54" i="4" s="1"/>
  <c r="M4" i="1"/>
  <c r="I6" i="1"/>
  <c r="I11" i="1" s="1"/>
  <c r="L6" i="1"/>
  <c r="L11" i="1" s="1"/>
  <c r="O6" i="1"/>
  <c r="O11" i="1" s="1"/>
  <c r="K6" i="1"/>
  <c r="K11" i="1" s="1"/>
  <c r="H6" i="1"/>
  <c r="H11" i="1" s="1"/>
  <c r="F6" i="1"/>
  <c r="F11" i="1" s="1"/>
  <c r="E6" i="1"/>
  <c r="E11" i="1" s="1"/>
  <c r="C6" i="1"/>
  <c r="C11" i="1" s="1"/>
  <c r="N6" i="1"/>
  <c r="N11" i="1" s="1"/>
  <c r="R45" i="4" l="1"/>
  <c r="T45" i="4"/>
  <c r="U6" i="2"/>
  <c r="Z20" i="2"/>
  <c r="X52" i="2"/>
  <c r="AA50" i="2" s="1"/>
  <c r="Z27" i="2"/>
  <c r="M43" i="2"/>
  <c r="M49" i="2"/>
  <c r="L7" i="2"/>
  <c r="L13" i="2"/>
  <c r="M22" i="2"/>
  <c r="M28" i="2"/>
  <c r="N22" i="2"/>
  <c r="N28" i="2"/>
  <c r="Z50" i="2"/>
  <c r="Z51" i="2" s="1"/>
  <c r="M7" i="2"/>
  <c r="M13" i="2"/>
  <c r="N7" i="2"/>
  <c r="N13" i="2"/>
  <c r="O22" i="2"/>
  <c r="O28" i="2"/>
  <c r="Q22" i="2"/>
  <c r="Q28" i="2"/>
  <c r="Y14" i="2"/>
  <c r="Y12" i="2"/>
  <c r="X31" i="2"/>
  <c r="K7" i="2"/>
  <c r="K13" i="2"/>
  <c r="P22" i="2"/>
  <c r="P28" i="2"/>
  <c r="I7" i="2"/>
  <c r="I13" i="2"/>
  <c r="J22" i="2"/>
  <c r="J28" i="2"/>
  <c r="R7" i="2"/>
  <c r="R13" i="2"/>
  <c r="K22" i="2"/>
  <c r="K28" i="2"/>
  <c r="Y41" i="2"/>
  <c r="Z41" i="2" s="1"/>
  <c r="Y48" i="2"/>
  <c r="Z48" i="2" s="1"/>
  <c r="V35" i="2"/>
  <c r="Y5" i="2"/>
  <c r="R37" i="2"/>
  <c r="R56" i="2" s="1"/>
  <c r="R58" i="2" s="1"/>
  <c r="K36" i="2"/>
  <c r="Q36" i="2"/>
  <c r="T22" i="2"/>
  <c r="T32" i="2"/>
  <c r="C57" i="2"/>
  <c r="F43" i="2"/>
  <c r="K57" i="2"/>
  <c r="N43" i="2"/>
  <c r="C36" i="2"/>
  <c r="F22" i="2"/>
  <c r="D57" i="2"/>
  <c r="G43" i="2"/>
  <c r="L57" i="2"/>
  <c r="O43" i="2"/>
  <c r="Q35" i="2"/>
  <c r="T7" i="2"/>
  <c r="T17" i="2"/>
  <c r="C35" i="2"/>
  <c r="F7" i="2"/>
  <c r="D36" i="2"/>
  <c r="G22" i="2"/>
  <c r="E57" i="2"/>
  <c r="H43" i="2"/>
  <c r="M57" i="2"/>
  <c r="P43" i="2"/>
  <c r="P35" i="2"/>
  <c r="S7" i="2"/>
  <c r="S17" i="2"/>
  <c r="I36" i="2"/>
  <c r="L22" i="2"/>
  <c r="D35" i="2"/>
  <c r="G7" i="2"/>
  <c r="L35" i="2"/>
  <c r="O7" i="2"/>
  <c r="E36" i="2"/>
  <c r="H22" i="2"/>
  <c r="F57" i="2"/>
  <c r="I43" i="2"/>
  <c r="N57" i="2"/>
  <c r="Q43" i="2"/>
  <c r="Q57" i="2"/>
  <c r="T43" i="2"/>
  <c r="T53" i="2"/>
  <c r="E35" i="2"/>
  <c r="H7" i="2"/>
  <c r="M35" i="2"/>
  <c r="P7" i="2"/>
  <c r="F36" i="2"/>
  <c r="I22" i="2"/>
  <c r="G57" i="2"/>
  <c r="J43" i="2"/>
  <c r="O57" i="2"/>
  <c r="R43" i="2"/>
  <c r="N35" i="2"/>
  <c r="Q7" i="2"/>
  <c r="O36" i="2"/>
  <c r="R22" i="2"/>
  <c r="H57" i="2"/>
  <c r="K43" i="2"/>
  <c r="S43" i="2"/>
  <c r="S53" i="2"/>
  <c r="G35" i="2"/>
  <c r="J7" i="2"/>
  <c r="S22" i="2"/>
  <c r="S32" i="2"/>
  <c r="I57" i="2"/>
  <c r="L43" i="2"/>
  <c r="T23" i="1"/>
  <c r="T15" i="1"/>
  <c r="AF48" i="1"/>
  <c r="L13" i="6"/>
  <c r="L25" i="6"/>
  <c r="L26" i="6"/>
  <c r="D70" i="4"/>
  <c r="D72" i="4" s="1"/>
  <c r="E14" i="1"/>
  <c r="E19" i="1" s="1"/>
  <c r="E57" i="6" s="1"/>
  <c r="H14" i="1"/>
  <c r="H19" i="1" s="1"/>
  <c r="H57" i="6" s="1"/>
  <c r="H39" i="6"/>
  <c r="J53" i="4"/>
  <c r="J61" i="4" s="1"/>
  <c r="J7" i="6" s="1"/>
  <c r="J10" i="6"/>
  <c r="E26" i="6"/>
  <c r="E25" i="6"/>
  <c r="E13" i="6"/>
  <c r="I26" i="6"/>
  <c r="I25" i="6"/>
  <c r="I13" i="6"/>
  <c r="L14" i="1"/>
  <c r="L19" i="1" s="1"/>
  <c r="L57" i="6" s="1"/>
  <c r="G53" i="4"/>
  <c r="G61" i="4" s="1"/>
  <c r="G7" i="6" s="1"/>
  <c r="G10" i="6"/>
  <c r="K26" i="6"/>
  <c r="K13" i="6"/>
  <c r="K25" i="6"/>
  <c r="K14" i="1"/>
  <c r="K19" i="1" s="1"/>
  <c r="K57" i="6" s="1"/>
  <c r="H26" i="6"/>
  <c r="H25" i="6"/>
  <c r="H13" i="6"/>
  <c r="R28" i="6"/>
  <c r="R27" i="6"/>
  <c r="N14" i="1"/>
  <c r="N19" i="1" s="1"/>
  <c r="N57" i="6" s="1"/>
  <c r="V47" i="1"/>
  <c r="V91" i="1" s="1"/>
  <c r="V2" i="6"/>
  <c r="E18" i="6"/>
  <c r="E11" i="6"/>
  <c r="E19" i="6"/>
  <c r="O14" i="1"/>
  <c r="O19" i="1" s="1"/>
  <c r="O57" i="6" s="1"/>
  <c r="L19" i="6"/>
  <c r="L11" i="6"/>
  <c r="L18" i="6"/>
  <c r="I14" i="1"/>
  <c r="I19" i="1" s="1"/>
  <c r="I57" i="6" s="1"/>
  <c r="C14" i="1"/>
  <c r="C19" i="1" s="1"/>
  <c r="C57" i="6" s="1"/>
  <c r="M10" i="6"/>
  <c r="H18" i="6"/>
  <c r="H11" i="6"/>
  <c r="H19" i="6"/>
  <c r="O18" i="6"/>
  <c r="O11" i="6"/>
  <c r="O19" i="6"/>
  <c r="P21" i="6"/>
  <c r="W47" i="1"/>
  <c r="W91" i="1" s="1"/>
  <c r="W2" i="6"/>
  <c r="C11" i="6"/>
  <c r="C19" i="6"/>
  <c r="C18" i="6"/>
  <c r="D53" i="4"/>
  <c r="D10" i="6"/>
  <c r="T47" i="1"/>
  <c r="T91" i="1" s="1"/>
  <c r="T2" i="6"/>
  <c r="N18" i="6"/>
  <c r="N19" i="6"/>
  <c r="N11" i="6"/>
  <c r="I18" i="6"/>
  <c r="I11" i="6"/>
  <c r="I19" i="6"/>
  <c r="F19" i="6"/>
  <c r="F18" i="6"/>
  <c r="F11" i="6"/>
  <c r="Q18" i="6"/>
  <c r="Q19" i="6"/>
  <c r="F14" i="1"/>
  <c r="F19" i="1" s="1"/>
  <c r="F57" i="6" s="1"/>
  <c r="S47" i="1"/>
  <c r="S91" i="1" s="1"/>
  <c r="S2" i="6"/>
  <c r="K19" i="6"/>
  <c r="K18" i="6"/>
  <c r="K11" i="6"/>
  <c r="F26" i="6"/>
  <c r="F25" i="6"/>
  <c r="F13" i="6"/>
  <c r="C13" i="6"/>
  <c r="C26" i="6"/>
  <c r="C25" i="6"/>
  <c r="W111" i="1"/>
  <c r="P69" i="4"/>
  <c r="P70" i="4" s="1"/>
  <c r="O20" i="4"/>
  <c r="O21" i="4"/>
  <c r="P71" i="4"/>
  <c r="P20" i="4"/>
  <c r="V28" i="4"/>
  <c r="V24" i="4"/>
  <c r="AC28" i="4"/>
  <c r="AA28" i="4"/>
  <c r="AB28" i="4" s="1"/>
  <c r="V32" i="4"/>
  <c r="X32" i="4"/>
  <c r="Z32" i="4"/>
  <c r="Z37" i="4" s="1"/>
  <c r="R43" i="4"/>
  <c r="R65" i="4"/>
  <c r="X57" i="2"/>
  <c r="V57" i="2"/>
  <c r="V53" i="2"/>
  <c r="J53" i="2"/>
  <c r="P57" i="2"/>
  <c r="P36" i="2"/>
  <c r="E68" i="2"/>
  <c r="E12" i="1"/>
  <c r="E34" i="6" s="1"/>
  <c r="C68" i="2"/>
  <c r="C12" i="1"/>
  <c r="C34" i="6" s="1"/>
  <c r="F68" i="2"/>
  <c r="F12" i="1"/>
  <c r="F34" i="6" s="1"/>
  <c r="L68" i="2"/>
  <c r="L12" i="1"/>
  <c r="L34" i="6" s="1"/>
  <c r="H68" i="2"/>
  <c r="H12" i="1"/>
  <c r="H34" i="6" s="1"/>
  <c r="K68" i="2"/>
  <c r="K12" i="1"/>
  <c r="K34" i="6" s="1"/>
  <c r="O12" i="1"/>
  <c r="O34" i="6" s="1"/>
  <c r="O68" i="2"/>
  <c r="N68" i="2"/>
  <c r="N12" i="1"/>
  <c r="N34" i="6" s="1"/>
  <c r="I68" i="2"/>
  <c r="I12" i="1"/>
  <c r="I34" i="6" s="1"/>
  <c r="E20" i="1"/>
  <c r="E35" i="6" s="1"/>
  <c r="O17" i="2"/>
  <c r="J57" i="2"/>
  <c r="M17" i="2"/>
  <c r="Q53" i="2"/>
  <c r="M32" i="2"/>
  <c r="F17" i="2"/>
  <c r="J32" i="2"/>
  <c r="O35" i="2"/>
  <c r="H53" i="2"/>
  <c r="P53" i="2"/>
  <c r="G17" i="2"/>
  <c r="I53" i="2"/>
  <c r="I17" i="2"/>
  <c r="K53" i="2"/>
  <c r="R53" i="2"/>
  <c r="L53" i="2"/>
  <c r="R17" i="2"/>
  <c r="M53" i="2"/>
  <c r="F53" i="2"/>
  <c r="N53" i="2"/>
  <c r="G53" i="2"/>
  <c r="O53" i="2"/>
  <c r="R32" i="2"/>
  <c r="K7" i="1"/>
  <c r="K33" i="6" s="1"/>
  <c r="O7" i="1"/>
  <c r="O33" i="6" s="1"/>
  <c r="O20" i="1"/>
  <c r="O35" i="6" s="1"/>
  <c r="H7" i="1"/>
  <c r="H33" i="6" s="1"/>
  <c r="N20" i="1"/>
  <c r="N35" i="6" s="1"/>
  <c r="C7" i="1"/>
  <c r="C33" i="6" s="1"/>
  <c r="C20" i="1"/>
  <c r="C35" i="6" s="1"/>
  <c r="F7" i="1"/>
  <c r="F33" i="6" s="1"/>
  <c r="F20" i="1"/>
  <c r="F35" i="6" s="1"/>
  <c r="N2" i="4"/>
  <c r="V123" i="1"/>
  <c r="F2" i="4"/>
  <c r="P47" i="4"/>
  <c r="E2" i="4"/>
  <c r="M123" i="1"/>
  <c r="J123" i="1"/>
  <c r="Q72" i="4"/>
  <c r="R12" i="4"/>
  <c r="F102" i="1"/>
  <c r="F107" i="1" s="1"/>
  <c r="O91" i="1"/>
  <c r="O2" i="4"/>
  <c r="H2" i="4"/>
  <c r="D123" i="1"/>
  <c r="G123" i="1"/>
  <c r="P12" i="4"/>
  <c r="P101" i="1"/>
  <c r="M2" i="4"/>
  <c r="Q63" i="1"/>
  <c r="R89" i="1"/>
  <c r="P62" i="4"/>
  <c r="P8" i="6" s="1"/>
  <c r="P60" i="4"/>
  <c r="P6" i="6" s="1"/>
  <c r="Q62" i="4"/>
  <c r="Q8" i="6" s="1"/>
  <c r="E5" i="5"/>
  <c r="Q60" i="4"/>
  <c r="Q6" i="6" s="1"/>
  <c r="P106" i="1"/>
  <c r="Q102" i="1"/>
  <c r="Q107" i="1" s="1"/>
  <c r="P96" i="1"/>
  <c r="P78" i="1"/>
  <c r="P55" i="1"/>
  <c r="P62" i="1"/>
  <c r="P123" i="1"/>
  <c r="P86" i="1"/>
  <c r="P20" i="6" s="1"/>
  <c r="P114" i="1"/>
  <c r="P70" i="1"/>
  <c r="P2" i="4"/>
  <c r="O7" i="4"/>
  <c r="O12" i="4"/>
  <c r="AB2" i="4"/>
  <c r="AB51" i="4" s="1"/>
  <c r="L2" i="4"/>
  <c r="D2" i="4"/>
  <c r="C72" i="4"/>
  <c r="AC2" i="4"/>
  <c r="AC51" i="4" s="1"/>
  <c r="AI2" i="4"/>
  <c r="AI51" i="4" s="1"/>
  <c r="AA2" i="4"/>
  <c r="AA51" i="4" s="1"/>
  <c r="K2" i="4"/>
  <c r="C2" i="4"/>
  <c r="M53" i="4"/>
  <c r="M61" i="4" s="1"/>
  <c r="M7" i="6" s="1"/>
  <c r="AD2" i="4"/>
  <c r="AD51" i="4" s="1"/>
  <c r="AH2" i="4"/>
  <c r="AH51" i="4" s="1"/>
  <c r="Z2" i="4"/>
  <c r="Z51" i="4" s="1"/>
  <c r="J2" i="4"/>
  <c r="AG2" i="4"/>
  <c r="AG51" i="4" s="1"/>
  <c r="Y2" i="4"/>
  <c r="Y51" i="4" s="1"/>
  <c r="Q2" i="4"/>
  <c r="I2" i="4"/>
  <c r="U2" i="4"/>
  <c r="AF2" i="4"/>
  <c r="AF51" i="4" s="1"/>
  <c r="X2" i="4"/>
  <c r="X51" i="4" s="1"/>
  <c r="AE2" i="4"/>
  <c r="AE51" i="4" s="1"/>
  <c r="G2" i="4"/>
  <c r="D60" i="4"/>
  <c r="D6" i="6" s="1"/>
  <c r="L60" i="4"/>
  <c r="L6" i="6" s="1"/>
  <c r="M60" i="4"/>
  <c r="M6" i="6" s="1"/>
  <c r="M62" i="4"/>
  <c r="M8" i="6" s="1"/>
  <c r="F61" i="4"/>
  <c r="F7" i="6" s="1"/>
  <c r="N61" i="4"/>
  <c r="N7" i="6" s="1"/>
  <c r="I61" i="4"/>
  <c r="I7" i="6" s="1"/>
  <c r="E62" i="4"/>
  <c r="E8" i="6" s="1"/>
  <c r="C61" i="4"/>
  <c r="C7" i="6" s="1"/>
  <c r="J60" i="4"/>
  <c r="J6" i="6" s="1"/>
  <c r="J62" i="4"/>
  <c r="J8" i="6" s="1"/>
  <c r="H61" i="4"/>
  <c r="H7" i="6" s="1"/>
  <c r="D62" i="4"/>
  <c r="D8" i="6" s="1"/>
  <c r="L62" i="4"/>
  <c r="L8" i="6" s="1"/>
  <c r="H62" i="4"/>
  <c r="H8" i="6" s="1"/>
  <c r="F60" i="4"/>
  <c r="F6" i="6" s="1"/>
  <c r="N60" i="4"/>
  <c r="N6" i="6" s="1"/>
  <c r="F62" i="4"/>
  <c r="F8" i="6" s="1"/>
  <c r="N62" i="4"/>
  <c r="N8" i="6" s="1"/>
  <c r="G60" i="4"/>
  <c r="G6" i="6" s="1"/>
  <c r="O60" i="4"/>
  <c r="O6" i="6" s="1"/>
  <c r="K61" i="4"/>
  <c r="K7" i="6" s="1"/>
  <c r="G62" i="4"/>
  <c r="G8" i="6" s="1"/>
  <c r="O62" i="4"/>
  <c r="O8" i="6" s="1"/>
  <c r="E60" i="4"/>
  <c r="E6" i="6" s="1"/>
  <c r="D61" i="4"/>
  <c r="D7" i="6" s="1"/>
  <c r="L61" i="4"/>
  <c r="L7" i="6" s="1"/>
  <c r="C60" i="4"/>
  <c r="C6" i="6" s="1"/>
  <c r="I60" i="4"/>
  <c r="I6" i="6" s="1"/>
  <c r="E61" i="4"/>
  <c r="E7" i="6" s="1"/>
  <c r="I62" i="4"/>
  <c r="I8" i="6" s="1"/>
  <c r="C62" i="4"/>
  <c r="C8" i="6" s="1"/>
  <c r="K60" i="4"/>
  <c r="K6" i="6" s="1"/>
  <c r="O61" i="4"/>
  <c r="O7" i="6" s="1"/>
  <c r="K62" i="4"/>
  <c r="K8" i="6" s="1"/>
  <c r="H60" i="4"/>
  <c r="H6" i="6" s="1"/>
  <c r="M47" i="4"/>
  <c r="H45" i="4"/>
  <c r="O45" i="4"/>
  <c r="I45" i="4"/>
  <c r="L45" i="4"/>
  <c r="O6" i="4"/>
  <c r="E102" i="1"/>
  <c r="E107" i="1" s="1"/>
  <c r="J8" i="1"/>
  <c r="J9" i="1" s="1"/>
  <c r="F87" i="1"/>
  <c r="M106" i="1"/>
  <c r="O102" i="1"/>
  <c r="O107" i="1" s="1"/>
  <c r="M55" i="1"/>
  <c r="M62" i="1"/>
  <c r="M11" i="6" s="1"/>
  <c r="J70" i="1"/>
  <c r="J72" i="1" s="1"/>
  <c r="J13" i="6" s="1"/>
  <c r="I63" i="1"/>
  <c r="L102" i="1"/>
  <c r="L107" i="1" s="1"/>
  <c r="L87" i="1"/>
  <c r="D96" i="1"/>
  <c r="D106" i="1"/>
  <c r="M70" i="1"/>
  <c r="E63" i="1"/>
  <c r="E39" i="6" s="1"/>
  <c r="D114" i="1"/>
  <c r="D101" i="1"/>
  <c r="M101" i="1"/>
  <c r="J114" i="1"/>
  <c r="O63" i="1"/>
  <c r="O39" i="6" s="1"/>
  <c r="D55" i="1"/>
  <c r="J101" i="1"/>
  <c r="C102" i="1"/>
  <c r="C107" i="1" s="1"/>
  <c r="M78" i="1"/>
  <c r="J62" i="1"/>
  <c r="I102" i="1"/>
  <c r="I107" i="1" s="1"/>
  <c r="G70" i="1"/>
  <c r="G72" i="1" s="1"/>
  <c r="G13" i="6" s="1"/>
  <c r="J96" i="1"/>
  <c r="J106" i="1"/>
  <c r="G114" i="1"/>
  <c r="L63" i="1"/>
  <c r="L39" i="6" s="1"/>
  <c r="C63" i="1"/>
  <c r="C39" i="6" s="1"/>
  <c r="M114" i="1"/>
  <c r="G106" i="1"/>
  <c r="G101" i="1"/>
  <c r="G96" i="1"/>
  <c r="H102" i="1"/>
  <c r="H107" i="1" s="1"/>
  <c r="M96" i="1"/>
  <c r="N102" i="1"/>
  <c r="K102" i="1"/>
  <c r="G8" i="1"/>
  <c r="G9" i="1" s="1"/>
  <c r="J78" i="1"/>
  <c r="D8" i="1"/>
  <c r="D9" i="1" s="1"/>
  <c r="G78" i="1"/>
  <c r="G62" i="1"/>
  <c r="G86" i="1"/>
  <c r="G20" i="6" s="1"/>
  <c r="K87" i="1"/>
  <c r="G55" i="1"/>
  <c r="M86" i="1"/>
  <c r="M20" i="6" s="1"/>
  <c r="J55" i="1"/>
  <c r="D6" i="1"/>
  <c r="D86" i="1"/>
  <c r="D20" i="6" s="1"/>
  <c r="D78" i="1"/>
  <c r="E87" i="1"/>
  <c r="D70" i="1"/>
  <c r="D72" i="1" s="1"/>
  <c r="D25" i="6" s="1"/>
  <c r="C87" i="1"/>
  <c r="D62" i="1"/>
  <c r="F63" i="1"/>
  <c r="F39" i="6" s="1"/>
  <c r="H87" i="1"/>
  <c r="H63" i="1"/>
  <c r="J86" i="1"/>
  <c r="J20" i="6" s="1"/>
  <c r="I87" i="1"/>
  <c r="N63" i="1"/>
  <c r="N39" i="6" s="1"/>
  <c r="K63" i="1"/>
  <c r="M8" i="1"/>
  <c r="M9" i="1" s="1"/>
  <c r="L9" i="1"/>
  <c r="J6" i="1"/>
  <c r="G6" i="1"/>
  <c r="M6" i="1"/>
  <c r="W12" i="2"/>
  <c r="W13" i="2" s="1"/>
  <c r="W30" i="2"/>
  <c r="W5" i="2"/>
  <c r="W7" i="2" s="1"/>
  <c r="W43" i="2"/>
  <c r="V17" i="2"/>
  <c r="I32" i="2"/>
  <c r="L32" i="2"/>
  <c r="P32" i="2"/>
  <c r="G32" i="2"/>
  <c r="Q32" i="2"/>
  <c r="K32" i="2"/>
  <c r="H36" i="2"/>
  <c r="O32" i="2"/>
  <c r="F32" i="2"/>
  <c r="J17" i="2"/>
  <c r="N17" i="2"/>
  <c r="L17" i="2"/>
  <c r="P17" i="2"/>
  <c r="Q17" i="2"/>
  <c r="N32" i="2"/>
  <c r="K17" i="2"/>
  <c r="H32" i="2"/>
  <c r="H17" i="2"/>
  <c r="F35" i="2"/>
  <c r="G36" i="2"/>
  <c r="G37" i="2" s="1"/>
  <c r="H35" i="2"/>
  <c r="I35" i="2"/>
  <c r="J36" i="2"/>
  <c r="J35" i="2"/>
  <c r="K35" i="2"/>
  <c r="L36" i="2"/>
  <c r="M36" i="2"/>
  <c r="N36" i="2"/>
  <c r="I7" i="1"/>
  <c r="I33" i="6" s="1"/>
  <c r="L7" i="1"/>
  <c r="L33" i="6" s="1"/>
  <c r="E7" i="1"/>
  <c r="E33" i="6" s="1"/>
  <c r="N7" i="1"/>
  <c r="N33" i="6" s="1"/>
  <c r="F9" i="6" l="1"/>
  <c r="D9" i="6"/>
  <c r="I20" i="1"/>
  <c r="I35" i="6" s="1"/>
  <c r="J25" i="6"/>
  <c r="H9" i="6"/>
  <c r="H20" i="1"/>
  <c r="H35" i="6" s="1"/>
  <c r="G26" i="6"/>
  <c r="J9" i="6"/>
  <c r="AA48" i="2"/>
  <c r="AA41" i="2"/>
  <c r="AA52" i="2" s="1"/>
  <c r="Y16" i="2"/>
  <c r="Y17" i="2" s="1"/>
  <c r="X53" i="2"/>
  <c r="E37" i="2"/>
  <c r="E56" i="2" s="1"/>
  <c r="E58" i="2" s="1"/>
  <c r="X36" i="2"/>
  <c r="AA20" i="2"/>
  <c r="AA27" i="2"/>
  <c r="AA29" i="2"/>
  <c r="X32" i="2"/>
  <c r="D37" i="2"/>
  <c r="D56" i="2" s="1"/>
  <c r="D58" i="2" s="1"/>
  <c r="P37" i="2"/>
  <c r="S38" i="2" s="1"/>
  <c r="Y52" i="2"/>
  <c r="AB50" i="2" s="1"/>
  <c r="AC50" i="2" s="1"/>
  <c r="AC51" i="2" s="1"/>
  <c r="Z22" i="2"/>
  <c r="Y31" i="2"/>
  <c r="AB29" i="2" s="1"/>
  <c r="V37" i="2"/>
  <c r="V56" i="2" s="1"/>
  <c r="V58" i="2" s="1"/>
  <c r="V2" i="4"/>
  <c r="V51" i="4" s="1"/>
  <c r="K37" i="2"/>
  <c r="K56" i="2" s="1"/>
  <c r="K58" i="2" s="1"/>
  <c r="R4" i="1"/>
  <c r="S4" i="1" s="1"/>
  <c r="I37" i="2"/>
  <c r="I56" i="2" s="1"/>
  <c r="I58" i="2" s="1"/>
  <c r="C37" i="2"/>
  <c r="C56" i="2" s="1"/>
  <c r="C58" i="2" s="1"/>
  <c r="W2" i="4"/>
  <c r="W51" i="4" s="1"/>
  <c r="L37" i="2"/>
  <c r="O37" i="2"/>
  <c r="R38" i="2" s="1"/>
  <c r="Q37" i="2"/>
  <c r="Q56" i="2" s="1"/>
  <c r="Q58" i="2" s="1"/>
  <c r="F37" i="2"/>
  <c r="F56" i="2" s="1"/>
  <c r="F58" i="2" s="1"/>
  <c r="N37" i="2"/>
  <c r="M37" i="2"/>
  <c r="M56" i="2" s="1"/>
  <c r="M58" i="2" s="1"/>
  <c r="T24" i="1"/>
  <c r="T26" i="1"/>
  <c r="T28" i="1"/>
  <c r="AG48" i="1"/>
  <c r="H28" i="6"/>
  <c r="H12" i="6"/>
  <c r="H27" i="6"/>
  <c r="O27" i="6"/>
  <c r="O12" i="6"/>
  <c r="L20" i="1"/>
  <c r="L35" i="6" s="1"/>
  <c r="J26" i="6"/>
  <c r="G18" i="6"/>
  <c r="G19" i="6"/>
  <c r="O125" i="1"/>
  <c r="O128" i="1" s="1"/>
  <c r="P127" i="1" s="1"/>
  <c r="O59" i="6"/>
  <c r="O56" i="6"/>
  <c r="I125" i="1"/>
  <c r="I59" i="6"/>
  <c r="I56" i="6"/>
  <c r="I9" i="6"/>
  <c r="O9" i="6"/>
  <c r="P18" i="6"/>
  <c r="P19" i="6"/>
  <c r="G21" i="6"/>
  <c r="D19" i="6"/>
  <c r="D18" i="6"/>
  <c r="J19" i="6"/>
  <c r="J18" i="6"/>
  <c r="I28" i="6"/>
  <c r="I12" i="6"/>
  <c r="I27" i="6"/>
  <c r="E125" i="1"/>
  <c r="E128" i="1" s="1"/>
  <c r="F127" i="1" s="1"/>
  <c r="E59" i="6"/>
  <c r="E56" i="6"/>
  <c r="C9" i="6"/>
  <c r="G9" i="6"/>
  <c r="D13" i="6"/>
  <c r="J11" i="6"/>
  <c r="D26" i="6"/>
  <c r="K28" i="6"/>
  <c r="K27" i="6"/>
  <c r="K12" i="6"/>
  <c r="D11" i="6"/>
  <c r="M21" i="6"/>
  <c r="I39" i="6"/>
  <c r="G11" i="6"/>
  <c r="F125" i="1"/>
  <c r="F59" i="6"/>
  <c r="F56" i="6"/>
  <c r="L125" i="1"/>
  <c r="L56" i="6"/>
  <c r="L59" i="6"/>
  <c r="C27" i="6"/>
  <c r="C28" i="6"/>
  <c r="C12" i="6"/>
  <c r="C125" i="1"/>
  <c r="C128" i="1" s="1"/>
  <c r="D127" i="1" s="1"/>
  <c r="C56" i="6"/>
  <c r="C59" i="6"/>
  <c r="E27" i="6"/>
  <c r="E28" i="6"/>
  <c r="E12" i="6"/>
  <c r="M18" i="6"/>
  <c r="M19" i="6"/>
  <c r="M9" i="6"/>
  <c r="K20" i="1"/>
  <c r="K35" i="6" s="1"/>
  <c r="P72" i="4"/>
  <c r="D21" i="6"/>
  <c r="H125" i="1"/>
  <c r="H128" i="1" s="1"/>
  <c r="I127" i="1" s="1"/>
  <c r="I128" i="1" s="1"/>
  <c r="J127" i="1" s="1"/>
  <c r="H59" i="6"/>
  <c r="H56" i="6"/>
  <c r="F27" i="6"/>
  <c r="F28" i="6"/>
  <c r="F12" i="6"/>
  <c r="N27" i="6"/>
  <c r="N12" i="6"/>
  <c r="L27" i="6"/>
  <c r="L28" i="6"/>
  <c r="L12" i="6"/>
  <c r="K9" i="6"/>
  <c r="E9" i="6"/>
  <c r="N9" i="6"/>
  <c r="L9" i="6"/>
  <c r="Q125" i="1"/>
  <c r="Q59" i="6"/>
  <c r="Q56" i="6"/>
  <c r="Q27" i="6"/>
  <c r="G25" i="6"/>
  <c r="K39" i="6"/>
  <c r="J21" i="6"/>
  <c r="Z43" i="2"/>
  <c r="G11" i="1"/>
  <c r="J11" i="1"/>
  <c r="AF28" i="4"/>
  <c r="AD28" i="4"/>
  <c r="AE28" i="4" s="1"/>
  <c r="AC32" i="4"/>
  <c r="AC37" i="4" s="1"/>
  <c r="AA32" i="4"/>
  <c r="X39" i="4"/>
  <c r="X37" i="4"/>
  <c r="M11" i="1"/>
  <c r="D11" i="1"/>
  <c r="I23" i="1"/>
  <c r="I24" i="1" s="1"/>
  <c r="I36" i="6" s="1"/>
  <c r="I69" i="2"/>
  <c r="N23" i="1"/>
  <c r="N28" i="1" s="1"/>
  <c r="N46" i="4" s="1"/>
  <c r="N48" i="4" s="1"/>
  <c r="E15" i="1"/>
  <c r="H69" i="2"/>
  <c r="K23" i="1"/>
  <c r="K26" i="1" s="1"/>
  <c r="K69" i="2"/>
  <c r="L15" i="1"/>
  <c r="L69" i="2"/>
  <c r="C23" i="1"/>
  <c r="C28" i="1" s="1"/>
  <c r="C33" i="1" s="1"/>
  <c r="F69" i="2"/>
  <c r="H37" i="2"/>
  <c r="N15" i="1"/>
  <c r="D7" i="1"/>
  <c r="D33" i="6" s="1"/>
  <c r="M7" i="1"/>
  <c r="M33" i="6" s="1"/>
  <c r="G7" i="1"/>
  <c r="G33" i="6" s="1"/>
  <c r="P102" i="1"/>
  <c r="P107" i="1" s="1"/>
  <c r="I15" i="1"/>
  <c r="Q12" i="4"/>
  <c r="M72" i="1"/>
  <c r="O72" i="1"/>
  <c r="O28" i="6" s="1"/>
  <c r="N72" i="1"/>
  <c r="P63" i="1"/>
  <c r="F5" i="5"/>
  <c r="L89" i="1"/>
  <c r="M102" i="1"/>
  <c r="M107" i="1" s="1"/>
  <c r="M63" i="1"/>
  <c r="J63" i="1"/>
  <c r="I89" i="1"/>
  <c r="E89" i="1"/>
  <c r="D102" i="1"/>
  <c r="D107" i="1" s="1"/>
  <c r="C89" i="1"/>
  <c r="G87" i="1"/>
  <c r="J87" i="1"/>
  <c r="J102" i="1"/>
  <c r="J107" i="1" s="1"/>
  <c r="K107" i="1"/>
  <c r="L23" i="1"/>
  <c r="L24" i="1" s="1"/>
  <c r="L36" i="6" s="1"/>
  <c r="N107" i="1"/>
  <c r="G102" i="1"/>
  <c r="G107" i="1" s="1"/>
  <c r="G63" i="1"/>
  <c r="D87" i="1"/>
  <c r="D63" i="1"/>
  <c r="F89" i="1"/>
  <c r="H89" i="1"/>
  <c r="K89" i="1"/>
  <c r="J7" i="1"/>
  <c r="J33" i="6" s="1"/>
  <c r="Z30" i="2"/>
  <c r="W57" i="2"/>
  <c r="G56" i="2"/>
  <c r="G58" i="2" s="1"/>
  <c r="P56" i="2"/>
  <c r="P58" i="2" s="1"/>
  <c r="S59" i="2" s="1"/>
  <c r="J37" i="2"/>
  <c r="O23" i="1"/>
  <c r="O15" i="1"/>
  <c r="C15" i="1"/>
  <c r="K15" i="1"/>
  <c r="F23" i="1"/>
  <c r="F15" i="1"/>
  <c r="C31" i="1"/>
  <c r="E23" i="1"/>
  <c r="E26" i="1" s="1"/>
  <c r="H15" i="1"/>
  <c r="H23" i="1"/>
  <c r="R53" i="4" l="1"/>
  <c r="R61" i="4" s="1"/>
  <c r="R7" i="6" s="1"/>
  <c r="R9" i="6" s="1"/>
  <c r="AD50" i="2"/>
  <c r="AA53" i="2"/>
  <c r="K38" i="2"/>
  <c r="Q38" i="2"/>
  <c r="AD48" i="2"/>
  <c r="AB12" i="2"/>
  <c r="R9" i="1"/>
  <c r="AA57" i="2"/>
  <c r="AB5" i="2"/>
  <c r="AB14" i="2"/>
  <c r="Y35" i="2"/>
  <c r="AC29" i="2"/>
  <c r="AC30" i="2" s="1"/>
  <c r="R10" i="6"/>
  <c r="R11" i="6"/>
  <c r="R12" i="6"/>
  <c r="O38" i="2"/>
  <c r="G59" i="2"/>
  <c r="L56" i="2"/>
  <c r="L58" i="2" s="1"/>
  <c r="L59" i="2" s="1"/>
  <c r="T38" i="2"/>
  <c r="G38" i="2"/>
  <c r="AD41" i="2"/>
  <c r="AD52" i="2" s="1"/>
  <c r="Y57" i="2"/>
  <c r="Y53" i="2"/>
  <c r="AB41" i="2"/>
  <c r="AB48" i="2"/>
  <c r="AC48" i="2" s="1"/>
  <c r="AB20" i="2"/>
  <c r="AC20" i="2" s="1"/>
  <c r="AB27" i="2"/>
  <c r="AC27" i="2" s="1"/>
  <c r="W31" i="2"/>
  <c r="W32" i="2" s="1"/>
  <c r="W28" i="2"/>
  <c r="Y36" i="2"/>
  <c r="Y32" i="2"/>
  <c r="R13" i="6"/>
  <c r="L38" i="2"/>
  <c r="N56" i="2"/>
  <c r="N58" i="2" s="1"/>
  <c r="N59" i="2" s="1"/>
  <c r="F59" i="2"/>
  <c r="R6" i="1"/>
  <c r="R11" i="1" s="1"/>
  <c r="R19" i="1" s="1"/>
  <c r="R6" i="4"/>
  <c r="P38" i="2"/>
  <c r="M38" i="2"/>
  <c r="N38" i="2"/>
  <c r="O56" i="2"/>
  <c r="O58" i="2" s="1"/>
  <c r="R59" i="2" s="1"/>
  <c r="F38" i="2"/>
  <c r="I38" i="2"/>
  <c r="Q4" i="1"/>
  <c r="T61" i="2"/>
  <c r="T59" i="2"/>
  <c r="S6" i="4"/>
  <c r="S53" i="4"/>
  <c r="S61" i="4" s="1"/>
  <c r="T46" i="4"/>
  <c r="T48" i="4" s="1"/>
  <c r="T33" i="1"/>
  <c r="T31" i="1"/>
  <c r="T29" i="1"/>
  <c r="AH48" i="1"/>
  <c r="G14" i="1"/>
  <c r="G19" i="1" s="1"/>
  <c r="G39" i="6"/>
  <c r="S6" i="1"/>
  <c r="S9" i="1"/>
  <c r="G28" i="6"/>
  <c r="G12" i="6"/>
  <c r="G27" i="6"/>
  <c r="M14" i="1"/>
  <c r="M19" i="1" s="1"/>
  <c r="M39" i="6"/>
  <c r="P125" i="1"/>
  <c r="P128" i="1" s="1"/>
  <c r="P59" i="6"/>
  <c r="P56" i="6"/>
  <c r="N125" i="1"/>
  <c r="N128" i="1" s="1"/>
  <c r="Q127" i="1" s="1"/>
  <c r="Q128" i="1" s="1"/>
  <c r="N59" i="6"/>
  <c r="N56" i="6"/>
  <c r="P27" i="6"/>
  <c r="J14" i="1"/>
  <c r="J19" i="1" s="1"/>
  <c r="J39" i="6"/>
  <c r="N87" i="1"/>
  <c r="N89" i="1" s="1"/>
  <c r="N26" i="6"/>
  <c r="N25" i="6"/>
  <c r="N13" i="6"/>
  <c r="C45" i="6"/>
  <c r="C40" i="6"/>
  <c r="C38" i="6"/>
  <c r="N28" i="6"/>
  <c r="D125" i="1"/>
  <c r="D128" i="1" s="1"/>
  <c r="D56" i="6"/>
  <c r="D59" i="6"/>
  <c r="K125" i="1"/>
  <c r="K128" i="1" s="1"/>
  <c r="L127" i="1" s="1"/>
  <c r="L128" i="1" s="1"/>
  <c r="M127" i="1" s="1"/>
  <c r="K59" i="6"/>
  <c r="K56" i="6"/>
  <c r="O87" i="1"/>
  <c r="O89" i="1" s="1"/>
  <c r="O26" i="6"/>
  <c r="O25" i="6"/>
  <c r="O13" i="6"/>
  <c r="G125" i="1"/>
  <c r="G128" i="1" s="1"/>
  <c r="G59" i="6"/>
  <c r="G56" i="6"/>
  <c r="J28" i="6"/>
  <c r="J27" i="6"/>
  <c r="J12" i="6"/>
  <c r="J125" i="1"/>
  <c r="J128" i="1" s="1"/>
  <c r="J56" i="6"/>
  <c r="J59" i="6"/>
  <c r="M28" i="6"/>
  <c r="M27" i="6"/>
  <c r="M12" i="6"/>
  <c r="M87" i="1"/>
  <c r="M13" i="6"/>
  <c r="M26" i="6"/>
  <c r="M25" i="6"/>
  <c r="G12" i="1"/>
  <c r="G34" i="6" s="1"/>
  <c r="D14" i="1"/>
  <c r="D19" i="1" s="1"/>
  <c r="D39" i="6"/>
  <c r="D28" i="6"/>
  <c r="D27" i="6"/>
  <c r="D12" i="6"/>
  <c r="M125" i="1"/>
  <c r="M128" i="1" s="1"/>
  <c r="M59" i="6"/>
  <c r="M56" i="6"/>
  <c r="G68" i="2"/>
  <c r="J12" i="1"/>
  <c r="J34" i="6" s="1"/>
  <c r="J68" i="2"/>
  <c r="M12" i="1"/>
  <c r="M34" i="6" s="1"/>
  <c r="M68" i="2"/>
  <c r="AA39" i="4"/>
  <c r="AA37" i="4"/>
  <c r="AF32" i="4"/>
  <c r="AF37" i="4" s="1"/>
  <c r="AD32" i="4"/>
  <c r="AI28" i="4"/>
  <c r="AG28" i="4"/>
  <c r="AH28" i="4" s="1"/>
  <c r="Y32" i="4"/>
  <c r="N26" i="1"/>
  <c r="N31" i="1"/>
  <c r="N40" i="1" s="1"/>
  <c r="C24" i="1"/>
  <c r="C36" i="6" s="1"/>
  <c r="N24" i="1"/>
  <c r="N36" i="6" s="1"/>
  <c r="N33" i="1"/>
  <c r="N36" i="1" s="1"/>
  <c r="C29" i="1"/>
  <c r="C37" i="6" s="1"/>
  <c r="D12" i="1"/>
  <c r="D34" i="6" s="1"/>
  <c r="D68" i="2"/>
  <c r="K24" i="1"/>
  <c r="K36" i="6" s="1"/>
  <c r="I26" i="1"/>
  <c r="N29" i="1"/>
  <c r="N37" i="6" s="1"/>
  <c r="K28" i="1"/>
  <c r="K29" i="1" s="1"/>
  <c r="K37" i="6" s="1"/>
  <c r="C26" i="1"/>
  <c r="I28" i="1"/>
  <c r="I46" i="4" s="1"/>
  <c r="N69" i="2"/>
  <c r="D23" i="1"/>
  <c r="D28" i="1" s="1"/>
  <c r="J23" i="1"/>
  <c r="J28" i="1" s="1"/>
  <c r="J46" i="4" s="1"/>
  <c r="O69" i="2"/>
  <c r="G23" i="1"/>
  <c r="G28" i="1" s="1"/>
  <c r="G46" i="4" s="1"/>
  <c r="H38" i="2"/>
  <c r="H56" i="2"/>
  <c r="H58" i="2" s="1"/>
  <c r="H59" i="2" s="1"/>
  <c r="Q72" i="1"/>
  <c r="P71" i="1"/>
  <c r="P72" i="1" s="1"/>
  <c r="P28" i="6" s="1"/>
  <c r="G5" i="5"/>
  <c r="G89" i="1"/>
  <c r="M89" i="1"/>
  <c r="J89" i="1"/>
  <c r="L26" i="1"/>
  <c r="L28" i="1"/>
  <c r="L33" i="1" s="1"/>
  <c r="D15" i="1"/>
  <c r="D89" i="1"/>
  <c r="G15" i="1"/>
  <c r="W52" i="2"/>
  <c r="C37" i="1"/>
  <c r="C36" i="1"/>
  <c r="P59" i="2"/>
  <c r="I59" i="2"/>
  <c r="J56" i="2"/>
  <c r="J58" i="2" s="1"/>
  <c r="J59" i="2" s="1"/>
  <c r="J38" i="2"/>
  <c r="O26" i="1"/>
  <c r="O28" i="1"/>
  <c r="O46" i="4" s="1"/>
  <c r="O48" i="4" s="1"/>
  <c r="O24" i="1"/>
  <c r="O36" i="6" s="1"/>
  <c r="F26" i="1"/>
  <c r="F28" i="1"/>
  <c r="F46" i="4" s="1"/>
  <c r="F24" i="1"/>
  <c r="F36" i="6" s="1"/>
  <c r="C40" i="1"/>
  <c r="C41" i="1"/>
  <c r="C44" i="6" s="1"/>
  <c r="E24" i="1"/>
  <c r="E36" i="6" s="1"/>
  <c r="E28" i="1"/>
  <c r="H24" i="1"/>
  <c r="H36" i="6" s="1"/>
  <c r="H28" i="1"/>
  <c r="H46" i="4" s="1"/>
  <c r="H26" i="1"/>
  <c r="Y37" i="2" l="1"/>
  <c r="Y56" i="2" s="1"/>
  <c r="Y58" i="2" s="1"/>
  <c r="J15" i="1"/>
  <c r="AB16" i="2"/>
  <c r="AB17" i="2" s="1"/>
  <c r="AG50" i="2"/>
  <c r="AD53" i="2"/>
  <c r="R57" i="6"/>
  <c r="R62" i="6"/>
  <c r="R7" i="1"/>
  <c r="R33" i="6" s="1"/>
  <c r="R12" i="1"/>
  <c r="R34" i="6" s="1"/>
  <c r="R92" i="1"/>
  <c r="S92" i="1" s="1"/>
  <c r="S96" i="1" s="1"/>
  <c r="S102" i="1" s="1"/>
  <c r="S107" i="1" s="1"/>
  <c r="R14" i="1"/>
  <c r="R29" i="6" s="1"/>
  <c r="W53" i="2"/>
  <c r="Z49" i="2"/>
  <c r="AG48" i="2"/>
  <c r="AD57" i="2"/>
  <c r="AG41" i="2"/>
  <c r="AC41" i="2"/>
  <c r="AC43" i="2" s="1"/>
  <c r="AB52" i="2"/>
  <c r="AE50" i="2" s="1"/>
  <c r="AF50" i="2" s="1"/>
  <c r="AF51" i="2" s="1"/>
  <c r="W36" i="2"/>
  <c r="Z28" i="2"/>
  <c r="AB31" i="2"/>
  <c r="AE29" i="2" s="1"/>
  <c r="R39" i="6"/>
  <c r="R68" i="2"/>
  <c r="R69" i="2" s="1"/>
  <c r="Q59" i="2"/>
  <c r="O59" i="2"/>
  <c r="Q53" i="4"/>
  <c r="Q61" i="4" s="1"/>
  <c r="Q7" i="6" s="1"/>
  <c r="Q9" i="6" s="1"/>
  <c r="Q9" i="1"/>
  <c r="Q10" i="6"/>
  <c r="Q6" i="4"/>
  <c r="Q12" i="6"/>
  <c r="Q6" i="1"/>
  <c r="Q11" i="6"/>
  <c r="P4" i="1"/>
  <c r="T40" i="1"/>
  <c r="T41" i="1"/>
  <c r="T36" i="1"/>
  <c r="T37" i="1"/>
  <c r="AI48" i="1"/>
  <c r="M15" i="1"/>
  <c r="M23" i="1"/>
  <c r="M26" i="1" s="1"/>
  <c r="D57" i="6"/>
  <c r="D20" i="1"/>
  <c r="D35" i="6" s="1"/>
  <c r="R127" i="1"/>
  <c r="T127" i="1"/>
  <c r="T128" i="1" s="1"/>
  <c r="P87" i="1"/>
  <c r="P89" i="1" s="1"/>
  <c r="P26" i="6"/>
  <c r="P25" i="6"/>
  <c r="M20" i="1"/>
  <c r="M35" i="6" s="1"/>
  <c r="M57" i="6"/>
  <c r="Q87" i="1"/>
  <c r="Q89" i="1" s="1"/>
  <c r="Q26" i="6"/>
  <c r="Q25" i="6"/>
  <c r="Q28" i="6"/>
  <c r="Q13" i="6"/>
  <c r="S11" i="1"/>
  <c r="S19" i="1" s="1"/>
  <c r="S57" i="6" s="1"/>
  <c r="S7" i="1"/>
  <c r="S33" i="6" s="1"/>
  <c r="N37" i="1"/>
  <c r="N40" i="6"/>
  <c r="N38" i="6"/>
  <c r="L38" i="6"/>
  <c r="L40" i="6"/>
  <c r="J20" i="1"/>
  <c r="J35" i="6" s="1"/>
  <c r="J57" i="6"/>
  <c r="G57" i="6"/>
  <c r="G20" i="1"/>
  <c r="G35" i="6" s="1"/>
  <c r="R20" i="1"/>
  <c r="R35" i="6" s="1"/>
  <c r="N41" i="1"/>
  <c r="Y39" i="4"/>
  <c r="Z39" i="4" s="1"/>
  <c r="Z40" i="4" s="1"/>
  <c r="Y37" i="4"/>
  <c r="AD39" i="4"/>
  <c r="AD37" i="4"/>
  <c r="AE32" i="4" s="1"/>
  <c r="AB32" i="4"/>
  <c r="AG32" i="4"/>
  <c r="AI32" i="4"/>
  <c r="AI37" i="4" s="1"/>
  <c r="V59" i="2"/>
  <c r="V38" i="2"/>
  <c r="K33" i="1"/>
  <c r="K46" i="4"/>
  <c r="M24" i="1"/>
  <c r="M36" i="6" s="1"/>
  <c r="I29" i="1"/>
  <c r="I37" i="6" s="1"/>
  <c r="I33" i="1"/>
  <c r="I31" i="1"/>
  <c r="I40" i="1" s="1"/>
  <c r="J24" i="1"/>
  <c r="J36" i="6" s="1"/>
  <c r="K31" i="1"/>
  <c r="K41" i="1" s="1"/>
  <c r="G26" i="1"/>
  <c r="G24" i="1"/>
  <c r="G36" i="6" s="1"/>
  <c r="D24" i="1"/>
  <c r="D36" i="6" s="1"/>
  <c r="G69" i="2"/>
  <c r="J26" i="1"/>
  <c r="M69" i="2"/>
  <c r="D26" i="1"/>
  <c r="J69" i="2"/>
  <c r="K59" i="2"/>
  <c r="L31" i="1"/>
  <c r="L41" i="1" s="1"/>
  <c r="L46" i="4"/>
  <c r="L29" i="1"/>
  <c r="L37" i="6" s="1"/>
  <c r="L37" i="1"/>
  <c r="L36" i="1"/>
  <c r="Z57" i="2"/>
  <c r="Z52" i="2"/>
  <c r="Z53" i="2" s="1"/>
  <c r="Z31" i="2"/>
  <c r="AC28" i="2" s="1"/>
  <c r="M59" i="2"/>
  <c r="D33" i="1"/>
  <c r="D31" i="1"/>
  <c r="D29" i="1"/>
  <c r="D37" i="6" s="1"/>
  <c r="G29" i="1"/>
  <c r="G37" i="6" s="1"/>
  <c r="G31" i="1"/>
  <c r="G33" i="1"/>
  <c r="J31" i="1"/>
  <c r="J29" i="1"/>
  <c r="J37" i="6" s="1"/>
  <c r="J33" i="1"/>
  <c r="O31" i="1"/>
  <c r="O33" i="1"/>
  <c r="O29" i="1"/>
  <c r="O37" i="6" s="1"/>
  <c r="H33" i="1"/>
  <c r="E29" i="1"/>
  <c r="E37" i="6" s="1"/>
  <c r="E33" i="1"/>
  <c r="F33" i="1"/>
  <c r="F31" i="1"/>
  <c r="F29" i="1"/>
  <c r="F37" i="6" s="1"/>
  <c r="E31" i="1"/>
  <c r="H29" i="1"/>
  <c r="H37" i="6" s="1"/>
  <c r="H31" i="1"/>
  <c r="AE5" i="2" l="1"/>
  <c r="AE12" i="2"/>
  <c r="AE14" i="2"/>
  <c r="AB35" i="2"/>
  <c r="Y38" i="2"/>
  <c r="R15" i="1"/>
  <c r="M28" i="1"/>
  <c r="M46" i="4" s="1"/>
  <c r="AG52" i="2"/>
  <c r="AG57" i="2" s="1"/>
  <c r="R23" i="1"/>
  <c r="R26" i="1" s="1"/>
  <c r="R96" i="1"/>
  <c r="R102" i="1" s="1"/>
  <c r="R107" i="1" s="1"/>
  <c r="R125" i="1" s="1"/>
  <c r="R128" i="1" s="1"/>
  <c r="S127" i="1" s="1"/>
  <c r="AC49" i="2"/>
  <c r="AG53" i="2"/>
  <c r="AE41" i="2"/>
  <c r="AE48" i="2"/>
  <c r="AF48" i="2" s="1"/>
  <c r="AB53" i="2"/>
  <c r="AB57" i="2"/>
  <c r="AC57" i="2" s="1"/>
  <c r="AE20" i="2"/>
  <c r="AE27" i="2"/>
  <c r="AB32" i="2"/>
  <c r="AB36" i="2"/>
  <c r="Y4" i="1"/>
  <c r="Y59" i="2"/>
  <c r="P53" i="4"/>
  <c r="P61" i="4" s="1"/>
  <c r="P7" i="6" s="1"/>
  <c r="P9" i="6" s="1"/>
  <c r="P12" i="6"/>
  <c r="P9" i="1"/>
  <c r="P11" i="6"/>
  <c r="P6" i="1"/>
  <c r="P10" i="6"/>
  <c r="P6" i="4"/>
  <c r="S125" i="1"/>
  <c r="S59" i="6"/>
  <c r="Q11" i="1"/>
  <c r="Q7" i="1"/>
  <c r="Q33" i="6" s="1"/>
  <c r="P13" i="6"/>
  <c r="K36" i="1"/>
  <c r="K38" i="6"/>
  <c r="K40" i="6"/>
  <c r="S14" i="1"/>
  <c r="S12" i="1"/>
  <c r="S34" i="6" s="1"/>
  <c r="H40" i="6"/>
  <c r="H38" i="6"/>
  <c r="G40" i="6"/>
  <c r="G38" i="6"/>
  <c r="I37" i="1"/>
  <c r="I40" i="6"/>
  <c r="I38" i="6"/>
  <c r="O40" i="6"/>
  <c r="O38" i="6"/>
  <c r="I41" i="1"/>
  <c r="K37" i="1"/>
  <c r="F40" i="6"/>
  <c r="F38" i="6"/>
  <c r="J38" i="6"/>
  <c r="J40" i="6"/>
  <c r="D38" i="6"/>
  <c r="D40" i="6"/>
  <c r="E40" i="6"/>
  <c r="E38" i="6"/>
  <c r="AB39" i="4"/>
  <c r="AC39" i="4" s="1"/>
  <c r="AC40" i="4" s="1"/>
  <c r="AB37" i="4"/>
  <c r="AE39" i="4"/>
  <c r="AF39" i="4" s="1"/>
  <c r="AF40" i="4" s="1"/>
  <c r="AE37" i="4"/>
  <c r="AG37" i="4"/>
  <c r="AG39" i="4"/>
  <c r="W38" i="4"/>
  <c r="I36" i="1"/>
  <c r="K40" i="1"/>
  <c r="L40" i="1"/>
  <c r="E37" i="1"/>
  <c r="E36" i="1"/>
  <c r="F37" i="1"/>
  <c r="F36" i="1"/>
  <c r="O37" i="1"/>
  <c r="O36" i="1"/>
  <c r="H37" i="1"/>
  <c r="H36" i="1"/>
  <c r="Z32" i="2"/>
  <c r="Z36" i="2"/>
  <c r="AC52" i="2"/>
  <c r="AC53" i="2" s="1"/>
  <c r="D40" i="1"/>
  <c r="D41" i="1"/>
  <c r="D37" i="1"/>
  <c r="D36" i="1"/>
  <c r="G41" i="1"/>
  <c r="G40" i="1"/>
  <c r="G37" i="1"/>
  <c r="G36" i="1"/>
  <c r="J37" i="1"/>
  <c r="J36" i="1"/>
  <c r="J41" i="1"/>
  <c r="J40" i="1"/>
  <c r="O41" i="1"/>
  <c r="O40" i="1"/>
  <c r="E40" i="1"/>
  <c r="E41" i="1"/>
  <c r="F40" i="1"/>
  <c r="F41" i="1"/>
  <c r="H40" i="1"/>
  <c r="H41" i="1"/>
  <c r="AE16" i="2" l="1"/>
  <c r="AB37" i="2"/>
  <c r="AB38" i="2" s="1"/>
  <c r="M33" i="1"/>
  <c r="M36" i="1" s="1"/>
  <c r="M31" i="1"/>
  <c r="M41" i="1" s="1"/>
  <c r="M29" i="1"/>
  <c r="M37" i="6" s="1"/>
  <c r="R24" i="1"/>
  <c r="R36" i="6" s="1"/>
  <c r="R28" i="1"/>
  <c r="R46" i="4" s="1"/>
  <c r="R48" i="4" s="1"/>
  <c r="AE31" i="2"/>
  <c r="AH29" i="2" s="1"/>
  <c r="R59" i="6"/>
  <c r="R56" i="6"/>
  <c r="S128" i="1"/>
  <c r="AF49" i="2"/>
  <c r="AF41" i="2"/>
  <c r="AF43" i="2" s="1"/>
  <c r="AE52" i="2"/>
  <c r="AH50" i="2" s="1"/>
  <c r="AI50" i="2" s="1"/>
  <c r="AI51" i="2" s="1"/>
  <c r="Y6" i="1"/>
  <c r="Y8" i="1"/>
  <c r="Q19" i="1"/>
  <c r="Q39" i="6"/>
  <c r="Q68" i="2"/>
  <c r="Q69" i="2" s="1"/>
  <c r="Q14" i="1"/>
  <c r="Q12" i="1"/>
  <c r="Q34" i="6" s="1"/>
  <c r="P11" i="1"/>
  <c r="P7" i="1"/>
  <c r="P33" i="6" s="1"/>
  <c r="S23" i="1"/>
  <c r="S15" i="1"/>
  <c r="S20" i="1"/>
  <c r="M38" i="6"/>
  <c r="Y5" i="4"/>
  <c r="Y109" i="1" s="1"/>
  <c r="Y114" i="1" s="1"/>
  <c r="S68" i="2"/>
  <c r="AH32" i="4"/>
  <c r="V37" i="4"/>
  <c r="M37" i="1"/>
  <c r="Y53" i="4"/>
  <c r="V4" i="1"/>
  <c r="AE17" i="2" l="1"/>
  <c r="AH14" i="2"/>
  <c r="AH5" i="2"/>
  <c r="AE35" i="2"/>
  <c r="AH12" i="2"/>
  <c r="AB56" i="2"/>
  <c r="AB58" i="2" s="1"/>
  <c r="M40" i="1"/>
  <c r="M40" i="6"/>
  <c r="AH20" i="2"/>
  <c r="R29" i="1"/>
  <c r="R37" i="6" s="1"/>
  <c r="R31" i="1"/>
  <c r="R40" i="1" s="1"/>
  <c r="R33" i="1"/>
  <c r="R40" i="6" s="1"/>
  <c r="AH27" i="2"/>
  <c r="AE36" i="2"/>
  <c r="AE32" i="2"/>
  <c r="AF52" i="2"/>
  <c r="AF53" i="2" s="1"/>
  <c r="AH41" i="2"/>
  <c r="AH48" i="2"/>
  <c r="AI48" i="2" s="1"/>
  <c r="AE53" i="2"/>
  <c r="AE57" i="2"/>
  <c r="AF57" i="2" s="1"/>
  <c r="Y5" i="1"/>
  <c r="Y54" i="4" s="1"/>
  <c r="Y11" i="1"/>
  <c r="Y68" i="2" s="1"/>
  <c r="Y19" i="1"/>
  <c r="Y20" i="1" s="1"/>
  <c r="Y35" i="6" s="1"/>
  <c r="Y14" i="1"/>
  <c r="P68" i="2"/>
  <c r="P69" i="2" s="1"/>
  <c r="P14" i="1"/>
  <c r="P12" i="1"/>
  <c r="P34" i="6" s="1"/>
  <c r="P39" i="6"/>
  <c r="Q23" i="1"/>
  <c r="Q15" i="1"/>
  <c r="Q62" i="6"/>
  <c r="Q20" i="1"/>
  <c r="Q35" i="6" s="1"/>
  <c r="Q57" i="6"/>
  <c r="S28" i="1"/>
  <c r="S46" i="4" s="1"/>
  <c r="S26" i="1"/>
  <c r="S24" i="1"/>
  <c r="V8" i="1"/>
  <c r="AH39" i="4"/>
  <c r="AI39" i="4" s="1"/>
  <c r="AI40" i="4" s="1"/>
  <c r="AH37" i="4"/>
  <c r="V38" i="4"/>
  <c r="V39" i="4"/>
  <c r="W39" i="4" s="1"/>
  <c r="V53" i="4"/>
  <c r="V5" i="4"/>
  <c r="V6" i="1"/>
  <c r="AE37" i="2" l="1"/>
  <c r="AE38" i="2" s="1"/>
  <c r="AB4" i="1"/>
  <c r="AB6" i="1" s="1"/>
  <c r="AB5" i="1" s="1"/>
  <c r="AH16" i="2"/>
  <c r="AB59" i="2"/>
  <c r="V109" i="1"/>
  <c r="W109" i="1" s="1"/>
  <c r="W5" i="4"/>
  <c r="R36" i="1"/>
  <c r="R41" i="1"/>
  <c r="R38" i="6"/>
  <c r="R37" i="1"/>
  <c r="AH31" i="2"/>
  <c r="AH32" i="2" s="1"/>
  <c r="AI49" i="2"/>
  <c r="AH52" i="2"/>
  <c r="AI41" i="2"/>
  <c r="Y92" i="1"/>
  <c r="Y12" i="1"/>
  <c r="Y34" i="6" s="1"/>
  <c r="Y15" i="1"/>
  <c r="S69" i="2"/>
  <c r="P19" i="1"/>
  <c r="P15" i="1"/>
  <c r="P23" i="1"/>
  <c r="Q26" i="1"/>
  <c r="Q28" i="1"/>
  <c r="Q24" i="1"/>
  <c r="Q36" i="6" s="1"/>
  <c r="S31" i="1"/>
  <c r="S29" i="1"/>
  <c r="S33" i="1"/>
  <c r="V42" i="4"/>
  <c r="V43" i="4" s="1"/>
  <c r="V19" i="1"/>
  <c r="V20" i="1" s="1"/>
  <c r="V35" i="6" s="1"/>
  <c r="V14" i="1"/>
  <c r="V11" i="1"/>
  <c r="V68" i="2" s="1"/>
  <c r="V69" i="2" s="1"/>
  <c r="X38" i="4"/>
  <c r="W43" i="4"/>
  <c r="W40" i="4"/>
  <c r="V65" i="4"/>
  <c r="V5" i="1"/>
  <c r="AE56" i="2" l="1"/>
  <c r="AE58" i="2" s="1"/>
  <c r="AB53" i="4"/>
  <c r="AB8" i="1"/>
  <c r="AB19" i="1" s="1"/>
  <c r="AB20" i="1" s="1"/>
  <c r="AB35" i="6" s="1"/>
  <c r="AB5" i="4"/>
  <c r="AB109" i="1" s="1"/>
  <c r="AB114" i="1" s="1"/>
  <c r="AH35" i="2"/>
  <c r="AH17" i="2"/>
  <c r="Y69" i="2"/>
  <c r="AH36" i="2"/>
  <c r="AH37" i="2" s="1"/>
  <c r="AI43" i="2"/>
  <c r="AI52" i="2"/>
  <c r="AI53" i="2" s="1"/>
  <c r="AH53" i="2"/>
  <c r="AH57" i="2"/>
  <c r="AI57" i="2" s="1"/>
  <c r="P24" i="1"/>
  <c r="P36" i="6" s="1"/>
  <c r="P26" i="1"/>
  <c r="P28" i="1"/>
  <c r="P20" i="1"/>
  <c r="P35" i="6" s="1"/>
  <c r="P57" i="6"/>
  <c r="Q46" i="4"/>
  <c r="Q48" i="4" s="1"/>
  <c r="Q33" i="1"/>
  <c r="Q31" i="1"/>
  <c r="Q29" i="1"/>
  <c r="Q37" i="6" s="1"/>
  <c r="S37" i="1"/>
  <c r="S36" i="1"/>
  <c r="S40" i="1"/>
  <c r="S41" i="1"/>
  <c r="V92" i="1"/>
  <c r="V12" i="1"/>
  <c r="V34" i="6" s="1"/>
  <c r="Z38" i="4"/>
  <c r="Z42" i="4" s="1"/>
  <c r="X42" i="4"/>
  <c r="W65" i="4"/>
  <c r="V114" i="1"/>
  <c r="V54" i="4"/>
  <c r="S7" i="6"/>
  <c r="AB54" i="4"/>
  <c r="AE4" i="1" l="1"/>
  <c r="AE8" i="1" s="1"/>
  <c r="AE59" i="2"/>
  <c r="AB11" i="1"/>
  <c r="AB68" i="2" s="1"/>
  <c r="AB69" i="2" s="1"/>
  <c r="AB14" i="1"/>
  <c r="AB15" i="1" s="1"/>
  <c r="AH38" i="2"/>
  <c r="AH56" i="2"/>
  <c r="AH58" i="2" s="1"/>
  <c r="Q41" i="1"/>
  <c r="Q40" i="1"/>
  <c r="Q40" i="6"/>
  <c r="Q37" i="1"/>
  <c r="Q36" i="1"/>
  <c r="Q38" i="6"/>
  <c r="P31" i="1"/>
  <c r="P29" i="1"/>
  <c r="P37" i="6" s="1"/>
  <c r="P46" i="4"/>
  <c r="P33" i="1"/>
  <c r="Y38" i="4"/>
  <c r="Y42" i="4" s="1"/>
  <c r="Y43" i="4" s="1"/>
  <c r="X43" i="4"/>
  <c r="Z43" i="4"/>
  <c r="AA38" i="4"/>
  <c r="AE53" i="4" l="1"/>
  <c r="AE5" i="4"/>
  <c r="AE109" i="1" s="1"/>
  <c r="AE114" i="1" s="1"/>
  <c r="AB92" i="1"/>
  <c r="AE6" i="1"/>
  <c r="AE5" i="1" s="1"/>
  <c r="AE54" i="4" s="1"/>
  <c r="AB12" i="1"/>
  <c r="AB34" i="6" s="1"/>
  <c r="AH4" i="1"/>
  <c r="AH59" i="2"/>
  <c r="P40" i="1"/>
  <c r="P41" i="1"/>
  <c r="P36" i="1"/>
  <c r="P37" i="1"/>
  <c r="P40" i="6"/>
  <c r="P38" i="6"/>
  <c r="T69" i="2"/>
  <c r="AC38" i="4"/>
  <c r="AC42" i="4" s="1"/>
  <c r="AA42" i="4"/>
  <c r="S6" i="6"/>
  <c r="AE14" i="1" l="1"/>
  <c r="AE15" i="1" s="1"/>
  <c r="AE11" i="1"/>
  <c r="AE68" i="2" s="1"/>
  <c r="AE69" i="2" s="1"/>
  <c r="AE19" i="1"/>
  <c r="AE20" i="1" s="1"/>
  <c r="AE35" i="6" s="1"/>
  <c r="AH5" i="4"/>
  <c r="AH109" i="1" s="1"/>
  <c r="AH114" i="1" s="1"/>
  <c r="AH8" i="1"/>
  <c r="AH53" i="4"/>
  <c r="AH6" i="1"/>
  <c r="AB38" i="4"/>
  <c r="AB42" i="4" s="1"/>
  <c r="AB43" i="4" s="1"/>
  <c r="AA43" i="4"/>
  <c r="AC43" i="4"/>
  <c r="AD38" i="4"/>
  <c r="X65" i="4"/>
  <c r="S8" i="6"/>
  <c r="S9" i="6" s="1"/>
  <c r="AE12" i="1" l="1"/>
  <c r="AE34" i="6" s="1"/>
  <c r="AE92" i="1"/>
  <c r="AH5" i="1"/>
  <c r="AH54" i="4" s="1"/>
  <c r="AH11" i="1"/>
  <c r="AH68" i="2" s="1"/>
  <c r="AH69" i="2" s="1"/>
  <c r="AH14" i="1"/>
  <c r="AH15" i="1" s="1"/>
  <c r="AH19" i="1"/>
  <c r="AH20" i="1" s="1"/>
  <c r="AH35" i="6" s="1"/>
  <c r="AD42" i="4"/>
  <c r="AF38" i="4"/>
  <c r="AF42" i="4" s="1"/>
  <c r="AH92" i="1" l="1"/>
  <c r="AH12" i="1"/>
  <c r="AH34" i="6" s="1"/>
  <c r="AF43" i="4"/>
  <c r="AG38" i="4"/>
  <c r="AE38" i="4"/>
  <c r="AE42" i="4" s="1"/>
  <c r="AE43" i="4" s="1"/>
  <c r="AD43" i="4"/>
  <c r="Y65" i="4"/>
  <c r="AI38" i="4" l="1"/>
  <c r="AI42" i="4" s="1"/>
  <c r="AI43" i="4" s="1"/>
  <c r="AG42" i="4"/>
  <c r="AH38" i="4" l="1"/>
  <c r="AH42" i="4" s="1"/>
  <c r="AH43" i="4" s="1"/>
  <c r="AG43" i="4"/>
  <c r="Z65" i="4"/>
  <c r="AA65" i="4" l="1"/>
  <c r="AB65" i="4" l="1"/>
  <c r="AC65" i="4" l="1"/>
  <c r="AD65" i="4" l="1"/>
  <c r="AE65" i="4" l="1"/>
  <c r="AK6" i="4" l="1"/>
  <c r="S10" i="6" l="1"/>
  <c r="AF65" i="4"/>
  <c r="S35" i="6" l="1"/>
  <c r="T35" i="6" l="1"/>
  <c r="W10" i="4"/>
  <c r="AG65" i="4"/>
  <c r="V10" i="4" l="1"/>
  <c r="AH65" i="4"/>
  <c r="AI65" i="4"/>
  <c r="T10" i="6" l="1"/>
  <c r="W121" i="1" l="1"/>
  <c r="W123" i="1" s="1"/>
  <c r="W47" i="4"/>
  <c r="V83" i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V76" i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V69" i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V71" i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V85" i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V53" i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C32" i="5"/>
  <c r="V77" i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V60" i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V66" i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V84" i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V82" i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C19" i="5"/>
  <c r="W44" i="1"/>
  <c r="Z44" i="1" s="1"/>
  <c r="AC44" i="1" s="1"/>
  <c r="AF44" i="1" s="1"/>
  <c r="AI44" i="1" s="1"/>
  <c r="V44" i="1"/>
  <c r="Y44" i="1" s="1"/>
  <c r="AB44" i="1" s="1"/>
  <c r="AE44" i="1" s="1"/>
  <c r="AH44" i="1" s="1"/>
  <c r="V67" i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C21" i="5"/>
  <c r="V45" i="1"/>
  <c r="Y45" i="1" s="1"/>
  <c r="AB45" i="1" s="1"/>
  <c r="AE45" i="1" s="1"/>
  <c r="AH45" i="1" s="1"/>
  <c r="V54" i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V52" i="1" l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W45" i="1" l="1"/>
  <c r="Z45" i="1" s="1"/>
  <c r="AC45" i="1" s="1"/>
  <c r="AF45" i="1" s="1"/>
  <c r="AI45" i="1" s="1"/>
  <c r="V65" i="1" l="1"/>
  <c r="V59" i="1" l="1"/>
  <c r="W65" i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V75" i="1"/>
  <c r="W75" i="1" l="1"/>
  <c r="X75" i="1" s="1"/>
  <c r="W59" i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V80" i="1"/>
  <c r="Y75" i="1" l="1"/>
  <c r="W80" i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Z75" i="1" l="1"/>
  <c r="C18" i="5"/>
  <c r="AA75" i="1" l="1"/>
  <c r="AB75" i="1" s="1"/>
  <c r="AC75" i="1" s="1"/>
  <c r="O70" i="4"/>
  <c r="O72" i="4" s="1"/>
  <c r="AD75" i="1" l="1"/>
  <c r="AE75" i="1" s="1"/>
  <c r="AF75" i="1" s="1"/>
  <c r="T36" i="6"/>
  <c r="S36" i="6"/>
  <c r="AG75" i="1" l="1"/>
  <c r="AH75" i="1" s="1"/>
  <c r="AI75" i="1" s="1"/>
  <c r="W18" i="4" l="1"/>
  <c r="S37" i="6"/>
  <c r="S20" i="6" l="1"/>
  <c r="S21" i="6"/>
  <c r="T37" i="6"/>
  <c r="T20" i="6" l="1"/>
  <c r="T21" i="6"/>
  <c r="S19" i="6"/>
  <c r="S18" i="6"/>
  <c r="S11" i="6"/>
  <c r="W127" i="1"/>
  <c r="W45" i="4"/>
  <c r="S28" i="6" l="1"/>
  <c r="S27" i="6"/>
  <c r="S12" i="6"/>
  <c r="S39" i="6"/>
  <c r="S38" i="6"/>
  <c r="T26" i="6"/>
  <c r="T25" i="6"/>
  <c r="T13" i="6"/>
  <c r="T40" i="6"/>
  <c r="S26" i="6"/>
  <c r="S25" i="6"/>
  <c r="S13" i="6"/>
  <c r="S40" i="6"/>
  <c r="T27" i="6"/>
  <c r="T28" i="6"/>
  <c r="T12" i="6"/>
  <c r="T39" i="6"/>
  <c r="T38" i="6"/>
  <c r="T19" i="6"/>
  <c r="T18" i="6"/>
  <c r="T11" i="6"/>
  <c r="W66" i="4" l="1"/>
  <c r="V66" i="4" l="1"/>
  <c r="V70" i="4" l="1"/>
  <c r="V74" i="1" s="1"/>
  <c r="V71" i="4" l="1"/>
  <c r="V21" i="1" s="1"/>
  <c r="V104" i="1" s="1"/>
  <c r="V78" i="1"/>
  <c r="W70" i="4"/>
  <c r="W104" i="1" l="1"/>
  <c r="W74" i="1"/>
  <c r="X66" i="4" s="1"/>
  <c r="X70" i="4" s="1"/>
  <c r="X74" i="1" s="1"/>
  <c r="X78" i="1" s="1"/>
  <c r="Z66" i="4"/>
  <c r="Z70" i="4" s="1"/>
  <c r="Z74" i="1" s="1"/>
  <c r="Z78" i="1" s="1"/>
  <c r="W71" i="4"/>
  <c r="W72" i="4" s="1"/>
  <c r="V18" i="4"/>
  <c r="V19" i="4"/>
  <c r="W19" i="4" s="1"/>
  <c r="W21" i="1"/>
  <c r="Y66" i="4" l="1"/>
  <c r="Y70" i="4" s="1"/>
  <c r="Y74" i="1" s="1"/>
  <c r="Y78" i="1" s="1"/>
  <c r="AC66" i="4"/>
  <c r="AC70" i="4" s="1"/>
  <c r="AC74" i="1" s="1"/>
  <c r="AC78" i="1" s="1"/>
  <c r="W78" i="1"/>
  <c r="V23" i="4"/>
  <c r="V25" i="4"/>
  <c r="X71" i="4"/>
  <c r="X21" i="1" s="1"/>
  <c r="W20" i="4"/>
  <c r="X104" i="1" l="1"/>
  <c r="AF66" i="4"/>
  <c r="AF70" i="4" s="1"/>
  <c r="AF74" i="1" s="1"/>
  <c r="AF78" i="1" s="1"/>
  <c r="X18" i="4"/>
  <c r="Z18" i="4"/>
  <c r="W25" i="4"/>
  <c r="AI66" i="4" l="1"/>
  <c r="AI70" i="4" s="1"/>
  <c r="AI74" i="1" s="1"/>
  <c r="AI78" i="1" s="1"/>
  <c r="W26" i="4"/>
  <c r="Y71" i="4"/>
  <c r="Y21" i="1" s="1"/>
  <c r="X25" i="4"/>
  <c r="X19" i="4"/>
  <c r="Y104" i="1" l="1"/>
  <c r="Z104" i="1" s="1"/>
  <c r="Y23" i="1"/>
  <c r="Z21" i="1"/>
  <c r="AA66" i="4"/>
  <c r="AA70" i="4" s="1"/>
  <c r="AA74" i="1" s="1"/>
  <c r="AA78" i="1" s="1"/>
  <c r="X24" i="4"/>
  <c r="Z71" i="4"/>
  <c r="V23" i="1"/>
  <c r="V15" i="1"/>
  <c r="X23" i="4"/>
  <c r="X29" i="4" s="1"/>
  <c r="Y24" i="1" l="1"/>
  <c r="Y36" i="6" s="1"/>
  <c r="Y25" i="1"/>
  <c r="Y105" i="1" s="1"/>
  <c r="Y106" i="1" s="1"/>
  <c r="AB66" i="4"/>
  <c r="AB70" i="4" s="1"/>
  <c r="AB74" i="1" s="1"/>
  <c r="AB78" i="1" s="1"/>
  <c r="Y18" i="4"/>
  <c r="V24" i="1"/>
  <c r="V36" i="6" s="1"/>
  <c r="V25" i="1"/>
  <c r="Y19" i="4"/>
  <c r="Z19" i="4" s="1"/>
  <c r="Z72" i="4"/>
  <c r="Y28" i="1" l="1"/>
  <c r="Y31" i="1" s="1"/>
  <c r="V105" i="1"/>
  <c r="Z20" i="4"/>
  <c r="Z23" i="4"/>
  <c r="Z29" i="4" s="1"/>
  <c r="Y25" i="4"/>
  <c r="Y23" i="4"/>
  <c r="Y29" i="4" s="1"/>
  <c r="AA71" i="4"/>
  <c r="AA21" i="1" s="1"/>
  <c r="V28" i="1"/>
  <c r="Y33" i="1" l="1"/>
  <c r="Y37" i="1" s="1"/>
  <c r="Y29" i="1"/>
  <c r="Y37" i="6" s="1"/>
  <c r="Y41" i="1"/>
  <c r="Y40" i="1"/>
  <c r="AA104" i="1"/>
  <c r="V106" i="1"/>
  <c r="Z25" i="4"/>
  <c r="Y24" i="4"/>
  <c r="Z24" i="4" s="1"/>
  <c r="AC18" i="4"/>
  <c r="AA18" i="4"/>
  <c r="V33" i="1"/>
  <c r="V31" i="1"/>
  <c r="V29" i="1"/>
  <c r="V37" i="6" s="1"/>
  <c r="V46" i="4"/>
  <c r="Y36" i="1" l="1"/>
  <c r="AA25" i="4"/>
  <c r="AB71" i="4"/>
  <c r="AB21" i="1" s="1"/>
  <c r="V37" i="1"/>
  <c r="V36" i="1"/>
  <c r="AA19" i="4"/>
  <c r="Z26" i="4"/>
  <c r="V41" i="1"/>
  <c r="V40" i="1"/>
  <c r="AB104" i="1" l="1"/>
  <c r="AB23" i="1"/>
  <c r="AC21" i="1"/>
  <c r="AA24" i="4"/>
  <c r="AC71" i="4"/>
  <c r="AD66" i="4"/>
  <c r="AD70" i="4" s="1"/>
  <c r="AD74" i="1" s="1"/>
  <c r="AD78" i="1" s="1"/>
  <c r="AA23" i="4"/>
  <c r="AA29" i="4" s="1"/>
  <c r="AC104" i="1" l="1"/>
  <c r="AB24" i="1"/>
  <c r="AB36" i="6" s="1"/>
  <c r="AB25" i="1"/>
  <c r="AB28" i="1" s="1"/>
  <c r="AE66" i="4"/>
  <c r="AE70" i="4" s="1"/>
  <c r="AE74" i="1" s="1"/>
  <c r="AE78" i="1" s="1"/>
  <c r="AB18" i="4"/>
  <c r="AB19" i="4"/>
  <c r="AC19" i="4" s="1"/>
  <c r="AC72" i="4"/>
  <c r="AB31" i="1" l="1"/>
  <c r="AB29" i="1"/>
  <c r="AB37" i="6" s="1"/>
  <c r="AB33" i="1"/>
  <c r="AB105" i="1"/>
  <c r="AB25" i="4"/>
  <c r="AB23" i="4"/>
  <c r="AD71" i="4"/>
  <c r="AD21" i="1" s="1"/>
  <c r="AC20" i="4"/>
  <c r="AC23" i="4"/>
  <c r="AC29" i="4" s="1"/>
  <c r="AB106" i="1" l="1"/>
  <c r="AD104" i="1"/>
  <c r="AB36" i="1"/>
  <c r="AB37" i="1"/>
  <c r="AB40" i="1"/>
  <c r="AB41" i="1"/>
  <c r="AB29" i="4"/>
  <c r="Y46" i="4"/>
  <c r="AB24" i="4"/>
  <c r="AC24" i="4" s="1"/>
  <c r="AC25" i="4"/>
  <c r="AD18" i="4"/>
  <c r="AF18" i="4"/>
  <c r="AD25" i="4" l="1"/>
  <c r="AE71" i="4"/>
  <c r="AE21" i="1" s="1"/>
  <c r="AD19" i="4"/>
  <c r="AC26" i="4"/>
  <c r="AE104" i="1" l="1"/>
  <c r="AE23" i="1"/>
  <c r="AF21" i="1"/>
  <c r="AD24" i="4"/>
  <c r="AG66" i="4"/>
  <c r="AG70" i="4" s="1"/>
  <c r="AG74" i="1" s="1"/>
  <c r="AG78" i="1" s="1"/>
  <c r="AF71" i="4"/>
  <c r="AD23" i="4"/>
  <c r="AD29" i="4" s="1"/>
  <c r="AF104" i="1" l="1"/>
  <c r="AE25" i="1"/>
  <c r="AE28" i="1" s="1"/>
  <c r="AE24" i="1"/>
  <c r="AE36" i="6" s="1"/>
  <c r="AH66" i="4"/>
  <c r="AH70" i="4" s="1"/>
  <c r="AH74" i="1" s="1"/>
  <c r="AH78" i="1" s="1"/>
  <c r="AF72" i="4"/>
  <c r="AE19" i="4"/>
  <c r="AF19" i="4" s="1"/>
  <c r="AE18" i="4"/>
  <c r="AE105" i="1" l="1"/>
  <c r="AE31" i="1"/>
  <c r="AE29" i="1"/>
  <c r="AE37" i="6" s="1"/>
  <c r="AE33" i="1"/>
  <c r="AF20" i="4"/>
  <c r="AF23" i="4"/>
  <c r="AF29" i="4" s="1"/>
  <c r="AG71" i="4"/>
  <c r="AG21" i="1" s="1"/>
  <c r="AE25" i="4"/>
  <c r="AE23" i="4"/>
  <c r="AG104" i="1" l="1"/>
  <c r="AE106" i="1"/>
  <c r="AE40" i="1"/>
  <c r="AE41" i="1"/>
  <c r="AE37" i="1"/>
  <c r="AE36" i="1"/>
  <c r="AE29" i="4"/>
  <c r="AF25" i="4"/>
  <c r="AE24" i="4"/>
  <c r="AF24" i="4" s="1"/>
  <c r="AB46" i="4"/>
  <c r="AI18" i="4"/>
  <c r="AG18" i="4"/>
  <c r="AG19" i="4" l="1"/>
  <c r="AG23" i="4" s="1"/>
  <c r="AG29" i="4" s="1"/>
  <c r="AF26" i="4"/>
  <c r="AG25" i="4"/>
  <c r="AH71" i="4"/>
  <c r="AH21" i="1" s="1"/>
  <c r="AH104" i="1" l="1"/>
  <c r="AH23" i="1"/>
  <c r="AI21" i="1"/>
  <c r="AH18" i="4"/>
  <c r="AI71" i="4"/>
  <c r="AG24" i="4"/>
  <c r="AH24" i="1" l="1"/>
  <c r="AH36" i="6" s="1"/>
  <c r="AH25" i="1"/>
  <c r="AH28" i="1" s="1"/>
  <c r="AI104" i="1"/>
  <c r="AI72" i="4"/>
  <c r="AH19" i="4"/>
  <c r="AI19" i="4" s="1"/>
  <c r="AH25" i="4"/>
  <c r="AH29" i="1" l="1"/>
  <c r="AH31" i="1"/>
  <c r="AH33" i="1"/>
  <c r="AH105" i="1"/>
  <c r="AE46" i="4"/>
  <c r="AI25" i="4"/>
  <c r="AI20" i="4"/>
  <c r="AI23" i="4"/>
  <c r="AH24" i="4"/>
  <c r="AI24" i="4" s="1"/>
  <c r="AH23" i="4"/>
  <c r="AH37" i="1" l="1"/>
  <c r="AH36" i="1"/>
  <c r="AH41" i="1"/>
  <c r="AH40" i="1"/>
  <c r="AH106" i="1"/>
  <c r="AH37" i="6"/>
  <c r="AI29" i="4"/>
  <c r="AH29" i="4"/>
  <c r="AI26" i="4"/>
  <c r="AH46" i="4" l="1"/>
  <c r="W14" i="2"/>
  <c r="U16" i="2"/>
  <c r="X5" i="2" l="1"/>
  <c r="X14" i="2"/>
  <c r="Z14" i="2" s="1"/>
  <c r="Z15" i="2" s="1"/>
  <c r="X12" i="2"/>
  <c r="Z12" i="2" s="1"/>
  <c r="W16" i="2"/>
  <c r="W15" i="2"/>
  <c r="U17" i="2"/>
  <c r="U35" i="2"/>
  <c r="U37" i="2" s="1"/>
  <c r="Z5" i="2" l="1"/>
  <c r="X16" i="2"/>
  <c r="X17" i="2" s="1"/>
  <c r="Z13" i="2"/>
  <c r="W17" i="2"/>
  <c r="W35" i="2"/>
  <c r="W37" i="2" s="1"/>
  <c r="W38" i="2" s="1"/>
  <c r="U56" i="2"/>
  <c r="U38" i="2"/>
  <c r="Z16" i="2" l="1"/>
  <c r="Z17" i="2" s="1"/>
  <c r="Z7" i="2"/>
  <c r="X35" i="2"/>
  <c r="X37" i="2" s="1"/>
  <c r="X38" i="2" s="1"/>
  <c r="AA5" i="2"/>
  <c r="AA14" i="2"/>
  <c r="AC14" i="2" s="1"/>
  <c r="AC15" i="2" s="1"/>
  <c r="AA12" i="2"/>
  <c r="AC12" i="2" s="1"/>
  <c r="U58" i="2"/>
  <c r="U4" i="1" s="1"/>
  <c r="U6" i="1" s="1"/>
  <c r="U11" i="1" s="1"/>
  <c r="W56" i="2"/>
  <c r="W58" i="2" s="1"/>
  <c r="AC13" i="2" l="1"/>
  <c r="Z35" i="2"/>
  <c r="Z37" i="2" s="1"/>
  <c r="Z38" i="2" s="1"/>
  <c r="AC5" i="2"/>
  <c r="AA16" i="2"/>
  <c r="X56" i="2"/>
  <c r="AA31" i="2"/>
  <c r="AD29" i="2" s="1"/>
  <c r="AF29" i="2" s="1"/>
  <c r="AF30" i="2" s="1"/>
  <c r="X58" i="2"/>
  <c r="Z56" i="2"/>
  <c r="Z58" i="2" s="1"/>
  <c r="U59" i="2"/>
  <c r="W4" i="1"/>
  <c r="W59" i="2"/>
  <c r="AD12" i="2" l="1"/>
  <c r="AF12" i="2" s="1"/>
  <c r="AD14" i="2"/>
  <c r="AF14" i="2" s="1"/>
  <c r="AF15" i="2" s="1"/>
  <c r="AD5" i="2"/>
  <c r="AA17" i="2"/>
  <c r="AA35" i="2"/>
  <c r="AC7" i="2"/>
  <c r="AC16" i="2"/>
  <c r="AD20" i="2"/>
  <c r="AF20" i="2" s="1"/>
  <c r="AD27" i="2"/>
  <c r="AF27" i="2" s="1"/>
  <c r="AC22" i="2"/>
  <c r="AC31" i="2"/>
  <c r="AA36" i="2"/>
  <c r="AA32" i="2"/>
  <c r="U7" i="1"/>
  <c r="Z59" i="2"/>
  <c r="Z4" i="1"/>
  <c r="X4" i="1"/>
  <c r="X59" i="2"/>
  <c r="C6" i="5"/>
  <c r="W53" i="4"/>
  <c r="W57" i="4" s="1"/>
  <c r="AA37" i="2" l="1"/>
  <c r="AA56" i="2" s="1"/>
  <c r="AF28" i="2"/>
  <c r="AF13" i="2"/>
  <c r="AC35" i="2"/>
  <c r="AC17" i="2"/>
  <c r="AD31" i="2"/>
  <c r="AG29" i="2" s="1"/>
  <c r="AI29" i="2" s="1"/>
  <c r="AI30" i="2" s="1"/>
  <c r="AF5" i="2"/>
  <c r="AD16" i="2"/>
  <c r="AF22" i="2"/>
  <c r="AF31" i="2"/>
  <c r="AC32" i="2"/>
  <c r="AC36" i="2"/>
  <c r="Z53" i="4"/>
  <c r="Z57" i="4" s="1"/>
  <c r="D6" i="5"/>
  <c r="W58" i="1"/>
  <c r="V57" i="4"/>
  <c r="X53" i="4"/>
  <c r="X57" i="4" s="1"/>
  <c r="X58" i="1" s="1"/>
  <c r="X6" i="1"/>
  <c r="X5" i="1" s="1"/>
  <c r="X8" i="1"/>
  <c r="Z8" i="1" s="1"/>
  <c r="Z9" i="1" s="1"/>
  <c r="X5" i="4"/>
  <c r="AG20" i="2" l="1"/>
  <c r="AI20" i="2" s="1"/>
  <c r="AC37" i="2"/>
  <c r="AC38" i="2" s="1"/>
  <c r="AA38" i="2"/>
  <c r="AG27" i="2"/>
  <c r="AI27" i="2" s="1"/>
  <c r="AI28" i="2" s="1"/>
  <c r="AG12" i="2"/>
  <c r="AI12" i="2" s="1"/>
  <c r="AG14" i="2"/>
  <c r="AI14" i="2" s="1"/>
  <c r="AI15" i="2" s="1"/>
  <c r="AG5" i="2"/>
  <c r="AD17" i="2"/>
  <c r="AD35" i="2"/>
  <c r="AF16" i="2"/>
  <c r="AF7" i="2"/>
  <c r="AD36" i="2"/>
  <c r="AD32" i="2"/>
  <c r="AF36" i="2"/>
  <c r="AF32" i="2"/>
  <c r="AA58" i="2"/>
  <c r="AC56" i="2"/>
  <c r="AC58" i="2" s="1"/>
  <c r="X98" i="1"/>
  <c r="X109" i="1"/>
  <c r="X114" i="1" s="1"/>
  <c r="Z5" i="4"/>
  <c r="Z5" i="1"/>
  <c r="X54" i="4"/>
  <c r="V4" i="4"/>
  <c r="Z58" i="1"/>
  <c r="Y57" i="4"/>
  <c r="V58" i="1"/>
  <c r="V98" i="1" s="1"/>
  <c r="W98" i="1" s="1"/>
  <c r="V61" i="4"/>
  <c r="V7" i="6" s="1"/>
  <c r="X19" i="1"/>
  <c r="X20" i="1" s="1"/>
  <c r="X35" i="6" s="1"/>
  <c r="X14" i="1"/>
  <c r="X11" i="1"/>
  <c r="X68" i="2" s="1"/>
  <c r="W5" i="1"/>
  <c r="AG31" i="2" l="1"/>
  <c r="AG36" i="2" s="1"/>
  <c r="AD37" i="2"/>
  <c r="AD56" i="2" s="1"/>
  <c r="AD58" i="2" s="1"/>
  <c r="AF17" i="2"/>
  <c r="AF35" i="2"/>
  <c r="AF37" i="2" s="1"/>
  <c r="AF38" i="2" s="1"/>
  <c r="AI5" i="2"/>
  <c r="AG16" i="2"/>
  <c r="AI13" i="2"/>
  <c r="AC4" i="1"/>
  <c r="AC59" i="2"/>
  <c r="AA4" i="1"/>
  <c r="AA59" i="2"/>
  <c r="AI22" i="2"/>
  <c r="AI31" i="2"/>
  <c r="X56" i="4"/>
  <c r="X57" i="1" s="1"/>
  <c r="X58" i="4"/>
  <c r="X81" i="1" s="1"/>
  <c r="Y58" i="1"/>
  <c r="Y98" i="1" s="1"/>
  <c r="Z98" i="1" s="1"/>
  <c r="Y61" i="4"/>
  <c r="Y7" i="6" s="1"/>
  <c r="X92" i="1"/>
  <c r="X12" i="1"/>
  <c r="X34" i="6" s="1"/>
  <c r="X23" i="1"/>
  <c r="X15" i="1"/>
  <c r="V9" i="4"/>
  <c r="V11" i="4"/>
  <c r="Z109" i="1"/>
  <c r="Z6" i="4"/>
  <c r="W54" i="4"/>
  <c r="W6" i="1"/>
  <c r="Z54" i="4"/>
  <c r="Z6" i="1"/>
  <c r="AF56" i="2" l="1"/>
  <c r="AF58" i="2" s="1"/>
  <c r="AF59" i="2" s="1"/>
  <c r="AG32" i="2"/>
  <c r="AD38" i="2"/>
  <c r="AG35" i="2"/>
  <c r="AG37" i="2" s="1"/>
  <c r="AG17" i="2"/>
  <c r="AI16" i="2"/>
  <c r="AI7" i="2"/>
  <c r="AD4" i="1"/>
  <c r="AD59" i="2"/>
  <c r="AA6" i="1"/>
  <c r="AA53" i="4"/>
  <c r="AA57" i="4" s="1"/>
  <c r="AA58" i="1" s="1"/>
  <c r="AA98" i="1" s="1"/>
  <c r="AA5" i="4"/>
  <c r="AA8" i="1"/>
  <c r="AC8" i="1" s="1"/>
  <c r="AC9" i="1" s="1"/>
  <c r="AC53" i="4"/>
  <c r="AC57" i="4" s="1"/>
  <c r="E6" i="5"/>
  <c r="AI32" i="2"/>
  <c r="AI36" i="2"/>
  <c r="W58" i="4"/>
  <c r="Z14" i="1"/>
  <c r="Z7" i="1"/>
  <c r="Z33" i="6" s="1"/>
  <c r="Z11" i="1"/>
  <c r="Z68" i="2" s="1"/>
  <c r="Z19" i="1"/>
  <c r="Z20" i="1" s="1"/>
  <c r="Z35" i="6" s="1"/>
  <c r="V93" i="1"/>
  <c r="V96" i="1" s="1"/>
  <c r="W11" i="4"/>
  <c r="W14" i="4" s="1"/>
  <c r="V14" i="4"/>
  <c r="V15" i="4" s="1"/>
  <c r="V51" i="1" s="1"/>
  <c r="W7" i="1"/>
  <c r="W33" i="6" s="1"/>
  <c r="Z56" i="4"/>
  <c r="Z58" i="4"/>
  <c r="W25" i="1"/>
  <c r="Z114" i="1"/>
  <c r="D12" i="5"/>
  <c r="X25" i="1"/>
  <c r="X24" i="1"/>
  <c r="X36" i="6" s="1"/>
  <c r="X86" i="1"/>
  <c r="AF4" i="1" l="1"/>
  <c r="AF53" i="4" s="1"/>
  <c r="AF57" i="4" s="1"/>
  <c r="AG56" i="2"/>
  <c r="AI56" i="2" s="1"/>
  <c r="AI58" i="2" s="1"/>
  <c r="AG38" i="2"/>
  <c r="AI35" i="2"/>
  <c r="AI37" i="2" s="1"/>
  <c r="AI38" i="2" s="1"/>
  <c r="AI17" i="2"/>
  <c r="AA5" i="1"/>
  <c r="AA14" i="1"/>
  <c r="AA11" i="1"/>
  <c r="AA68" i="2" s="1"/>
  <c r="AA69" i="2" s="1"/>
  <c r="AA19" i="1"/>
  <c r="AA20" i="1" s="1"/>
  <c r="AA35" i="6" s="1"/>
  <c r="AD6" i="1"/>
  <c r="AD53" i="4"/>
  <c r="AD57" i="4" s="1"/>
  <c r="AD58" i="1" s="1"/>
  <c r="AD5" i="4"/>
  <c r="AD8" i="1"/>
  <c r="AF8" i="1" s="1"/>
  <c r="AC58" i="1"/>
  <c r="AB57" i="4"/>
  <c r="AC5" i="4"/>
  <c r="AA109" i="1"/>
  <c r="AA114" i="1" s="1"/>
  <c r="V55" i="1"/>
  <c r="V10" i="6"/>
  <c r="W93" i="1"/>
  <c r="C10" i="5" s="1"/>
  <c r="W12" i="4"/>
  <c r="Z81" i="1"/>
  <c r="Y58" i="4"/>
  <c r="W57" i="1"/>
  <c r="V56" i="4"/>
  <c r="Y56" i="4"/>
  <c r="Z57" i="1"/>
  <c r="V58" i="4"/>
  <c r="W81" i="1"/>
  <c r="X105" i="1"/>
  <c r="Z25" i="1"/>
  <c r="Z92" i="1"/>
  <c r="Z12" i="1"/>
  <c r="Z34" i="6" s="1"/>
  <c r="W105" i="1"/>
  <c r="W106" i="1" s="1"/>
  <c r="X28" i="1"/>
  <c r="D7" i="5"/>
  <c r="Z15" i="1"/>
  <c r="Z23" i="1"/>
  <c r="F6" i="5" l="1"/>
  <c r="AF9" i="1"/>
  <c r="AG58" i="2"/>
  <c r="AG4" i="1" s="1"/>
  <c r="AC109" i="1"/>
  <c r="AC6" i="4"/>
  <c r="AF5" i="4"/>
  <c r="AD109" i="1"/>
  <c r="AD114" i="1" s="1"/>
  <c r="AD11" i="1"/>
  <c r="AD68" i="2" s="1"/>
  <c r="AD69" i="2" s="1"/>
  <c r="AD14" i="1"/>
  <c r="AD19" i="1"/>
  <c r="AD20" i="1" s="1"/>
  <c r="AD35" i="6" s="1"/>
  <c r="AF58" i="1"/>
  <c r="AE57" i="4"/>
  <c r="AB61" i="4"/>
  <c r="AB7" i="6" s="1"/>
  <c r="AB58" i="1"/>
  <c r="AB98" i="1" s="1"/>
  <c r="AC98" i="1" s="1"/>
  <c r="AA92" i="1"/>
  <c r="AA12" i="1"/>
  <c r="AA34" i="6" s="1"/>
  <c r="AI59" i="2"/>
  <c r="AI4" i="1"/>
  <c r="AD98" i="1"/>
  <c r="AA15" i="1"/>
  <c r="AA23" i="1"/>
  <c r="AD5" i="1"/>
  <c r="AC5" i="1"/>
  <c r="AA54" i="4"/>
  <c r="X10" i="4"/>
  <c r="Z10" i="4"/>
  <c r="Z26" i="1"/>
  <c r="D9" i="5" s="1"/>
  <c r="Z105" i="1"/>
  <c r="Z106" i="1" s="1"/>
  <c r="X106" i="1"/>
  <c r="W86" i="1"/>
  <c r="X99" i="1"/>
  <c r="V57" i="1"/>
  <c r="V60" i="4"/>
  <c r="V6" i="6" s="1"/>
  <c r="X31" i="1"/>
  <c r="X46" i="4"/>
  <c r="Z46" i="4" s="1"/>
  <c r="X33" i="1"/>
  <c r="X29" i="1"/>
  <c r="X37" i="6" s="1"/>
  <c r="Y57" i="1"/>
  <c r="Y60" i="4"/>
  <c r="Y6" i="6" s="1"/>
  <c r="X97" i="1"/>
  <c r="V81" i="1"/>
  <c r="V62" i="4"/>
  <c r="V8" i="6" s="1"/>
  <c r="Z28" i="1"/>
  <c r="Z24" i="1"/>
  <c r="Z36" i="6" s="1"/>
  <c r="Y81" i="1"/>
  <c r="Y62" i="4"/>
  <c r="Y8" i="6" s="1"/>
  <c r="Z86" i="1"/>
  <c r="AG59" i="2" l="1"/>
  <c r="AA56" i="4"/>
  <c r="AA57" i="1" s="1"/>
  <c r="AA58" i="4"/>
  <c r="AA81" i="1" s="1"/>
  <c r="G6" i="5"/>
  <c r="AI53" i="4"/>
  <c r="AI57" i="4" s="1"/>
  <c r="AC54" i="4"/>
  <c r="AC6" i="1"/>
  <c r="AD54" i="4"/>
  <c r="AF5" i="1"/>
  <c r="AD23" i="1"/>
  <c r="AD15" i="1"/>
  <c r="AD92" i="1"/>
  <c r="AD12" i="1"/>
  <c r="AD34" i="6" s="1"/>
  <c r="AG6" i="1"/>
  <c r="AG5" i="4"/>
  <c r="AG53" i="4"/>
  <c r="AG57" i="4" s="1"/>
  <c r="AG58" i="1" s="1"/>
  <c r="AG98" i="1" s="1"/>
  <c r="AG8" i="1"/>
  <c r="AI8" i="1" s="1"/>
  <c r="AI9" i="1" s="1"/>
  <c r="AA24" i="1"/>
  <c r="AA36" i="6" s="1"/>
  <c r="AA25" i="1"/>
  <c r="AA28" i="1" s="1"/>
  <c r="AF109" i="1"/>
  <c r="AF6" i="4"/>
  <c r="AE61" i="4"/>
  <c r="AE7" i="6" s="1"/>
  <c r="AE58" i="1"/>
  <c r="AE98" i="1" s="1"/>
  <c r="AF98" i="1" s="1"/>
  <c r="AC114" i="1"/>
  <c r="E12" i="5"/>
  <c r="Y9" i="6"/>
  <c r="Z33" i="1"/>
  <c r="Z31" i="1"/>
  <c r="Z29" i="1"/>
  <c r="Z37" i="6" s="1"/>
  <c r="V99" i="1"/>
  <c r="W99" i="1" s="1"/>
  <c r="V86" i="1"/>
  <c r="Y99" i="1"/>
  <c r="Z99" i="1" s="1"/>
  <c r="Y86" i="1"/>
  <c r="Y97" i="1"/>
  <c r="V9" i="6"/>
  <c r="V97" i="1"/>
  <c r="X101" i="1"/>
  <c r="AA33" i="1" l="1"/>
  <c r="AA31" i="1"/>
  <c r="AA29" i="1"/>
  <c r="AA37" i="6" s="1"/>
  <c r="AA46" i="4"/>
  <c r="AC46" i="4" s="1"/>
  <c r="AI5" i="4"/>
  <c r="AG109" i="1"/>
  <c r="AG114" i="1" s="1"/>
  <c r="AC11" i="1"/>
  <c r="AC68" i="2" s="1"/>
  <c r="AC69" i="2" s="1"/>
  <c r="AC14" i="1"/>
  <c r="AC7" i="1"/>
  <c r="AC33" i="6" s="1"/>
  <c r="AC19" i="1"/>
  <c r="AC20" i="1" s="1"/>
  <c r="AC35" i="6" s="1"/>
  <c r="AC58" i="4"/>
  <c r="AC56" i="4"/>
  <c r="AF114" i="1"/>
  <c r="F12" i="5"/>
  <c r="AG5" i="1"/>
  <c r="AG11" i="1"/>
  <c r="AG68" i="2" s="1"/>
  <c r="AG69" i="2" s="1"/>
  <c r="AG19" i="1"/>
  <c r="AG20" i="1" s="1"/>
  <c r="AG35" i="6" s="1"/>
  <c r="AG14" i="1"/>
  <c r="AC25" i="1"/>
  <c r="AA105" i="1"/>
  <c r="AI58" i="1"/>
  <c r="AH57" i="4"/>
  <c r="AD24" i="1"/>
  <c r="AD36" i="6" s="1"/>
  <c r="AD25" i="1"/>
  <c r="AF6" i="1"/>
  <c r="AF54" i="4"/>
  <c r="AA86" i="1"/>
  <c r="AA99" i="1"/>
  <c r="AD56" i="4"/>
  <c r="AD57" i="1" s="1"/>
  <c r="AD58" i="4"/>
  <c r="AD81" i="1" s="1"/>
  <c r="AA97" i="1"/>
  <c r="Y101" i="1"/>
  <c r="V101" i="1"/>
  <c r="V102" i="1" s="1"/>
  <c r="V107" i="1" s="1"/>
  <c r="V125" i="1" s="1"/>
  <c r="W97" i="1"/>
  <c r="W101" i="1" s="1"/>
  <c r="Z97" i="1"/>
  <c r="Z101" i="1" s="1"/>
  <c r="D11" i="5" s="1"/>
  <c r="Z40" i="1"/>
  <c r="Z41" i="1"/>
  <c r="Z37" i="1"/>
  <c r="Z36" i="1"/>
  <c r="AC105" i="1" l="1"/>
  <c r="AC106" i="1" s="1"/>
  <c r="AA106" i="1"/>
  <c r="AI109" i="1"/>
  <c r="AI6" i="4"/>
  <c r="AC57" i="1"/>
  <c r="AD97" i="1" s="1"/>
  <c r="AB56" i="4"/>
  <c r="AF56" i="4"/>
  <c r="AF58" i="4"/>
  <c r="AC81" i="1"/>
  <c r="AC86" i="1" s="1"/>
  <c r="AB58" i="4"/>
  <c r="AF11" i="1"/>
  <c r="AF68" i="2" s="1"/>
  <c r="AF69" i="2" s="1"/>
  <c r="AF19" i="1"/>
  <c r="AF20" i="1" s="1"/>
  <c r="AF35" i="6" s="1"/>
  <c r="AF14" i="1"/>
  <c r="AF7" i="1"/>
  <c r="AF33" i="6" s="1"/>
  <c r="AG23" i="1"/>
  <c r="AG15" i="1"/>
  <c r="AD28" i="1"/>
  <c r="AD105" i="1"/>
  <c r="AF25" i="1"/>
  <c r="AA101" i="1"/>
  <c r="AG92" i="1"/>
  <c r="AG12" i="1"/>
  <c r="AG34" i="6" s="1"/>
  <c r="E7" i="5"/>
  <c r="AC23" i="1"/>
  <c r="AC26" i="1" s="1"/>
  <c r="AC15" i="1"/>
  <c r="AD86" i="1"/>
  <c r="AH58" i="1"/>
  <c r="AH98" i="1" s="1"/>
  <c r="AI98" i="1" s="1"/>
  <c r="AH61" i="4"/>
  <c r="AH7" i="6" s="1"/>
  <c r="AI5" i="1"/>
  <c r="AG54" i="4"/>
  <c r="AC92" i="1"/>
  <c r="AC12" i="1"/>
  <c r="AC34" i="6" s="1"/>
  <c r="C11" i="5"/>
  <c r="AD99" i="1" l="1"/>
  <c r="AD101" i="1" s="1"/>
  <c r="E9" i="5"/>
  <c r="AD29" i="1"/>
  <c r="AD37" i="6" s="1"/>
  <c r="AD33" i="1"/>
  <c r="AD31" i="1"/>
  <c r="AD46" i="4"/>
  <c r="AB81" i="1"/>
  <c r="AB62" i="4"/>
  <c r="AB8" i="6" s="1"/>
  <c r="AC28" i="1"/>
  <c r="AC24" i="1"/>
  <c r="AC36" i="6" s="1"/>
  <c r="AG25" i="1"/>
  <c r="AG24" i="1"/>
  <c r="AG36" i="6" s="1"/>
  <c r="AE58" i="4"/>
  <c r="AF81" i="1"/>
  <c r="AF86" i="1" s="1"/>
  <c r="G12" i="5"/>
  <c r="AI114" i="1"/>
  <c r="AF57" i="1"/>
  <c r="AE56" i="4"/>
  <c r="AG56" i="4"/>
  <c r="AG57" i="1" s="1"/>
  <c r="AG58" i="4"/>
  <c r="AG81" i="1" s="1"/>
  <c r="AF12" i="1"/>
  <c r="AF34" i="6" s="1"/>
  <c r="AF92" i="1"/>
  <c r="AB60" i="4"/>
  <c r="AB6" i="6" s="1"/>
  <c r="AB57" i="1"/>
  <c r="AB97" i="1" s="1"/>
  <c r="AF23" i="1"/>
  <c r="AF26" i="1" s="1"/>
  <c r="AF15" i="1"/>
  <c r="F7" i="5"/>
  <c r="AI54" i="4"/>
  <c r="AI6" i="1"/>
  <c r="AD106" i="1"/>
  <c r="AF105" i="1"/>
  <c r="AF106" i="1" s="1"/>
  <c r="AB9" i="6" l="1"/>
  <c r="F9" i="5"/>
  <c r="AC97" i="1"/>
  <c r="AG97" i="1"/>
  <c r="AC29" i="1"/>
  <c r="AC37" i="6" s="1"/>
  <c r="AC31" i="1"/>
  <c r="AC33" i="1"/>
  <c r="AB99" i="1"/>
  <c r="AC99" i="1" s="1"/>
  <c r="AB86" i="1"/>
  <c r="AI19" i="1"/>
  <c r="AI20" i="1" s="1"/>
  <c r="AI35" i="6" s="1"/>
  <c r="AI14" i="1"/>
  <c r="AI7" i="1"/>
  <c r="AI33" i="6" s="1"/>
  <c r="AI11" i="1"/>
  <c r="AI68" i="2" s="1"/>
  <c r="AI69" i="2" s="1"/>
  <c r="AF46" i="4"/>
  <c r="AI56" i="4"/>
  <c r="AI58" i="4"/>
  <c r="AE62" i="4"/>
  <c r="AE8" i="6" s="1"/>
  <c r="AE81" i="1"/>
  <c r="AG86" i="1"/>
  <c r="AG99" i="1"/>
  <c r="AG28" i="1"/>
  <c r="AI25" i="1"/>
  <c r="AG105" i="1"/>
  <c r="AF24" i="1"/>
  <c r="AF36" i="6" s="1"/>
  <c r="AF28" i="1"/>
  <c r="AE57" i="1"/>
  <c r="AE97" i="1" s="1"/>
  <c r="AE60" i="4"/>
  <c r="AE6" i="6" s="1"/>
  <c r="AE9" i="6" l="1"/>
  <c r="AI57" i="1"/>
  <c r="AH56" i="4"/>
  <c r="AC37" i="1"/>
  <c r="AC36" i="1"/>
  <c r="AC40" i="1"/>
  <c r="AC41" i="1"/>
  <c r="AF33" i="1"/>
  <c r="AF29" i="1"/>
  <c r="AF37" i="6" s="1"/>
  <c r="AF31" i="1"/>
  <c r="AI105" i="1"/>
  <c r="AI106" i="1" s="1"/>
  <c r="AG106" i="1"/>
  <c r="AI92" i="1"/>
  <c r="AI12" i="1"/>
  <c r="AI34" i="6" s="1"/>
  <c r="AG101" i="1"/>
  <c r="AG31" i="1"/>
  <c r="AG33" i="1"/>
  <c r="AG29" i="1"/>
  <c r="AG37" i="6" s="1"/>
  <c r="AG46" i="4"/>
  <c r="AI46" i="4" s="1"/>
  <c r="AE86" i="1"/>
  <c r="AE99" i="1"/>
  <c r="AF99" i="1" s="1"/>
  <c r="G7" i="5"/>
  <c r="AI23" i="1"/>
  <c r="AI15" i="1"/>
  <c r="AC101" i="1"/>
  <c r="AB101" i="1"/>
  <c r="AF97" i="1"/>
  <c r="AI81" i="1"/>
  <c r="AI86" i="1" s="1"/>
  <c r="AH58" i="4"/>
  <c r="AF101" i="1" l="1"/>
  <c r="F11" i="5" s="1"/>
  <c r="E11" i="5"/>
  <c r="AF41" i="1"/>
  <c r="AF40" i="1"/>
  <c r="AH62" i="4"/>
  <c r="AH8" i="6" s="1"/>
  <c r="AH81" i="1"/>
  <c r="AI28" i="1"/>
  <c r="AI24" i="1"/>
  <c r="AI36" i="6" s="1"/>
  <c r="AI26" i="1"/>
  <c r="G9" i="5" s="1"/>
  <c r="AF37" i="1"/>
  <c r="AF36" i="1"/>
  <c r="AE101" i="1"/>
  <c r="AH60" i="4"/>
  <c r="AH6" i="6" s="1"/>
  <c r="AH57" i="1"/>
  <c r="AH97" i="1" s="1"/>
  <c r="AH9" i="6" l="1"/>
  <c r="AH86" i="1"/>
  <c r="AH99" i="1"/>
  <c r="AI99" i="1" s="1"/>
  <c r="AI97" i="1"/>
  <c r="AI29" i="1"/>
  <c r="AI37" i="6" s="1"/>
  <c r="AI33" i="1"/>
  <c r="AI31" i="1"/>
  <c r="AH101" i="1" l="1"/>
  <c r="AI101" i="1"/>
  <c r="G11" i="5" s="1"/>
  <c r="AI41" i="1"/>
  <c r="AI40" i="1"/>
  <c r="AI36" i="1"/>
  <c r="AI37" i="1"/>
  <c r="W8" i="1" l="1"/>
  <c r="W11" i="1" s="1"/>
  <c r="U9" i="1"/>
  <c r="W14" i="1" l="1"/>
  <c r="W15" i="1" s="1"/>
  <c r="W68" i="2"/>
  <c r="W92" i="1"/>
  <c r="W96" i="1" s="1"/>
  <c r="W102" i="1" s="1"/>
  <c r="W107" i="1" s="1"/>
  <c r="W12" i="1"/>
  <c r="W34" i="6" s="1"/>
  <c r="U14" i="1"/>
  <c r="U19" i="1"/>
  <c r="U20" i="1" s="1"/>
  <c r="U68" i="2"/>
  <c r="U92" i="1"/>
  <c r="U96" i="1" s="1"/>
  <c r="U102" i="1" s="1"/>
  <c r="U107" i="1" s="1"/>
  <c r="U12" i="1"/>
  <c r="W9" i="1"/>
  <c r="W19" i="1"/>
  <c r="W20" i="1" s="1"/>
  <c r="W35" i="6" s="1"/>
  <c r="C7" i="5"/>
  <c r="W23" i="1" l="1"/>
  <c r="W24" i="1" s="1"/>
  <c r="W36" i="6" s="1"/>
  <c r="U23" i="1"/>
  <c r="U28" i="1" s="1"/>
  <c r="U15" i="1"/>
  <c r="X69" i="2"/>
  <c r="U69" i="2"/>
  <c r="U125" i="1"/>
  <c r="U128" i="1" s="1"/>
  <c r="V127" i="1" s="1"/>
  <c r="V128" i="1" s="1"/>
  <c r="V61" i="1" s="1"/>
  <c r="W69" i="2"/>
  <c r="Z69" i="2"/>
  <c r="W28" i="1" l="1"/>
  <c r="W33" i="1" s="1"/>
  <c r="W26" i="1"/>
  <c r="C30" i="5" s="1"/>
  <c r="C9" i="5"/>
  <c r="U24" i="1"/>
  <c r="U26" i="1"/>
  <c r="F14" i="5"/>
  <c r="E14" i="5"/>
  <c r="D14" i="5"/>
  <c r="C14" i="5"/>
  <c r="G14" i="5"/>
  <c r="V21" i="6"/>
  <c r="V62" i="1"/>
  <c r="V63" i="1" s="1"/>
  <c r="V20" i="6"/>
  <c r="W29" i="1" l="1"/>
  <c r="W37" i="6" s="1"/>
  <c r="W31" i="1"/>
  <c r="W40" i="1" s="1"/>
  <c r="W36" i="1"/>
  <c r="W37" i="1"/>
  <c r="V18" i="6"/>
  <c r="V11" i="6"/>
  <c r="V19" i="6"/>
  <c r="U29" i="1"/>
  <c r="U31" i="1"/>
  <c r="U33" i="1"/>
  <c r="W41" i="1" l="1"/>
  <c r="V45" i="4"/>
  <c r="V49" i="4" s="1"/>
  <c r="V68" i="1" s="1"/>
  <c r="V70" i="1" s="1"/>
  <c r="V72" i="1" s="1"/>
  <c r="W46" i="4"/>
  <c r="W49" i="4" s="1"/>
  <c r="X44" i="1"/>
  <c r="X45" i="1"/>
  <c r="V12" i="6"/>
  <c r="V38" i="6"/>
  <c r="V27" i="6"/>
  <c r="V39" i="6"/>
  <c r="V28" i="6" l="1"/>
  <c r="V87" i="1"/>
  <c r="V89" i="1" s="1"/>
  <c r="U37" i="1"/>
  <c r="U41" i="1"/>
  <c r="X36" i="1"/>
  <c r="X40" i="1"/>
  <c r="AA44" i="1"/>
  <c r="U40" i="1"/>
  <c r="X37" i="1"/>
  <c r="AA45" i="1"/>
  <c r="X41" i="1"/>
  <c r="X45" i="4"/>
  <c r="X49" i="4" s="1"/>
  <c r="Z45" i="4"/>
  <c r="Z49" i="4" s="1"/>
  <c r="W68" i="1"/>
  <c r="W70" i="1" s="1"/>
  <c r="W72" i="1" s="1"/>
  <c r="W87" i="1" s="1"/>
  <c r="V13" i="6"/>
  <c r="V26" i="6"/>
  <c r="V40" i="6"/>
  <c r="V25" i="6"/>
  <c r="U36" i="1"/>
  <c r="W25" i="6" l="1"/>
  <c r="W26" i="6"/>
  <c r="W13" i="6"/>
  <c r="W40" i="6"/>
  <c r="Z68" i="1"/>
  <c r="Z70" i="1" s="1"/>
  <c r="Z72" i="1" s="1"/>
  <c r="Z87" i="1" s="1"/>
  <c r="AA45" i="4"/>
  <c r="AA49" i="4" s="1"/>
  <c r="AC45" i="4"/>
  <c r="AC49" i="4" s="1"/>
  <c r="Y45" i="4"/>
  <c r="Y49" i="4" s="1"/>
  <c r="Y68" i="1" s="1"/>
  <c r="Y70" i="1" s="1"/>
  <c r="Y72" i="1" s="1"/>
  <c r="Y87" i="1" s="1"/>
  <c r="X68" i="1"/>
  <c r="X70" i="1" s="1"/>
  <c r="X72" i="1" s="1"/>
  <c r="X87" i="1" s="1"/>
  <c r="AA36" i="1"/>
  <c r="AA40" i="1"/>
  <c r="AD44" i="1"/>
  <c r="AD45" i="1"/>
  <c r="AA37" i="1"/>
  <c r="AA41" i="1"/>
  <c r="AF45" i="4" l="1"/>
  <c r="AF49" i="4" s="1"/>
  <c r="AD45" i="4"/>
  <c r="AD49" i="4" s="1"/>
  <c r="AC68" i="1"/>
  <c r="AC70" i="1" s="1"/>
  <c r="AC72" i="1" s="1"/>
  <c r="AC87" i="1" s="1"/>
  <c r="Y26" i="6"/>
  <c r="Y13" i="6"/>
  <c r="Y25" i="6"/>
  <c r="Y40" i="6"/>
  <c r="AG45" i="1"/>
  <c r="AD41" i="1"/>
  <c r="AD37" i="1"/>
  <c r="Z25" i="6"/>
  <c r="Z26" i="6"/>
  <c r="Z13" i="6"/>
  <c r="Z40" i="6"/>
  <c r="AD40" i="1"/>
  <c r="AD36" i="1"/>
  <c r="AG44" i="1"/>
  <c r="AB45" i="4"/>
  <c r="AB49" i="4" s="1"/>
  <c r="AB68" i="1" s="1"/>
  <c r="AB70" i="1" s="1"/>
  <c r="AB72" i="1" s="1"/>
  <c r="AB87" i="1" s="1"/>
  <c r="AA68" i="1"/>
  <c r="AA70" i="1" s="1"/>
  <c r="AA72" i="1" s="1"/>
  <c r="AA87" i="1" s="1"/>
  <c r="X13" i="6"/>
  <c r="X40" i="6"/>
  <c r="X25" i="6"/>
  <c r="X26" i="6"/>
  <c r="AG37" i="1" l="1"/>
  <c r="AG41" i="1"/>
  <c r="AF68" i="1"/>
  <c r="AF70" i="1" s="1"/>
  <c r="AF72" i="1" s="1"/>
  <c r="AF87" i="1" s="1"/>
  <c r="AG45" i="4"/>
  <c r="AG49" i="4" s="1"/>
  <c r="AI45" i="4"/>
  <c r="AI49" i="4" s="1"/>
  <c r="AI68" i="1" s="1"/>
  <c r="AI70" i="1" s="1"/>
  <c r="AI72" i="1" s="1"/>
  <c r="AI87" i="1" s="1"/>
  <c r="AC40" i="6"/>
  <c r="AC13" i="6"/>
  <c r="AC25" i="6"/>
  <c r="AC26" i="6"/>
  <c r="AA40" i="6"/>
  <c r="AA26" i="6"/>
  <c r="AA25" i="6"/>
  <c r="AA13" i="6"/>
  <c r="AB13" i="6"/>
  <c r="AB26" i="6"/>
  <c r="AB25" i="6"/>
  <c r="AB40" i="6"/>
  <c r="AG36" i="1"/>
  <c r="AG40" i="1"/>
  <c r="AE45" i="4"/>
  <c r="AE49" i="4" s="1"/>
  <c r="AE68" i="1" s="1"/>
  <c r="AE70" i="1" s="1"/>
  <c r="AE72" i="1" s="1"/>
  <c r="AE87" i="1" s="1"/>
  <c r="AD68" i="1"/>
  <c r="AD70" i="1" s="1"/>
  <c r="AD72" i="1" s="1"/>
  <c r="AD87" i="1" s="1"/>
  <c r="AI40" i="6" l="1"/>
  <c r="AI25" i="6"/>
  <c r="AI26" i="6"/>
  <c r="AI13" i="6"/>
  <c r="AD25" i="6"/>
  <c r="AD13" i="6"/>
  <c r="AD26" i="6"/>
  <c r="AD40" i="6"/>
  <c r="AH45" i="4"/>
  <c r="AH49" i="4" s="1"/>
  <c r="AH68" i="1" s="1"/>
  <c r="AH70" i="1" s="1"/>
  <c r="AH72" i="1" s="1"/>
  <c r="AH87" i="1" s="1"/>
  <c r="AG68" i="1"/>
  <c r="AG70" i="1" s="1"/>
  <c r="AG72" i="1" s="1"/>
  <c r="AG87" i="1" s="1"/>
  <c r="AE26" i="6"/>
  <c r="AE25" i="6"/>
  <c r="AE40" i="6"/>
  <c r="AE13" i="6"/>
  <c r="AF25" i="6"/>
  <c r="AF40" i="6"/>
  <c r="AF26" i="6"/>
  <c r="AF13" i="6"/>
  <c r="AH13" i="6" l="1"/>
  <c r="AH26" i="6"/>
  <c r="AH25" i="6"/>
  <c r="AH40" i="6"/>
  <c r="AG25" i="6"/>
  <c r="AG40" i="6"/>
  <c r="AG26" i="6"/>
  <c r="AG13" i="6"/>
  <c r="C12" i="5"/>
  <c r="C13" i="5" s="1"/>
  <c r="C15" i="5" s="1"/>
  <c r="W114" i="1"/>
  <c r="W125" i="1" s="1"/>
  <c r="W128" i="1" s="1"/>
  <c r="W6" i="4"/>
  <c r="W9" i="4"/>
  <c r="Z4" i="4" s="1"/>
  <c r="Z9" i="4" s="1"/>
  <c r="W15" i="4" l="1"/>
  <c r="W51" i="1" s="1"/>
  <c r="W55" i="1" s="1"/>
  <c r="X4" i="4"/>
  <c r="X11" i="4" s="1"/>
  <c r="X127" i="1"/>
  <c r="Z127" i="1" s="1"/>
  <c r="W61" i="1"/>
  <c r="X14" i="4"/>
  <c r="Y10" i="4" s="1"/>
  <c r="X16" i="1"/>
  <c r="X93" i="1" s="1"/>
  <c r="X96" i="1" s="1"/>
  <c r="X102" i="1" s="1"/>
  <c r="X107" i="1" s="1"/>
  <c r="X125" i="1" s="1"/>
  <c r="AC4" i="4"/>
  <c r="AC9" i="4" s="1"/>
  <c r="X9" i="4"/>
  <c r="W10" i="6"/>
  <c r="AA4" i="4"/>
  <c r="X128" i="1" l="1"/>
  <c r="X61" i="1" s="1"/>
  <c r="AA9" i="4"/>
  <c r="AA11" i="4"/>
  <c r="X15" i="4"/>
  <c r="X51" i="1" s="1"/>
  <c r="Y4" i="4"/>
  <c r="W20" i="6"/>
  <c r="W62" i="1"/>
  <c r="W21" i="6"/>
  <c r="AD4" i="4"/>
  <c r="AF4" i="4"/>
  <c r="AF9" i="4" s="1"/>
  <c r="Y127" i="1" l="1"/>
  <c r="Y11" i="4"/>
  <c r="Y9" i="4"/>
  <c r="X10" i="6"/>
  <c r="X55" i="1"/>
  <c r="AI4" i="4"/>
  <c r="AI9" i="4" s="1"/>
  <c r="AG4" i="4"/>
  <c r="AA16" i="1"/>
  <c r="AA93" i="1" s="1"/>
  <c r="AA96" i="1" s="1"/>
  <c r="AA102" i="1" s="1"/>
  <c r="AA107" i="1" s="1"/>
  <c r="AA125" i="1" s="1"/>
  <c r="AD9" i="4"/>
  <c r="AD11" i="4"/>
  <c r="AB4" i="4"/>
  <c r="W19" i="6"/>
  <c r="W11" i="6"/>
  <c r="W18" i="6"/>
  <c r="W63" i="1"/>
  <c r="X20" i="6"/>
  <c r="X62" i="1"/>
  <c r="X21" i="6"/>
  <c r="AG9" i="4" l="1"/>
  <c r="AG11" i="4"/>
  <c r="X63" i="1"/>
  <c r="AD16" i="1"/>
  <c r="AD93" i="1" s="1"/>
  <c r="AD96" i="1" s="1"/>
  <c r="AD102" i="1" s="1"/>
  <c r="AD107" i="1" s="1"/>
  <c r="AD125" i="1" s="1"/>
  <c r="X11" i="6"/>
  <c r="X18" i="6"/>
  <c r="X19" i="6"/>
  <c r="W38" i="6"/>
  <c r="W28" i="6"/>
  <c r="W39" i="6"/>
  <c r="W89" i="1"/>
  <c r="W12" i="6"/>
  <c r="W27" i="6"/>
  <c r="AE4" i="4"/>
  <c r="AB11" i="4"/>
  <c r="AB9" i="4"/>
  <c r="Y16" i="1"/>
  <c r="Y93" i="1" s="1"/>
  <c r="Y96" i="1" s="1"/>
  <c r="Y102" i="1" s="1"/>
  <c r="Y107" i="1" s="1"/>
  <c r="Y125" i="1" s="1"/>
  <c r="Y128" i="1" s="1"/>
  <c r="Y61" i="1" s="1"/>
  <c r="Z11" i="4"/>
  <c r="Y14" i="4"/>
  <c r="Y15" i="4" s="1"/>
  <c r="Y51" i="1" s="1"/>
  <c r="Y55" i="1" l="1"/>
  <c r="Y10" i="6"/>
  <c r="Z14" i="4"/>
  <c r="Z16" i="1"/>
  <c r="Z93" i="1" s="1"/>
  <c r="Z12" i="4"/>
  <c r="X28" i="6"/>
  <c r="X12" i="6"/>
  <c r="X27" i="6"/>
  <c r="X39" i="6"/>
  <c r="X38" i="6"/>
  <c r="X89" i="1"/>
  <c r="Y62" i="1"/>
  <c r="Y21" i="6"/>
  <c r="Y20" i="6"/>
  <c r="AG16" i="1"/>
  <c r="AG93" i="1" s="1"/>
  <c r="AG96" i="1" s="1"/>
  <c r="AG102" i="1" s="1"/>
  <c r="AG107" i="1" s="1"/>
  <c r="AG125" i="1" s="1"/>
  <c r="AE9" i="4"/>
  <c r="AE11" i="4"/>
  <c r="AB16" i="1"/>
  <c r="AB93" i="1" s="1"/>
  <c r="AB96" i="1" s="1"/>
  <c r="AB102" i="1" s="1"/>
  <c r="AB107" i="1" s="1"/>
  <c r="AB125" i="1" s="1"/>
  <c r="AC11" i="4"/>
  <c r="AH4" i="4"/>
  <c r="AH11" i="4" l="1"/>
  <c r="AH9" i="4"/>
  <c r="Y18" i="6"/>
  <c r="Y11" i="6"/>
  <c r="Y19" i="6"/>
  <c r="Z96" i="1"/>
  <c r="Z102" i="1" s="1"/>
  <c r="Z107" i="1" s="1"/>
  <c r="Z125" i="1" s="1"/>
  <c r="Z128" i="1" s="1"/>
  <c r="D10" i="5"/>
  <c r="AC16" i="1"/>
  <c r="AC93" i="1" s="1"/>
  <c r="AC12" i="4"/>
  <c r="AA10" i="4"/>
  <c r="AA14" i="4" s="1"/>
  <c r="AC10" i="4"/>
  <c r="AC14" i="4" s="1"/>
  <c r="Z15" i="4"/>
  <c r="Z51" i="1" s="1"/>
  <c r="AE16" i="1"/>
  <c r="AE93" i="1" s="1"/>
  <c r="AE96" i="1" s="1"/>
  <c r="AE102" i="1" s="1"/>
  <c r="AE107" i="1" s="1"/>
  <c r="AE125" i="1" s="1"/>
  <c r="AF11" i="4"/>
  <c r="Y63" i="1"/>
  <c r="D13" i="5" l="1"/>
  <c r="D15" i="5" s="1"/>
  <c r="AF12" i="4"/>
  <c r="AF16" i="1"/>
  <c r="AF93" i="1" s="1"/>
  <c r="AA127" i="1"/>
  <c r="Z61" i="1"/>
  <c r="Z10" i="6"/>
  <c r="Z55" i="1"/>
  <c r="AD10" i="4"/>
  <c r="AD14" i="4" s="1"/>
  <c r="AF10" i="4"/>
  <c r="AF14" i="4" s="1"/>
  <c r="AC15" i="4"/>
  <c r="AC51" i="1" s="1"/>
  <c r="AB10" i="4"/>
  <c r="AB14" i="4" s="1"/>
  <c r="AB15" i="4" s="1"/>
  <c r="AB51" i="1" s="1"/>
  <c r="AA15" i="4"/>
  <c r="AA51" i="1" s="1"/>
  <c r="Y28" i="6"/>
  <c r="Y27" i="6"/>
  <c r="Y39" i="6"/>
  <c r="Y38" i="6"/>
  <c r="Y12" i="6"/>
  <c r="Y89" i="1"/>
  <c r="AC96" i="1"/>
  <c r="AC102" i="1" s="1"/>
  <c r="AC107" i="1" s="1"/>
  <c r="AC125" i="1" s="1"/>
  <c r="E10" i="5"/>
  <c r="E13" i="5" s="1"/>
  <c r="E15" i="5" s="1"/>
  <c r="AH16" i="1"/>
  <c r="AH93" i="1" s="1"/>
  <c r="AH96" i="1" s="1"/>
  <c r="AH102" i="1" s="1"/>
  <c r="AH107" i="1" s="1"/>
  <c r="AH125" i="1" s="1"/>
  <c r="AI11" i="4"/>
  <c r="AE10" i="4" l="1"/>
  <c r="AE14" i="4" s="1"/>
  <c r="AE15" i="4" s="1"/>
  <c r="AE51" i="1" s="1"/>
  <c r="AD15" i="4"/>
  <c r="AD51" i="1" s="1"/>
  <c r="Z21" i="6"/>
  <c r="Z62" i="1"/>
  <c r="Z20" i="6"/>
  <c r="AB10" i="6"/>
  <c r="AB55" i="1"/>
  <c r="AC127" i="1"/>
  <c r="AC128" i="1" s="1"/>
  <c r="AA128" i="1"/>
  <c r="AI16" i="1"/>
  <c r="AI93" i="1" s="1"/>
  <c r="AI12" i="4"/>
  <c r="F10" i="5"/>
  <c r="F13" i="5" s="1"/>
  <c r="F15" i="5" s="1"/>
  <c r="AF96" i="1"/>
  <c r="AF102" i="1" s="1"/>
  <c r="AF107" i="1" s="1"/>
  <c r="AF125" i="1" s="1"/>
  <c r="AA10" i="6"/>
  <c r="AA55" i="1"/>
  <c r="AC10" i="6"/>
  <c r="AC55" i="1"/>
  <c r="AI10" i="4"/>
  <c r="AI14" i="4" s="1"/>
  <c r="AI15" i="4" s="1"/>
  <c r="AI51" i="1" s="1"/>
  <c r="AG10" i="4"/>
  <c r="AG14" i="4" s="1"/>
  <c r="AF15" i="4"/>
  <c r="AF51" i="1" s="1"/>
  <c r="AC61" i="1" l="1"/>
  <c r="AD127" i="1"/>
  <c r="Z11" i="6"/>
  <c r="Z18" i="6"/>
  <c r="Z19" i="6"/>
  <c r="AH10" i="4"/>
  <c r="AH14" i="4" s="1"/>
  <c r="AH15" i="4" s="1"/>
  <c r="AH51" i="1" s="1"/>
  <c r="AG15" i="4"/>
  <c r="AG51" i="1" s="1"/>
  <c r="AI55" i="1"/>
  <c r="AI10" i="6"/>
  <c r="Z63" i="1"/>
  <c r="AF10" i="6"/>
  <c r="AF55" i="1"/>
  <c r="AB127" i="1"/>
  <c r="AB128" i="1" s="1"/>
  <c r="AB61" i="1" s="1"/>
  <c r="AA61" i="1"/>
  <c r="AD55" i="1"/>
  <c r="AD10" i="6"/>
  <c r="AI96" i="1"/>
  <c r="AI102" i="1" s="1"/>
  <c r="AI107" i="1" s="1"/>
  <c r="AI125" i="1" s="1"/>
  <c r="G10" i="5"/>
  <c r="G13" i="5" s="1"/>
  <c r="AE10" i="6"/>
  <c r="AE55" i="1"/>
  <c r="AG10" i="6" l="1"/>
  <c r="AG55" i="1"/>
  <c r="AA62" i="1"/>
  <c r="AA20" i="6"/>
  <c r="AA21" i="6"/>
  <c r="AB21" i="6"/>
  <c r="AB62" i="1"/>
  <c r="AB20" i="6"/>
  <c r="Z12" i="6"/>
  <c r="Z27" i="6"/>
  <c r="Z89" i="1"/>
  <c r="Z39" i="6"/>
  <c r="Z28" i="6"/>
  <c r="Z38" i="6"/>
  <c r="AF127" i="1"/>
  <c r="AF128" i="1" s="1"/>
  <c r="AD128" i="1"/>
  <c r="AH10" i="6"/>
  <c r="AH55" i="1"/>
  <c r="G16" i="5"/>
  <c r="G15" i="5"/>
  <c r="AC62" i="1"/>
  <c r="AC20" i="6"/>
  <c r="AC21" i="6"/>
  <c r="AB18" i="6" l="1"/>
  <c r="AB19" i="6"/>
  <c r="AB11" i="6"/>
  <c r="AB63" i="1"/>
  <c r="C17" i="5"/>
  <c r="AA18" i="6"/>
  <c r="AA11" i="6"/>
  <c r="AA19" i="6"/>
  <c r="AA63" i="1"/>
  <c r="AC18" i="6"/>
  <c r="AC11" i="6"/>
  <c r="AC19" i="6"/>
  <c r="AC63" i="1"/>
  <c r="AD61" i="1"/>
  <c r="AE127" i="1"/>
  <c r="AE128" i="1" s="1"/>
  <c r="AE61" i="1" s="1"/>
  <c r="AF61" i="1"/>
  <c r="AG127" i="1"/>
  <c r="AE20" i="6" l="1"/>
  <c r="AE21" i="6"/>
  <c r="AE62" i="1"/>
  <c r="C20" i="5"/>
  <c r="C22" i="5" s="1"/>
  <c r="J58" i="6"/>
  <c r="G60" i="6"/>
  <c r="R58" i="6"/>
  <c r="P58" i="6"/>
  <c r="P60" i="6"/>
  <c r="L60" i="6"/>
  <c r="M60" i="6"/>
  <c r="U58" i="6"/>
  <c r="L58" i="6"/>
  <c r="K58" i="6"/>
  <c r="F58" i="6"/>
  <c r="M58" i="6"/>
  <c r="N58" i="6"/>
  <c r="C60" i="6"/>
  <c r="F60" i="6"/>
  <c r="I58" i="6"/>
  <c r="U60" i="6"/>
  <c r="I60" i="6"/>
  <c r="D58" i="6"/>
  <c r="D60" i="6"/>
  <c r="E58" i="6"/>
  <c r="H58" i="6"/>
  <c r="R60" i="6"/>
  <c r="Q60" i="6"/>
  <c r="E60" i="6"/>
  <c r="K60" i="6"/>
  <c r="O60" i="6"/>
  <c r="C58" i="6"/>
  <c r="O58" i="6"/>
  <c r="J60" i="6"/>
  <c r="G58" i="6"/>
  <c r="N60" i="6"/>
  <c r="Q58" i="6"/>
  <c r="H60" i="6"/>
  <c r="AD21" i="6"/>
  <c r="AD20" i="6"/>
  <c r="AD62" i="1"/>
  <c r="AB89" i="1"/>
  <c r="AB38" i="6"/>
  <c r="AB27" i="6"/>
  <c r="AB12" i="6"/>
  <c r="AB39" i="6"/>
  <c r="AB28" i="6"/>
  <c r="AC89" i="1"/>
  <c r="AC38" i="6"/>
  <c r="AC39" i="6"/>
  <c r="AC12" i="6"/>
  <c r="AC27" i="6"/>
  <c r="AC28" i="6"/>
  <c r="AI127" i="1"/>
  <c r="AI128" i="1" s="1"/>
  <c r="AI61" i="1" s="1"/>
  <c r="AG128" i="1"/>
  <c r="AA27" i="6"/>
  <c r="AA89" i="1"/>
  <c r="AA39" i="6"/>
  <c r="AA38" i="6"/>
  <c r="AA12" i="6"/>
  <c r="AA28" i="6"/>
  <c r="AF20" i="6"/>
  <c r="AF62" i="1"/>
  <c r="AF21" i="6"/>
  <c r="AF19" i="6" l="1"/>
  <c r="AF11" i="6"/>
  <c r="AF18" i="6"/>
  <c r="AF63" i="1"/>
  <c r="AH127" i="1"/>
  <c r="AH128" i="1" s="1"/>
  <c r="AH61" i="1" s="1"/>
  <c r="AG61" i="1"/>
  <c r="AI62" i="1"/>
  <c r="AI21" i="6"/>
  <c r="AI20" i="6"/>
  <c r="F27" i="5"/>
  <c r="C24" i="5"/>
  <c r="AE19" i="6"/>
  <c r="AE18" i="6"/>
  <c r="AE11" i="6"/>
  <c r="AE63" i="1"/>
  <c r="AD11" i="6"/>
  <c r="AD19" i="6"/>
  <c r="AD18" i="6"/>
  <c r="AD63" i="1"/>
  <c r="AG21" i="6" l="1"/>
  <c r="AG62" i="1"/>
  <c r="AG20" i="6"/>
  <c r="AI11" i="6"/>
  <c r="AI18" i="6"/>
  <c r="AI19" i="6"/>
  <c r="AI63" i="1"/>
  <c r="AH62" i="1"/>
  <c r="AH20" i="6"/>
  <c r="AH21" i="6"/>
  <c r="AD12" i="6"/>
  <c r="AD38" i="6"/>
  <c r="AD89" i="1"/>
  <c r="AD27" i="6"/>
  <c r="AD28" i="6"/>
  <c r="AD39" i="6"/>
  <c r="AF27" i="6"/>
  <c r="AF39" i="6"/>
  <c r="AF28" i="6"/>
  <c r="AF12" i="6"/>
  <c r="AF38" i="6"/>
  <c r="AF89" i="1"/>
  <c r="AE89" i="1"/>
  <c r="AE38" i="6"/>
  <c r="AE28" i="6"/>
  <c r="AE39" i="6"/>
  <c r="AE27" i="6"/>
  <c r="AE12" i="6"/>
  <c r="AI12" i="6" l="1"/>
  <c r="AI39" i="6"/>
  <c r="AI38" i="6"/>
  <c r="AI89" i="1"/>
  <c r="AI28" i="6"/>
  <c r="AI27" i="6"/>
  <c r="AG18" i="6"/>
  <c r="AG19" i="6"/>
  <c r="AG11" i="6"/>
  <c r="AG63" i="1"/>
  <c r="AH18" i="6"/>
  <c r="AH19" i="6"/>
  <c r="AH11" i="6"/>
  <c r="AH63" i="1"/>
  <c r="AH89" i="1" l="1"/>
  <c r="AH28" i="6"/>
  <c r="AH12" i="6"/>
  <c r="AH39" i="6"/>
  <c r="AH38" i="6"/>
  <c r="AH27" i="6"/>
  <c r="AG89" i="1"/>
  <c r="AG38" i="6"/>
  <c r="AG28" i="6"/>
  <c r="AG39" i="6"/>
  <c r="AG12" i="6"/>
  <c r="AG2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W7" authorId="0" shapeId="0" xr:uid="{383E0401-6CD4-4F6C-8F09-3748B64E750A}">
      <text>
        <r>
          <rPr>
            <sz val="9"/>
            <color indexed="81"/>
            <rFont val="Tahoma"/>
            <family val="2"/>
          </rPr>
          <t>For this target, the company will have to perform exceptionally well in H2, which is unlikley</t>
        </r>
      </text>
    </comment>
    <comment ref="R63" authorId="0" shapeId="0" xr:uid="{D7259691-A96E-4CB1-B38F-3A1ABD59C2CE}">
      <text>
        <r>
          <rPr>
            <sz val="9"/>
            <color indexed="81"/>
            <rFont val="Tahoma"/>
            <family val="2"/>
          </rPr>
          <t xml:space="preserve">Due to trends in renminbi, how?
</t>
        </r>
      </text>
    </comment>
    <comment ref="R66" authorId="0" shapeId="0" xr:uid="{AD5F8672-DFBB-4BD1-A245-B110FAD96A65}">
      <text>
        <r>
          <rPr>
            <sz val="9"/>
            <color indexed="81"/>
            <rFont val="Tahoma"/>
            <family val="2"/>
          </rPr>
          <t>Fall in revenue due to broader macroeconomic challenges, the company has taken steps to mitigate the impact by adjusting its operational policies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R8" authorId="0" shapeId="0" xr:uid="{852F7B5C-296C-429A-BB54-8376CCDEDC4B}">
      <text>
        <r>
          <rPr>
            <sz val="9"/>
            <color indexed="81"/>
            <rFont val="Tahoma"/>
            <family val="2"/>
          </rPr>
          <t xml:space="preserve">Sales and marketing expenses -21.8% organically - which is still above pre-covid levels. 
Distribution cost decreased due to restructuring efforts in the US and Europe
Admin costs were flat due to optimisation but have increased in 5 years </t>
        </r>
      </text>
    </comment>
    <comment ref="R14" authorId="0" shapeId="0" xr:uid="{5B21AA2C-680E-484E-86E1-071A0B5366CD}">
      <text>
        <r>
          <rPr>
            <sz val="9"/>
            <color indexed="81"/>
            <rFont val="Tahoma"/>
            <family val="2"/>
          </rPr>
          <t xml:space="preserve">Resilient operating strategy
</t>
        </r>
      </text>
    </comment>
    <comment ref="R26" authorId="0" shapeId="0" xr:uid="{BEB76BB1-F4F9-488D-9BA3-D0E9E4B40409}">
      <text>
        <r>
          <rPr>
            <sz val="9"/>
            <color indexed="81"/>
            <rFont val="Tahoma"/>
            <family val="2"/>
          </rPr>
          <t xml:space="preserve">Check the normative tax if or not French government added a nw tax structure because Profit before tax from France accounts for more than 50% of the group’s total profit before tax.
 In that case, for this year, if it is voted, there will also be a positive, non-cash 
deferred tax asset impact of around minus five points, meaning €7.8 million positive in terms 
of profit and loss, non-cash, which will determine a partial group tax rate of around 26% at the 
end of the year.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R25" authorId="0" shapeId="0" xr:uid="{695FB942-8CF4-4373-BDA3-E315EAC841C9}">
      <text>
        <r>
          <rPr>
            <sz val="9"/>
            <color indexed="81"/>
            <rFont val="Tahoma"/>
            <family val="2"/>
          </rPr>
          <t>Adjustment</t>
        </r>
      </text>
    </comment>
    <comment ref="U25" authorId="0" shapeId="0" xr:uid="{EA9D7809-AC45-48CE-A916-EF5A3440BF4C}">
      <text>
        <r>
          <rPr>
            <sz val="9"/>
            <color indexed="81"/>
            <rFont val="Tahoma"/>
            <family val="2"/>
          </rPr>
          <t>Adjustment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AK10" authorId="0" shapeId="0" xr:uid="{5DEF2B0D-F9FB-43B2-82C1-2D8E299C132F}">
      <text>
        <r>
          <rPr>
            <sz val="9"/>
            <color indexed="81"/>
            <rFont val="Tahoma"/>
            <family val="2"/>
          </rPr>
          <t xml:space="preserve">A Fixed Assets Turnover of 2.21x means Rémy Cointreau generates €2.21 in sales for every €1 of fixed assets annually. This is relatively efficient for a company in the premium spirits industry, where large investments in ageing, distilleries, and heritage properties are common.
</t>
        </r>
      </text>
    </comment>
    <comment ref="AK11" authorId="0" shapeId="0" xr:uid="{3494FCAF-7EAE-4B4D-A5E5-E2FFA2B3F53C}">
      <text>
        <r>
          <rPr>
            <sz val="9"/>
            <color indexed="81"/>
            <rFont val="Tahoma"/>
            <family val="2"/>
          </rPr>
          <t>A working capital turnover of 0.73x means Rémy Cointreau generates €0.73 in sales for every €1 of net working capital. This is low, but typical for the spirits industry, which maintains large inventories of ageing stock (especially Cognac) — leading to high working capital requirements.</t>
        </r>
      </text>
    </comment>
    <comment ref="AK12" authorId="0" shapeId="0" xr:uid="{B4F3DFE0-34D5-4AA5-95D3-126B8F5ACBDF}">
      <text>
        <r>
          <rPr>
            <sz val="9"/>
            <color indexed="81"/>
            <rFont val="Tahoma"/>
            <family val="2"/>
          </rPr>
          <t>low, but typical for asset-heavy luxury spirits companies, where inventories, ageing stock, and brand assets dominate the balance sheet.</t>
        </r>
      </text>
    </comment>
    <comment ref="AK18" authorId="0" shapeId="0" xr:uid="{1E6117F2-6595-4921-9E71-97339428B24E}">
      <text>
        <r>
          <rPr>
            <sz val="9"/>
            <color indexed="81"/>
            <rFont val="Tahoma"/>
            <family val="2"/>
          </rPr>
          <t xml:space="preserve">Healthy
</t>
        </r>
      </text>
    </comment>
    <comment ref="AK19" authorId="0" shapeId="0" xr:uid="{A26E4FE6-E68E-4A52-AFBF-5BACA12790E9}">
      <text>
        <r>
          <rPr>
            <sz val="9"/>
            <color indexed="81"/>
            <rFont val="Tahoma"/>
            <family val="2"/>
          </rPr>
          <t>Low</t>
        </r>
      </text>
    </comment>
    <comment ref="AK20" authorId="0" shapeId="0" xr:uid="{B63B395D-518C-4792-9A3E-46BA5706BBD7}">
      <text>
        <r>
          <rPr>
            <sz val="9"/>
            <color indexed="81"/>
            <rFont val="Tahoma"/>
            <family val="2"/>
          </rPr>
          <t>Very Low</t>
        </r>
      </text>
    </comment>
    <comment ref="AK21" authorId="0" shapeId="0" xr:uid="{507DB9B7-A405-47F2-A40B-8820175B9E53}">
      <text>
        <r>
          <rPr>
            <sz val="9"/>
            <color indexed="81"/>
            <rFont val="Tahoma"/>
            <family val="2"/>
          </rPr>
          <t>Strong buffer</t>
        </r>
      </text>
    </comment>
    <comment ref="AK25" authorId="0" shapeId="0" xr:uid="{0A986CD0-9437-4489-9E5D-3F884352529D}">
      <text>
        <r>
          <rPr>
            <sz val="9"/>
            <color indexed="81"/>
            <rFont val="Tahoma"/>
            <family val="2"/>
          </rPr>
          <t>Rémy Cointreau has a conservative capital structure, relying more on equity than debt to finance operations — which is typical for a premium brand prioritizing long-term stability.</t>
        </r>
      </text>
    </comment>
    <comment ref="AK26" authorId="0" shapeId="0" xr:uid="{6EBEC23E-EEFD-4EE1-84ED-C24EEEF06706}">
      <text>
        <r>
          <rPr>
            <sz val="9"/>
            <color indexed="81"/>
            <rFont val="Tahoma"/>
            <family val="2"/>
          </rPr>
          <t>A Debt-to-Capital ratio of 26.7% reflects a balanced but equity-heavy capital structure, indicating that Rémy Cointreau maintains prudent financial leverage — suitable for a business with long-term inventory cycles and high brand value.</t>
        </r>
      </text>
    </comment>
    <comment ref="AK27" authorId="0" shapeId="0" xr:uid="{E30F3ABB-BB83-499C-8AA1-76FB8F9D1D05}">
      <text>
        <r>
          <rPr>
            <sz val="9"/>
            <color indexed="81"/>
            <rFont val="Tahoma"/>
            <family val="2"/>
          </rPr>
          <t>A Debt-to-Assets ratio of 21% means that only one-fifth of Rémy Cointreau’s assets are financed through debt. This conservative leverage level reinforces its financial stability and low-risk capital structure, especially important given its large base of maturing inventory and brand equity.</t>
        </r>
      </text>
    </comment>
    <comment ref="AK28" authorId="0" shapeId="0" xr:uid="{72076651-4A13-49C4-BB44-D357FC9000F2}">
      <text>
        <r>
          <rPr>
            <sz val="9"/>
            <color indexed="81"/>
            <rFont val="Tahoma"/>
            <family val="2"/>
          </rPr>
          <t>This is a moderate level of leverage, indicating a sound balance between equity and external financing. It's consistent with the company’s strategy of maintaining long-term brand value and low financial risk.</t>
        </r>
      </text>
    </comment>
    <comment ref="AK29" authorId="0" shapeId="0" xr:uid="{2C25B541-2D53-427E-8F07-108EADF09BAC}">
      <text>
        <r>
          <rPr>
            <sz val="9"/>
            <color indexed="81"/>
            <rFont val="Tahoma"/>
            <family val="2"/>
          </rPr>
          <t>Rémy Cointreau has an interest coverage ratio of ~8.8x, meaning it earns nearly 9 times its interest obligations. This reflects strong solvency and ample earnings buffer to cover debt servicing—especially important in capital-intensive, cyclical industries like spirits.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5CBBCC85-16DD-4206-92F9-E0592DCB7927}">
      <text>
        <r>
          <rPr>
            <sz val="11"/>
            <color rgb="FF000000"/>
            <rFont val="Calibri"/>
            <family val="2"/>
          </rPr>
          <t>Treasury yield sourced from Bloomberg</t>
        </r>
      </text>
    </comment>
    <comment ref="C29" authorId="0" shapeId="0" xr:uid="{A87905F2-91DB-414B-BBAA-DAEECE79B79A}">
      <text>
        <r>
          <rPr>
            <sz val="11"/>
            <color rgb="FF000000"/>
            <rFont val="Calibri"/>
            <family val="2"/>
          </rPr>
          <t xml:space="preserve">Yahoo Finance
</t>
        </r>
      </text>
    </comment>
    <comment ref="C33" authorId="0" shapeId="0" xr:uid="{5FA80EDD-3D94-4E79-B9E5-C70DD733F219}">
      <text>
        <r>
          <rPr>
            <sz val="11"/>
            <color rgb="FF000000"/>
            <rFont val="Calibri"/>
            <family val="2"/>
          </rPr>
          <t>Assumed in line with revenue growth</t>
        </r>
      </text>
    </comment>
  </commentList>
</comments>
</file>

<file path=xl/sharedStrings.xml><?xml version="1.0" encoding="utf-8"?>
<sst xmlns="http://schemas.openxmlformats.org/spreadsheetml/2006/main" count="488" uniqueCount="355">
  <si>
    <t>FY20</t>
  </si>
  <si>
    <t>FY21</t>
  </si>
  <si>
    <t>FY22</t>
  </si>
  <si>
    <t>FY23</t>
  </si>
  <si>
    <t>Sales</t>
  </si>
  <si>
    <t>Cost of Sales</t>
  </si>
  <si>
    <t>Gross Profit</t>
  </si>
  <si>
    <t>Gross Margin (%)</t>
  </si>
  <si>
    <t>D&amp;A</t>
  </si>
  <si>
    <t>Other non-current income/expense</t>
  </si>
  <si>
    <t>EBIT</t>
  </si>
  <si>
    <t>Net borrowing cost</t>
  </si>
  <si>
    <t>EBIT Margin (%)</t>
  </si>
  <si>
    <t xml:space="preserve">PBT </t>
  </si>
  <si>
    <t>PBT Margin (%)</t>
  </si>
  <si>
    <t>Income Tax</t>
  </si>
  <si>
    <t>Profit of associates</t>
  </si>
  <si>
    <t>Net profit/loss</t>
  </si>
  <si>
    <t>Tax Rate (%)</t>
  </si>
  <si>
    <t>Non-controling interests</t>
  </si>
  <si>
    <t>EPS</t>
  </si>
  <si>
    <t>Basic</t>
  </si>
  <si>
    <t>Diluted</t>
  </si>
  <si>
    <t>No. of shares</t>
  </si>
  <si>
    <t>Net Profit Margin (%)</t>
  </si>
  <si>
    <t>In Euro millions</t>
  </si>
  <si>
    <t xml:space="preserve">Net profit/loss from discontinued </t>
  </si>
  <si>
    <t>Net Profit before discounted</t>
  </si>
  <si>
    <t>EPS - continuing operations</t>
  </si>
  <si>
    <t>H1'20</t>
  </si>
  <si>
    <t>H2'20</t>
  </si>
  <si>
    <t>H1'21</t>
  </si>
  <si>
    <t>H2'21</t>
  </si>
  <si>
    <t>H1'22</t>
  </si>
  <si>
    <t>H2'22</t>
  </si>
  <si>
    <t>H1'23</t>
  </si>
  <si>
    <t>H2'23</t>
  </si>
  <si>
    <t>H1'24</t>
  </si>
  <si>
    <t>H2'24</t>
  </si>
  <si>
    <t>FY24</t>
  </si>
  <si>
    <t>Net Profit attributable to parents</t>
  </si>
  <si>
    <t>Cognac</t>
  </si>
  <si>
    <t>Organic</t>
  </si>
  <si>
    <t>Fx</t>
  </si>
  <si>
    <t>Scope</t>
  </si>
  <si>
    <t>Organic growth (%)</t>
  </si>
  <si>
    <t>Fx growth (%)</t>
  </si>
  <si>
    <t>Scope growth (%)</t>
  </si>
  <si>
    <t>Total Sales</t>
  </si>
  <si>
    <t>Growth (%)</t>
  </si>
  <si>
    <t>Liquers &amp; Spirits</t>
  </si>
  <si>
    <t>Partner Brands</t>
  </si>
  <si>
    <t>Subtotal</t>
  </si>
  <si>
    <t>Total</t>
  </si>
  <si>
    <t>Total Sales - Cognac</t>
  </si>
  <si>
    <t>Total Sales - Liquers &amp; Spirits</t>
  </si>
  <si>
    <t>Total Sales - Subtotal</t>
  </si>
  <si>
    <t>Total Sales - Partner Brands</t>
  </si>
  <si>
    <t>Group Brands</t>
  </si>
  <si>
    <t>H1'25</t>
  </si>
  <si>
    <t>H2'25</t>
  </si>
  <si>
    <t>FY25</t>
  </si>
  <si>
    <t>H1'26</t>
  </si>
  <si>
    <t>H2'26</t>
  </si>
  <si>
    <t>FY26</t>
  </si>
  <si>
    <t>H1'27</t>
  </si>
  <si>
    <t>H2'27</t>
  </si>
  <si>
    <t>FY27</t>
  </si>
  <si>
    <t>H1'28</t>
  </si>
  <si>
    <t>H2'28</t>
  </si>
  <si>
    <t>FY28</t>
  </si>
  <si>
    <t>H1'29</t>
  </si>
  <si>
    <t>H2'29</t>
  </si>
  <si>
    <t>FY29</t>
  </si>
  <si>
    <t>H1'30</t>
  </si>
  <si>
    <t>H2'30</t>
  </si>
  <si>
    <t>FY30</t>
  </si>
  <si>
    <t>SG&amp;A Margin (%)</t>
  </si>
  <si>
    <t>Income Statement</t>
  </si>
  <si>
    <t xml:space="preserve">Balance Sheet </t>
  </si>
  <si>
    <t>Goodwill</t>
  </si>
  <si>
    <t>Intangibles</t>
  </si>
  <si>
    <t>PP&amp;E</t>
  </si>
  <si>
    <t>Investment in associates</t>
  </si>
  <si>
    <t>Other financial assets</t>
  </si>
  <si>
    <t>Non-current Assets</t>
  </si>
  <si>
    <t>Inventories</t>
  </si>
  <si>
    <t>Trade and other receivables</t>
  </si>
  <si>
    <t>Income tax receivables</t>
  </si>
  <si>
    <t>Derivatives</t>
  </si>
  <si>
    <t>Cash and cash equivalents</t>
  </si>
  <si>
    <t>Current Assets</t>
  </si>
  <si>
    <t>Total Assets</t>
  </si>
  <si>
    <t>Share Capital</t>
  </si>
  <si>
    <t>Share Premium</t>
  </si>
  <si>
    <t>Treasury Shares</t>
  </si>
  <si>
    <t>Retained Earnings</t>
  </si>
  <si>
    <t>Translation differences</t>
  </si>
  <si>
    <t>Equity - parents</t>
  </si>
  <si>
    <t>Non-controliing interests</t>
  </si>
  <si>
    <t xml:space="preserve">Equity </t>
  </si>
  <si>
    <t>Long-term financial debt</t>
  </si>
  <si>
    <t>Provision for employee benefits</t>
  </si>
  <si>
    <t>Long-term provisions</t>
  </si>
  <si>
    <t xml:space="preserve">Deferred Taxation </t>
  </si>
  <si>
    <t>Non-Current Liabilities</t>
  </si>
  <si>
    <t>Short-term debt</t>
  </si>
  <si>
    <t>Trade and Oher payables</t>
  </si>
  <si>
    <t>Dividend Payable</t>
  </si>
  <si>
    <t>Income Tax payables</t>
  </si>
  <si>
    <t>Short-term provisions</t>
  </si>
  <si>
    <t>Current Liabilities</t>
  </si>
  <si>
    <t>Total Equity &amp; Liabilities</t>
  </si>
  <si>
    <t>Right-of-use assets</t>
  </si>
  <si>
    <t>Check</t>
  </si>
  <si>
    <t>In Euro Millions</t>
  </si>
  <si>
    <t xml:space="preserve">Cash Flow </t>
  </si>
  <si>
    <t>Share based payments</t>
  </si>
  <si>
    <t>Dividends received</t>
  </si>
  <si>
    <t>EBITDA</t>
  </si>
  <si>
    <t>Changes in inventories</t>
  </si>
  <si>
    <t>Changes in Trade Payables</t>
  </si>
  <si>
    <t>Changes in other receivables ad payables</t>
  </si>
  <si>
    <t>Net cash fo from operations</t>
  </si>
  <si>
    <t>Net cash flow in relation to other non-current income/(expenses)</t>
  </si>
  <si>
    <t>Other operating cash flows</t>
  </si>
  <si>
    <t>Net cash flow from operatng activities</t>
  </si>
  <si>
    <t>Purchase of operating investments</t>
  </si>
  <si>
    <t>Cash Flow from other financial assets</t>
  </si>
  <si>
    <t>Net Cash flow from investment activities</t>
  </si>
  <si>
    <t>Capital Increase</t>
  </si>
  <si>
    <t xml:space="preserve">Increase in debt </t>
  </si>
  <si>
    <t xml:space="preserve">Repayment of debt </t>
  </si>
  <si>
    <t>Dividends paid</t>
  </si>
  <si>
    <t>Net Cash Flow from financing activities</t>
  </si>
  <si>
    <t>FX</t>
  </si>
  <si>
    <t>Changes in cash and cash equivalents</t>
  </si>
  <si>
    <t>Cash and cash equivalents at the beginning of period</t>
  </si>
  <si>
    <t>Cash and cash equivalents at the end of period</t>
  </si>
  <si>
    <t>Change in W.C.R</t>
  </si>
  <si>
    <t>Net cash flow in relation to financial income/(expenses)</t>
  </si>
  <si>
    <t>Purchase of shares</t>
  </si>
  <si>
    <t>Disposals of non-current assets</t>
  </si>
  <si>
    <t>Proceeds for sale of non-current assets</t>
  </si>
  <si>
    <t>Payment of lease liabilities</t>
  </si>
  <si>
    <t>Impact of discontinued</t>
  </si>
  <si>
    <t>Capex/sales Ratio</t>
  </si>
  <si>
    <t>Disposals</t>
  </si>
  <si>
    <t>Depreciation rate (%)</t>
  </si>
  <si>
    <t>Net Value</t>
  </si>
  <si>
    <t>Depeciation charge for the year</t>
  </si>
  <si>
    <t>Opening Balance</t>
  </si>
  <si>
    <t>Net Income</t>
  </si>
  <si>
    <t>Dividends</t>
  </si>
  <si>
    <t>Adjustments</t>
  </si>
  <si>
    <t>Closing Balance</t>
  </si>
  <si>
    <t>Trade Receivables</t>
  </si>
  <si>
    <t>Trade Payables</t>
  </si>
  <si>
    <t>Working Capital</t>
  </si>
  <si>
    <t>Inventory Days</t>
  </si>
  <si>
    <t>Days Receivables</t>
  </si>
  <si>
    <t>Days Payables</t>
  </si>
  <si>
    <t>No. of days</t>
  </si>
  <si>
    <t>Debt Schedule</t>
  </si>
  <si>
    <t>Interest Expense</t>
  </si>
  <si>
    <t xml:space="preserve">% of debt </t>
  </si>
  <si>
    <t>Other financial income/expenses</t>
  </si>
  <si>
    <t>Opening Value</t>
  </si>
  <si>
    <t>DCF</t>
  </si>
  <si>
    <t>Revenues</t>
  </si>
  <si>
    <t>Tax</t>
  </si>
  <si>
    <t>EBIT (1-t)</t>
  </si>
  <si>
    <t>Capital expenditures</t>
  </si>
  <si>
    <t>Unlevered free cash flows (UFCF)</t>
  </si>
  <si>
    <t>Discounting factor</t>
  </si>
  <si>
    <t>FCFF</t>
  </si>
  <si>
    <t>TV</t>
  </si>
  <si>
    <t>Enterprise Value</t>
  </si>
  <si>
    <t>Net Debt</t>
  </si>
  <si>
    <t>Minority Interest</t>
  </si>
  <si>
    <t>Equity Value</t>
  </si>
  <si>
    <t>Target Price</t>
  </si>
  <si>
    <t>CMP</t>
  </si>
  <si>
    <t>Change(%)</t>
  </si>
  <si>
    <t>Assumptions</t>
  </si>
  <si>
    <t>Sensitivity Analysis</t>
  </si>
  <si>
    <t>Equity Risk Premium</t>
  </si>
  <si>
    <t>Risk Free rate</t>
  </si>
  <si>
    <t>Beta</t>
  </si>
  <si>
    <t>WACC</t>
  </si>
  <si>
    <t>Cost of Equity</t>
  </si>
  <si>
    <t>Cost of Debt</t>
  </si>
  <si>
    <t>Growth rate (%)</t>
  </si>
  <si>
    <t>Remy Cointreau</t>
  </si>
  <si>
    <t>Figures in Euro millions, except share data</t>
  </si>
  <si>
    <t>2026E</t>
  </si>
  <si>
    <t>2027E</t>
  </si>
  <si>
    <t>2028E</t>
  </si>
  <si>
    <t>Schedules</t>
  </si>
  <si>
    <t>2029E</t>
  </si>
  <si>
    <t>Notes - we need to fix the MI for better valuation</t>
  </si>
  <si>
    <t>EBITDA Margin (%)</t>
  </si>
  <si>
    <t>Higher EBITDA Margins</t>
  </si>
  <si>
    <t>Working capital is tied up in aging inventory but it’s a good sign since prices are jcked up as invemory matures</t>
  </si>
  <si>
    <t xml:space="preserve">Capex light </t>
  </si>
  <si>
    <t>Repayment</t>
  </si>
  <si>
    <t>Drawdowns</t>
  </si>
  <si>
    <t>Long-term</t>
  </si>
  <si>
    <t>Organic Growth (%)</t>
  </si>
  <si>
    <t>FX (%)</t>
  </si>
  <si>
    <t>Scope (%)</t>
  </si>
  <si>
    <t xml:space="preserve">Current Operating Profit </t>
  </si>
  <si>
    <t>Distribution &amp; Administrative Expenses</t>
  </si>
  <si>
    <t xml:space="preserve">COP Margin </t>
  </si>
  <si>
    <t>COP Margin (%)</t>
  </si>
  <si>
    <t>Current Operating Profit</t>
  </si>
  <si>
    <t>Other adjustments</t>
  </si>
  <si>
    <t>Acquisitions</t>
  </si>
  <si>
    <t>Gross Value</t>
  </si>
  <si>
    <t xml:space="preserve">Accumulated depreciation - Opening </t>
  </si>
  <si>
    <t>Accumulated depreciation and impairments</t>
  </si>
  <si>
    <t xml:space="preserve">Accumulated amortization - Opening </t>
  </si>
  <si>
    <t>Accumulated amortization</t>
  </si>
  <si>
    <t>Right-of-use assets – IFRS 16</t>
  </si>
  <si>
    <t>Changes in Trade receivables</t>
  </si>
  <si>
    <t>Net cash flow in relation to income ta</t>
  </si>
  <si>
    <t>SBP</t>
  </si>
  <si>
    <t>Deferred Taxation</t>
  </si>
  <si>
    <t>Need to check this</t>
  </si>
  <si>
    <t>Actvity Ratios (Utilising resources)</t>
  </si>
  <si>
    <t>DSO</t>
  </si>
  <si>
    <t>DIO</t>
  </si>
  <si>
    <t>DPO</t>
  </si>
  <si>
    <t>Cash Conversion Cycle</t>
  </si>
  <si>
    <t>Fixed Assets Turnover</t>
  </si>
  <si>
    <t>Working Capital Turnover</t>
  </si>
  <si>
    <t>Total Assets Turnover</t>
  </si>
  <si>
    <t>Equity Turnover</t>
  </si>
  <si>
    <t>Liquidity Ratios</t>
  </si>
  <si>
    <t>Current Ratio</t>
  </si>
  <si>
    <t>Quick Ratio</t>
  </si>
  <si>
    <t>Cash ratio</t>
  </si>
  <si>
    <t>Defensive Interval</t>
  </si>
  <si>
    <t>Solvency Ratios</t>
  </si>
  <si>
    <t xml:space="preserve">Debt to Equity </t>
  </si>
  <si>
    <t>Debt to Capital</t>
  </si>
  <si>
    <t>Debt to Assets</t>
  </si>
  <si>
    <t>Financial Leverage</t>
  </si>
  <si>
    <t>Interest Coverage</t>
  </si>
  <si>
    <t>Fixed Charge coverage</t>
  </si>
  <si>
    <t>Profitability Ratios</t>
  </si>
  <si>
    <t xml:space="preserve">EBITDA Margin </t>
  </si>
  <si>
    <t xml:space="preserve">PBT Margin </t>
  </si>
  <si>
    <t xml:space="preserve">Net Profit Margin </t>
  </si>
  <si>
    <t>ROA</t>
  </si>
  <si>
    <t>RoCA</t>
  </si>
  <si>
    <t>RoE</t>
  </si>
  <si>
    <t>Valuation Ratios</t>
  </si>
  <si>
    <t xml:space="preserve">Earnings per Share </t>
  </si>
  <si>
    <t>PE</t>
  </si>
  <si>
    <t>TTM EPS</t>
  </si>
  <si>
    <t>TTM P/E</t>
  </si>
  <si>
    <t>Forward EPS</t>
  </si>
  <si>
    <t>Forward P/E</t>
  </si>
  <si>
    <t>Dividend Yield</t>
  </si>
  <si>
    <t>Dividend Payout</t>
  </si>
  <si>
    <t>Retention Rate</t>
  </si>
  <si>
    <t>Sustainable Growth Rate</t>
  </si>
  <si>
    <t>BVPS</t>
  </si>
  <si>
    <t>OCF/share</t>
  </si>
  <si>
    <t>FCF/share</t>
  </si>
  <si>
    <t>Net Debt/EBITDA</t>
  </si>
  <si>
    <t>Reasonable</t>
  </si>
  <si>
    <t>Strong return on long term capital</t>
  </si>
  <si>
    <t>Good return with low leverage</t>
  </si>
  <si>
    <t>Margin Type</t>
  </si>
  <si>
    <t>Value</t>
  </si>
  <si>
    <t>Industry Benchmark</t>
  </si>
  <si>
    <t>Interpretation</t>
  </si>
  <si>
    <t>COP Margin</t>
  </si>
  <si>
    <t>~20–25%</t>
  </si>
  <si>
    <r>
      <t>Excellent</t>
    </r>
    <r>
      <rPr>
        <sz val="11"/>
        <color theme="1"/>
        <rFont val="Calibri"/>
        <family val="2"/>
        <scheme val="minor"/>
      </rPr>
      <t xml:space="preserve"> – strong pricing power &amp; brand premium</t>
    </r>
  </si>
  <si>
    <t>EBITDA Margin</t>
  </si>
  <si>
    <t>~25–30%</t>
  </si>
  <si>
    <r>
      <t>Excellent</t>
    </r>
    <r>
      <rPr>
        <sz val="11"/>
        <color theme="1"/>
        <rFont val="Calibri"/>
        <family val="2"/>
        <scheme val="minor"/>
      </rPr>
      <t xml:space="preserve"> – strong operating leverage</t>
    </r>
  </si>
  <si>
    <t>PBT Margin</t>
  </si>
  <si>
    <t>~15–20%</t>
  </si>
  <si>
    <r>
      <t>Very good</t>
    </r>
    <r>
      <rPr>
        <sz val="11"/>
        <color theme="1"/>
        <rFont val="Calibri"/>
        <family val="2"/>
        <scheme val="minor"/>
      </rPr>
      <t xml:space="preserve"> – low financing costs help</t>
    </r>
  </si>
  <si>
    <t>Net Profit Margin</t>
  </si>
  <si>
    <t>~10–12%</t>
  </si>
  <si>
    <r>
      <t>Strong</t>
    </r>
    <r>
      <rPr>
        <sz val="11"/>
        <color theme="1"/>
        <rFont val="Calibri"/>
        <family val="2"/>
        <scheme val="minor"/>
      </rPr>
      <t xml:space="preserve"> – solid bottom-line efficiency</t>
    </r>
  </si>
  <si>
    <t>EV/EBITDA</t>
  </si>
  <si>
    <t>EV/FCF</t>
  </si>
  <si>
    <t>FCF</t>
  </si>
  <si>
    <t>Gross Margin</t>
  </si>
  <si>
    <t>Dividends received from associates</t>
  </si>
  <si>
    <t>2030E</t>
  </si>
  <si>
    <t xml:space="preserve">Founded </t>
  </si>
  <si>
    <t>Liqueur &amp; Spirits</t>
  </si>
  <si>
    <t>Business Model</t>
  </si>
  <si>
    <t>Revenue Streams</t>
  </si>
  <si>
    <t xml:space="preserve">Geographies market wise </t>
  </si>
  <si>
    <t>Biggest SKUs</t>
  </si>
  <si>
    <t>Highest Priced Products</t>
  </si>
  <si>
    <t>Rémy Cointreau has a portfolio of exceptional spirits. Each of these brands embodies unique expertise and heritage, but all share the same culture of excellence.</t>
  </si>
  <si>
    <t>The parent company for the Group’s two brands of cognac — Rémy Martin and LOUIS XIII — Rémy Martin manages all the pooled resources that they are able to call on.</t>
  </si>
  <si>
    <t>The Liqueurs &amp; Spirits division gathers together eight brands with very distinct personalities and brand positions: the liqueur Cointreau, the Greek spirit Metaxa, Mount Gay rum, the French brandy St-Rémy, the single malts Bruichladdich, Port Charlotte and Octomore, the American single malt Westland, the French organic single malt Domaine des Hautes Glaces, and The Botanist gin.</t>
  </si>
  <si>
    <t>Metaxa -</t>
  </si>
  <si>
    <t>Cointreau - Orange Liqueur- Used in Cosmopolitan</t>
  </si>
  <si>
    <t>The Original Greek Spirit</t>
  </si>
  <si>
    <t>Mount Gay Rum - originated in Barbados</t>
  </si>
  <si>
    <t xml:space="preserve">St-Remy- St-Rémy is the world’s number-one French brandy. St-Rémy is bottled in the Loire Valley and shipped around the world! </t>
  </si>
  <si>
    <t>Bruichladdich – Port Charlotte – Octomore - Unpeated, peated and heavily peated whiskies from Islay</t>
  </si>
  <si>
    <t>The Botanist - Islya Dry Gin</t>
  </si>
  <si>
    <t>Hautes Glaces - Whisky from French Alps</t>
  </si>
  <si>
    <t>Westland Distillery - American single malt</t>
  </si>
  <si>
    <t>Telmont - Champagne</t>
  </si>
  <si>
    <t>Belle de brillet - Pear liquer, pineau and cognac</t>
  </si>
  <si>
    <t xml:space="preserve"> The Rémy Cointreau Group is one of the major operators in the
 global Wine &amp; Spirits market with a portfolio of exceptional
 brands, which include Rémy Martin and LOUIS XIII cognacs and
 Cointreau liqueur. The brands are mostly distributed by a network
 of subsidiaries established in the Group’s various strategic
 markets. Rémy Cointreau is listed on Euronext Paris. The free
 float represents approximately 40%. The Rémy Cointreau Group
 is controlled by the majority shareholder, the Andromède family
 holding company</t>
  </si>
  <si>
    <t>The House of Rémy Martin - Cognac &amp; House of Brillet</t>
  </si>
  <si>
    <t xml:space="preserve">Net Debt </t>
  </si>
  <si>
    <t>Volume</t>
  </si>
  <si>
    <t>Volume growth (%)</t>
  </si>
  <si>
    <t>Price Mix</t>
  </si>
  <si>
    <t>Price Mix(%)</t>
  </si>
  <si>
    <t>COP</t>
  </si>
  <si>
    <t>Misc.</t>
  </si>
  <si>
    <t>NWC changes</t>
  </si>
  <si>
    <t>Company</t>
  </si>
  <si>
    <t>LVMH (Hennessy)</t>
  </si>
  <si>
    <t>Pernod Ricard</t>
  </si>
  <si>
    <t>Diageo</t>
  </si>
  <si>
    <t>Campari</t>
  </si>
  <si>
    <t>Brown-Forman</t>
  </si>
  <si>
    <t>Peer Median</t>
  </si>
  <si>
    <t>Rémy Cointreau</t>
  </si>
  <si>
    <t>EV/EBITDA (x)</t>
  </si>
  <si>
    <t>EV/EBIT(x)</t>
  </si>
  <si>
    <t>P/E(x)</t>
  </si>
  <si>
    <t>FCF Yield(%)</t>
  </si>
  <si>
    <t>Implied EV/EBITDA</t>
  </si>
  <si>
    <t>EV</t>
  </si>
  <si>
    <t>Market Cap</t>
  </si>
  <si>
    <t>TP</t>
  </si>
  <si>
    <t>Upside</t>
  </si>
  <si>
    <t>EBITDA FY26E</t>
  </si>
  <si>
    <t>Method</t>
  </si>
  <si>
    <t>Low</t>
  </si>
  <si>
    <t>DCF – Bear</t>
  </si>
  <si>
    <t>DCF – Base</t>
  </si>
  <si>
    <t>EV/EBITDA Multiple</t>
  </si>
  <si>
    <t>EV/EBIT Multiple</t>
  </si>
  <si>
    <t>P/E Multiple</t>
  </si>
  <si>
    <t>Current Price (CMP)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</si>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</sst>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%"/>
    <numFmt numFmtId="167" formatCode="#,##0.000"/>
    <numFmt numFmtId="168" formatCode="_ * #,##0_ ;_ * \-#,##0_ ;_ * &quot;-&quot;??_ ;_ @_ "/>
    <numFmt numFmtId="169" formatCode="0.00\x"/>
    <numFmt numFmtId="170" formatCode="0.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 tint="4.9989318521683403E-2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i/>
      <sz val="10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C659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C659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9"/>
      <color rgb="FFFF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color rgb="FFC659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rgb="FFEAF1E7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/>
      <right style="dashed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dashed">
        <color auto="1"/>
      </left>
      <right style="thin">
        <color auto="1"/>
      </right>
      <top style="medium">
        <color auto="1"/>
      </top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dashed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4" fillId="0" borderId="0"/>
  </cellStyleXfs>
  <cellXfs count="29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9" fontId="3" fillId="0" borderId="0" xfId="0" applyNumberFormat="1" applyFont="1"/>
    <xf numFmtId="9" fontId="3" fillId="0" borderId="1" xfId="0" applyNumberFormat="1" applyFont="1" applyBorder="1"/>
    <xf numFmtId="9" fontId="3" fillId="0" borderId="2" xfId="0" applyNumberFormat="1" applyFont="1" applyBorder="1"/>
    <xf numFmtId="9" fontId="0" fillId="0" borderId="0" xfId="0" applyNumberFormat="1"/>
    <xf numFmtId="9" fontId="0" fillId="0" borderId="1" xfId="0" applyNumberFormat="1" applyBorder="1"/>
    <xf numFmtId="9" fontId="0" fillId="0" borderId="2" xfId="0" applyNumberFormat="1" applyBorder="1"/>
    <xf numFmtId="4" fontId="0" fillId="0" borderId="1" xfId="0" applyNumberFormat="1" applyBorder="1"/>
    <xf numFmtId="4" fontId="0" fillId="0" borderId="2" xfId="0" applyNumberFormat="1" applyBorder="1"/>
    <xf numFmtId="165" fontId="0" fillId="0" borderId="1" xfId="0" applyNumberFormat="1" applyBorder="1"/>
    <xf numFmtId="165" fontId="0" fillId="0" borderId="2" xfId="0" applyNumberFormat="1" applyBorder="1"/>
    <xf numFmtId="4" fontId="4" fillId="0" borderId="0" xfId="0" applyNumberFormat="1" applyFont="1"/>
    <xf numFmtId="164" fontId="0" fillId="0" borderId="0" xfId="0" applyNumberFormat="1"/>
    <xf numFmtId="0" fontId="0" fillId="0" borderId="4" xfId="0" applyBorder="1"/>
    <xf numFmtId="0" fontId="1" fillId="0" borderId="4" xfId="0" applyFont="1" applyBorder="1"/>
    <xf numFmtId="166" fontId="2" fillId="0" borderId="5" xfId="0" applyNumberFormat="1" applyFont="1" applyBorder="1"/>
    <xf numFmtId="166" fontId="6" fillId="0" borderId="0" xfId="0" applyNumberFormat="1" applyFont="1"/>
    <xf numFmtId="0" fontId="0" fillId="0" borderId="13" xfId="0" applyBorder="1"/>
    <xf numFmtId="0" fontId="1" fillId="0" borderId="13" xfId="0" applyFont="1" applyBorder="1"/>
    <xf numFmtId="165" fontId="1" fillId="0" borderId="0" xfId="0" applyNumberFormat="1" applyFont="1"/>
    <xf numFmtId="165" fontId="1" fillId="0" borderId="13" xfId="0" applyNumberFormat="1" applyFont="1" applyBorder="1"/>
    <xf numFmtId="164" fontId="0" fillId="0" borderId="13" xfId="0" applyNumberFormat="1" applyBorder="1"/>
    <xf numFmtId="0" fontId="1" fillId="0" borderId="9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4" xfId="0" applyNumberFormat="1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166" fontId="6" fillId="0" borderId="13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4" xfId="0" applyNumberFormat="1" applyFont="1" applyBorder="1" applyAlignment="1">
      <alignment horizontal="right"/>
    </xf>
    <xf numFmtId="165" fontId="1" fillId="0" borderId="13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13" xfId="0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0" fontId="0" fillId="0" borderId="16" xfId="0" applyBorder="1"/>
    <xf numFmtId="164" fontId="1" fillId="0" borderId="0" xfId="0" applyNumberFormat="1" applyFont="1"/>
    <xf numFmtId="4" fontId="0" fillId="0" borderId="0" xfId="0" applyNumberFormat="1"/>
    <xf numFmtId="4" fontId="0" fillId="0" borderId="7" xfId="0" applyNumberFormat="1" applyBorder="1"/>
    <xf numFmtId="4" fontId="0" fillId="0" borderId="17" xfId="0" applyNumberFormat="1" applyBorder="1"/>
    <xf numFmtId="4" fontId="0" fillId="0" borderId="6" xfId="0" applyNumberFormat="1" applyBorder="1"/>
    <xf numFmtId="9" fontId="9" fillId="0" borderId="1" xfId="0" applyNumberFormat="1" applyFont="1" applyBorder="1"/>
    <xf numFmtId="9" fontId="10" fillId="0" borderId="1" xfId="0" applyNumberFormat="1" applyFont="1" applyBorder="1"/>
    <xf numFmtId="9" fontId="10" fillId="0" borderId="0" xfId="0" applyNumberFormat="1" applyFont="1"/>
    <xf numFmtId="9" fontId="3" fillId="0" borderId="13" xfId="0" applyNumberFormat="1" applyFont="1" applyBorder="1"/>
    <xf numFmtId="9" fontId="0" fillId="0" borderId="13" xfId="0" applyNumberFormat="1" applyBorder="1"/>
    <xf numFmtId="4" fontId="0" fillId="0" borderId="13" xfId="0" applyNumberFormat="1" applyBorder="1"/>
    <xf numFmtId="4" fontId="0" fillId="0" borderId="15" xfId="0" applyNumberFormat="1" applyBorder="1"/>
    <xf numFmtId="9" fontId="9" fillId="0" borderId="19" xfId="0" applyNumberFormat="1" applyFont="1" applyBorder="1"/>
    <xf numFmtId="165" fontId="1" fillId="0" borderId="1" xfId="0" applyNumberFormat="1" applyFont="1" applyBorder="1"/>
    <xf numFmtId="165" fontId="1" fillId="0" borderId="2" xfId="0" applyNumberFormat="1" applyFont="1" applyBorder="1"/>
    <xf numFmtId="165" fontId="0" fillId="0" borderId="0" xfId="0" applyNumberFormat="1"/>
    <xf numFmtId="165" fontId="0" fillId="0" borderId="19" xfId="0" applyNumberFormat="1" applyBorder="1"/>
    <xf numFmtId="165" fontId="0" fillId="0" borderId="13" xfId="0" applyNumberFormat="1" applyBorder="1"/>
    <xf numFmtId="165" fontId="1" fillId="0" borderId="19" xfId="0" applyNumberFormat="1" applyFont="1" applyBorder="1"/>
    <xf numFmtId="165" fontId="4" fillId="0" borderId="0" xfId="0" applyNumberFormat="1" applyFont="1"/>
    <xf numFmtId="165" fontId="4" fillId="0" borderId="2" xfId="0" applyNumberFormat="1" applyFont="1" applyBorder="1"/>
    <xf numFmtId="0" fontId="1" fillId="2" borderId="20" xfId="0" applyFont="1" applyFill="1" applyBorder="1"/>
    <xf numFmtId="0" fontId="0" fillId="2" borderId="21" xfId="0" applyFill="1" applyBorder="1"/>
    <xf numFmtId="0" fontId="1" fillId="2" borderId="21" xfId="0" applyFont="1" applyFill="1" applyBorder="1"/>
    <xf numFmtId="9" fontId="3" fillId="2" borderId="21" xfId="0" applyNumberFormat="1" applyFont="1" applyFill="1" applyBorder="1"/>
    <xf numFmtId="4" fontId="0" fillId="2" borderId="21" xfId="0" applyNumberFormat="1" applyFill="1" applyBorder="1"/>
    <xf numFmtId="0" fontId="0" fillId="2" borderId="22" xfId="0" applyFill="1" applyBorder="1"/>
    <xf numFmtId="0" fontId="1" fillId="2" borderId="23" xfId="0" applyFont="1" applyFill="1" applyBorder="1" applyAlignment="1">
      <alignment horizontal="right"/>
    </xf>
    <xf numFmtId="0" fontId="1" fillId="2" borderId="24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/>
    </xf>
    <xf numFmtId="0" fontId="1" fillId="2" borderId="26" xfId="0" applyFont="1" applyFill="1" applyBorder="1" applyAlignment="1">
      <alignment horizontal="right"/>
    </xf>
    <xf numFmtId="0" fontId="1" fillId="2" borderId="28" xfId="0" applyFont="1" applyFill="1" applyBorder="1"/>
    <xf numFmtId="0" fontId="1" fillId="0" borderId="7" xfId="0" applyFont="1" applyBorder="1"/>
    <xf numFmtId="0" fontId="0" fillId="0" borderId="9" xfId="0" applyBorder="1"/>
    <xf numFmtId="0" fontId="0" fillId="0" borderId="19" xfId="0" applyBorder="1"/>
    <xf numFmtId="0" fontId="2" fillId="3" borderId="0" xfId="0" applyFont="1" applyFill="1"/>
    <xf numFmtId="0" fontId="0" fillId="3" borderId="0" xfId="0" applyFill="1" applyAlignment="1">
      <alignment horizontal="right"/>
    </xf>
    <xf numFmtId="0" fontId="0" fillId="0" borderId="33" xfId="0" applyBorder="1"/>
    <xf numFmtId="164" fontId="1" fillId="0" borderId="7" xfId="0" applyNumberFormat="1" applyFont="1" applyBorder="1"/>
    <xf numFmtId="0" fontId="0" fillId="4" borderId="21" xfId="0" applyFill="1" applyBorder="1"/>
    <xf numFmtId="0" fontId="1" fillId="4" borderId="34" xfId="0" applyFont="1" applyFill="1" applyBorder="1"/>
    <xf numFmtId="0" fontId="1" fillId="2" borderId="26" xfId="0" applyFont="1" applyFill="1" applyBorder="1"/>
    <xf numFmtId="0" fontId="1" fillId="4" borderId="22" xfId="0" applyFont="1" applyFill="1" applyBorder="1"/>
    <xf numFmtId="0" fontId="1" fillId="0" borderId="15" xfId="0" applyFont="1" applyBorder="1"/>
    <xf numFmtId="0" fontId="1" fillId="4" borderId="29" xfId="0" applyFont="1" applyFill="1" applyBorder="1"/>
    <xf numFmtId="0" fontId="2" fillId="4" borderId="21" xfId="0" applyFont="1" applyFill="1" applyBorder="1"/>
    <xf numFmtId="9" fontId="2" fillId="4" borderId="21" xfId="0" applyNumberFormat="1" applyFont="1" applyFill="1" applyBorder="1"/>
    <xf numFmtId="9" fontId="0" fillId="4" borderId="21" xfId="0" applyNumberFormat="1" applyFill="1" applyBorder="1"/>
    <xf numFmtId="0" fontId="1" fillId="0" borderId="33" xfId="0" applyFont="1" applyBorder="1"/>
    <xf numFmtId="164" fontId="1" fillId="0" borderId="15" xfId="0" applyNumberFormat="1" applyFont="1" applyBorder="1"/>
    <xf numFmtId="9" fontId="11" fillId="0" borderId="0" xfId="0" applyNumberFormat="1" applyFont="1"/>
    <xf numFmtId="165" fontId="0" fillId="0" borderId="36" xfId="0" applyNumberFormat="1" applyBorder="1"/>
    <xf numFmtId="0" fontId="1" fillId="2" borderId="0" xfId="0" applyFont="1" applyFill="1"/>
    <xf numFmtId="0" fontId="1" fillId="2" borderId="37" xfId="0" applyFont="1" applyFill="1" applyBorder="1"/>
    <xf numFmtId="0" fontId="1" fillId="2" borderId="4" xfId="0" applyFont="1" applyFill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7" xfId="0" applyNumberFormat="1" applyBorder="1"/>
    <xf numFmtId="165" fontId="12" fillId="0" borderId="13" xfId="0" applyNumberFormat="1" applyFont="1" applyBorder="1"/>
    <xf numFmtId="166" fontId="2" fillId="0" borderId="7" xfId="0" applyNumberFormat="1" applyFont="1" applyBorder="1"/>
    <xf numFmtId="166" fontId="13" fillId="0" borderId="7" xfId="0" applyNumberFormat="1" applyFont="1" applyBorder="1"/>
    <xf numFmtId="166" fontId="2" fillId="0" borderId="15" xfId="0" applyNumberFormat="1" applyFont="1" applyBorder="1"/>
    <xf numFmtId="0" fontId="15" fillId="0" borderId="0" xfId="1" applyFont="1"/>
    <xf numFmtId="0" fontId="14" fillId="0" borderId="0" xfId="1"/>
    <xf numFmtId="0" fontId="16" fillId="5" borderId="38" xfId="1" applyFont="1" applyFill="1" applyBorder="1"/>
    <xf numFmtId="0" fontId="15" fillId="5" borderId="39" xfId="1" applyFont="1" applyFill="1" applyBorder="1"/>
    <xf numFmtId="0" fontId="15" fillId="5" borderId="39" xfId="1" applyFont="1" applyFill="1" applyBorder="1" applyAlignment="1">
      <alignment horizontal="right"/>
    </xf>
    <xf numFmtId="0" fontId="15" fillId="5" borderId="40" xfId="1" applyFont="1" applyFill="1" applyBorder="1" applyAlignment="1">
      <alignment horizontal="right"/>
    </xf>
    <xf numFmtId="0" fontId="15" fillId="0" borderId="41" xfId="1" applyFont="1" applyBorder="1"/>
    <xf numFmtId="0" fontId="17" fillId="0" borderId="0" xfId="1" applyFont="1"/>
    <xf numFmtId="0" fontId="17" fillId="0" borderId="42" xfId="1" applyFont="1" applyBorder="1"/>
    <xf numFmtId="3" fontId="14" fillId="0" borderId="0" xfId="1" applyNumberFormat="1"/>
    <xf numFmtId="3" fontId="14" fillId="0" borderId="42" xfId="1" applyNumberFormat="1" applyBorder="1"/>
    <xf numFmtId="0" fontId="14" fillId="0" borderId="0" xfId="1" applyAlignment="1">
      <alignment horizontal="left"/>
    </xf>
    <xf numFmtId="0" fontId="18" fillId="0" borderId="0" xfId="1" applyFont="1" applyAlignment="1">
      <alignment horizontal="left"/>
    </xf>
    <xf numFmtId="0" fontId="18" fillId="0" borderId="0" xfId="1" applyFont="1"/>
    <xf numFmtId="9" fontId="18" fillId="0" borderId="0" xfId="1" applyNumberFormat="1" applyFont="1"/>
    <xf numFmtId="9" fontId="18" fillId="0" borderId="42" xfId="1" applyNumberFormat="1" applyFont="1" applyBorder="1"/>
    <xf numFmtId="0" fontId="15" fillId="5" borderId="0" xfId="1" applyFont="1" applyFill="1" applyAlignment="1">
      <alignment horizontal="left"/>
    </xf>
    <xf numFmtId="0" fontId="15" fillId="5" borderId="0" xfId="1" applyFont="1" applyFill="1"/>
    <xf numFmtId="3" fontId="14" fillId="5" borderId="0" xfId="1" applyNumberFormat="1" applyFill="1"/>
    <xf numFmtId="3" fontId="14" fillId="5" borderId="42" xfId="1" applyNumberFormat="1" applyFill="1" applyBorder="1"/>
    <xf numFmtId="167" fontId="14" fillId="0" borderId="0" xfId="1" applyNumberFormat="1"/>
    <xf numFmtId="167" fontId="14" fillId="0" borderId="42" xfId="1" applyNumberFormat="1" applyBorder="1"/>
    <xf numFmtId="0" fontId="14" fillId="0" borderId="43" xfId="1" applyBorder="1"/>
    <xf numFmtId="168" fontId="14" fillId="0" borderId="44" xfId="1" applyNumberFormat="1" applyBorder="1"/>
    <xf numFmtId="0" fontId="15" fillId="0" borderId="39" xfId="1" applyFont="1" applyBorder="1" applyAlignment="1">
      <alignment horizontal="left"/>
    </xf>
    <xf numFmtId="0" fontId="15" fillId="0" borderId="39" xfId="1" applyFont="1" applyBorder="1"/>
    <xf numFmtId="3" fontId="15" fillId="0" borderId="40" xfId="1" applyNumberFormat="1" applyFont="1" applyBorder="1"/>
    <xf numFmtId="0" fontId="15" fillId="0" borderId="0" xfId="1" applyFont="1" applyAlignment="1">
      <alignment horizontal="left"/>
    </xf>
    <xf numFmtId="0" fontId="14" fillId="5" borderId="0" xfId="1" applyFill="1" applyAlignment="1">
      <alignment horizontal="left"/>
    </xf>
    <xf numFmtId="0" fontId="14" fillId="5" borderId="0" xfId="1" applyFill="1"/>
    <xf numFmtId="166" fontId="18" fillId="5" borderId="45" xfId="1" applyNumberFormat="1" applyFont="1" applyFill="1" applyBorder="1" applyAlignment="1">
      <alignment horizontal="left"/>
    </xf>
    <xf numFmtId="166" fontId="18" fillId="5" borderId="45" xfId="1" applyNumberFormat="1" applyFont="1" applyFill="1" applyBorder="1"/>
    <xf numFmtId="166" fontId="18" fillId="5" borderId="46" xfId="1" applyNumberFormat="1" applyFont="1" applyFill="1" applyBorder="1"/>
    <xf numFmtId="0" fontId="16" fillId="5" borderId="47" xfId="1" applyFont="1" applyFill="1" applyBorder="1"/>
    <xf numFmtId="0" fontId="14" fillId="5" borderId="48" xfId="1" applyFill="1" applyBorder="1"/>
    <xf numFmtId="0" fontId="14" fillId="5" borderId="49" xfId="1" applyFill="1" applyBorder="1"/>
    <xf numFmtId="0" fontId="14" fillId="0" borderId="52" xfId="1" applyBorder="1"/>
    <xf numFmtId="10" fontId="14" fillId="0" borderId="42" xfId="1" applyNumberFormat="1" applyBorder="1"/>
    <xf numFmtId="165" fontId="14" fillId="0" borderId="38" xfId="1" applyNumberFormat="1" applyBorder="1"/>
    <xf numFmtId="166" fontId="14" fillId="0" borderId="39" xfId="1" applyNumberFormat="1" applyBorder="1"/>
    <xf numFmtId="166" fontId="14" fillId="5" borderId="39" xfId="1" applyNumberFormat="1" applyFill="1" applyBorder="1"/>
    <xf numFmtId="166" fontId="14" fillId="0" borderId="53" xfId="1" applyNumberFormat="1" applyBorder="1"/>
    <xf numFmtId="166" fontId="14" fillId="0" borderId="41" xfId="1" applyNumberFormat="1" applyBorder="1"/>
    <xf numFmtId="4" fontId="14" fillId="0" borderId="0" xfId="1" applyNumberFormat="1"/>
    <xf numFmtId="4" fontId="14" fillId="5" borderId="0" xfId="1" applyNumberFormat="1" applyFill="1"/>
    <xf numFmtId="4" fontId="14" fillId="0" borderId="54" xfId="1" applyNumberFormat="1" applyBorder="1"/>
    <xf numFmtId="0" fontId="14" fillId="0" borderId="42" xfId="1" applyBorder="1"/>
    <xf numFmtId="166" fontId="14" fillId="0" borderId="42" xfId="1" applyNumberFormat="1" applyBorder="1"/>
    <xf numFmtId="166" fontId="14" fillId="5" borderId="41" xfId="1" applyNumberFormat="1" applyFill="1" applyBorder="1"/>
    <xf numFmtId="4" fontId="14" fillId="5" borderId="54" xfId="1" applyNumberFormat="1" applyFill="1" applyBorder="1"/>
    <xf numFmtId="166" fontId="14" fillId="0" borderId="55" xfId="1" applyNumberFormat="1" applyBorder="1"/>
    <xf numFmtId="4" fontId="14" fillId="0" borderId="43" xfId="1" applyNumberFormat="1" applyBorder="1"/>
    <xf numFmtId="4" fontId="14" fillId="5" borderId="43" xfId="1" applyNumberFormat="1" applyFill="1" applyBorder="1"/>
    <xf numFmtId="4" fontId="14" fillId="0" borderId="56" xfId="1" applyNumberFormat="1" applyBorder="1"/>
    <xf numFmtId="0" fontId="14" fillId="0" borderId="57" xfId="1" applyBorder="1"/>
    <xf numFmtId="0" fontId="14" fillId="0" borderId="45" xfId="1" applyBorder="1"/>
    <xf numFmtId="9" fontId="14" fillId="0" borderId="46" xfId="1" applyNumberFormat="1" applyBorder="1"/>
    <xf numFmtId="0" fontId="1" fillId="4" borderId="58" xfId="0" applyFont="1" applyFill="1" applyBorder="1"/>
    <xf numFmtId="0" fontId="1" fillId="4" borderId="28" xfId="0" applyFont="1" applyFill="1" applyBorder="1"/>
    <xf numFmtId="0" fontId="1" fillId="4" borderId="21" xfId="0" applyFont="1" applyFill="1" applyBorder="1"/>
    <xf numFmtId="0" fontId="0" fillId="0" borderId="21" xfId="0" applyBorder="1"/>
    <xf numFmtId="0" fontId="0" fillId="0" borderId="22" xfId="0" applyBorder="1"/>
    <xf numFmtId="0" fontId="1" fillId="0" borderId="21" xfId="0" applyFont="1" applyBorder="1"/>
    <xf numFmtId="0" fontId="1" fillId="6" borderId="9" xfId="0" applyFont="1" applyFill="1" applyBorder="1" applyAlignment="1">
      <alignment horizontal="right"/>
    </xf>
    <xf numFmtId="0" fontId="1" fillId="6" borderId="10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right"/>
    </xf>
    <xf numFmtId="0" fontId="1" fillId="6" borderId="11" xfId="0" applyFont="1" applyFill="1" applyBorder="1" applyAlignment="1">
      <alignment horizontal="right"/>
    </xf>
    <xf numFmtId="0" fontId="1" fillId="6" borderId="26" xfId="0" applyFont="1" applyFill="1" applyBorder="1"/>
    <xf numFmtId="0" fontId="1" fillId="6" borderId="35" xfId="0" applyFont="1" applyFill="1" applyBorder="1"/>
    <xf numFmtId="0" fontId="1" fillId="6" borderId="0" xfId="0" applyFont="1" applyFill="1"/>
    <xf numFmtId="0" fontId="1" fillId="6" borderId="16" xfId="0" applyFont="1" applyFill="1" applyBorder="1"/>
    <xf numFmtId="0" fontId="1" fillId="6" borderId="4" xfId="0" applyFont="1" applyFill="1" applyBorder="1"/>
    <xf numFmtId="0" fontId="1" fillId="6" borderId="13" xfId="0" applyFont="1" applyFill="1" applyBorder="1"/>
    <xf numFmtId="0" fontId="1" fillId="6" borderId="26" xfId="0" applyFont="1" applyFill="1" applyBorder="1" applyAlignment="1">
      <alignment horizontal="right"/>
    </xf>
    <xf numFmtId="0" fontId="1" fillId="6" borderId="24" xfId="0" applyFont="1" applyFill="1" applyBorder="1" applyAlignment="1">
      <alignment horizontal="right"/>
    </xf>
    <xf numFmtId="0" fontId="1" fillId="6" borderId="25" xfId="0" applyFont="1" applyFill="1" applyBorder="1" applyAlignment="1">
      <alignment horizontal="right"/>
    </xf>
    <xf numFmtId="0" fontId="1" fillId="6" borderId="27" xfId="0" applyFont="1" applyFill="1" applyBorder="1" applyAlignment="1">
      <alignment horizontal="right"/>
    </xf>
    <xf numFmtId="164" fontId="11" fillId="0" borderId="0" xfId="0" applyNumberFormat="1" applyFont="1"/>
    <xf numFmtId="0" fontId="0" fillId="4" borderId="12" xfId="0" applyFill="1" applyBorder="1"/>
    <xf numFmtId="0" fontId="1" fillId="4" borderId="12" xfId="0" applyFont="1" applyFill="1" applyBorder="1"/>
    <xf numFmtId="166" fontId="5" fillId="4" borderId="12" xfId="0" applyNumberFormat="1" applyFont="1" applyFill="1" applyBorder="1"/>
    <xf numFmtId="0" fontId="3" fillId="4" borderId="12" xfId="0" applyFont="1" applyFill="1" applyBorder="1"/>
    <xf numFmtId="0" fontId="0" fillId="4" borderId="22" xfId="0" applyFill="1" applyBorder="1"/>
    <xf numFmtId="0" fontId="1" fillId="0" borderId="21" xfId="0" applyFont="1" applyBorder="1" applyAlignment="1">
      <alignment horizontal="left" indent="1"/>
    </xf>
    <xf numFmtId="10" fontId="3" fillId="0" borderId="0" xfId="0" applyNumberFormat="1" applyFont="1"/>
    <xf numFmtId="9" fontId="2" fillId="4" borderId="12" xfId="0" applyNumberFormat="1" applyFont="1" applyFill="1" applyBorder="1"/>
    <xf numFmtId="9" fontId="2" fillId="0" borderId="0" xfId="0" applyNumberFormat="1" applyFont="1" applyAlignment="1">
      <alignment horizontal="right"/>
    </xf>
    <xf numFmtId="9" fontId="2" fillId="0" borderId="4" xfId="0" applyNumberFormat="1" applyFont="1" applyBorder="1" applyAlignment="1">
      <alignment horizontal="right"/>
    </xf>
    <xf numFmtId="9" fontId="2" fillId="0" borderId="13" xfId="0" applyNumberFormat="1" applyFont="1" applyBorder="1" applyAlignment="1">
      <alignment horizontal="right"/>
    </xf>
    <xf numFmtId="9" fontId="2" fillId="0" borderId="0" xfId="0" applyNumberFormat="1" applyFont="1"/>
    <xf numFmtId="9" fontId="2" fillId="4" borderId="14" xfId="0" applyNumberFormat="1" applyFont="1" applyFill="1" applyBorder="1"/>
    <xf numFmtId="9" fontId="2" fillId="0" borderId="7" xfId="0" applyNumberFormat="1" applyFont="1" applyBorder="1" applyAlignment="1">
      <alignment horizontal="right"/>
    </xf>
    <xf numFmtId="9" fontId="2" fillId="0" borderId="5" xfId="0" applyNumberFormat="1" applyFont="1" applyBorder="1" applyAlignment="1">
      <alignment horizontal="right"/>
    </xf>
    <xf numFmtId="9" fontId="2" fillId="0" borderId="15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6" fontId="2" fillId="0" borderId="7" xfId="0" applyNumberFormat="1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166" fontId="2" fillId="0" borderId="5" xfId="0" applyNumberFormat="1" applyFont="1" applyBorder="1" applyAlignment="1">
      <alignment horizontal="right"/>
    </xf>
    <xf numFmtId="0" fontId="1" fillId="4" borderId="8" xfId="0" applyFont="1" applyFill="1" applyBorder="1"/>
    <xf numFmtId="165" fontId="1" fillId="0" borderId="9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0" fontId="3" fillId="0" borderId="1" xfId="0" applyNumberFormat="1" applyFont="1" applyBorder="1"/>
    <xf numFmtId="10" fontId="3" fillId="0" borderId="2" xfId="0" applyNumberFormat="1" applyFont="1" applyBorder="1"/>
    <xf numFmtId="10" fontId="3" fillId="2" borderId="21" xfId="0" applyNumberFormat="1" applyFont="1" applyFill="1" applyBorder="1"/>
    <xf numFmtId="10" fontId="3" fillId="0" borderId="13" xfId="0" applyNumberFormat="1" applyFont="1" applyBorder="1"/>
    <xf numFmtId="4" fontId="6" fillId="0" borderId="0" xfId="0" applyNumberFormat="1" applyFont="1" applyAlignment="1">
      <alignment horizontal="right"/>
    </xf>
    <xf numFmtId="165" fontId="20" fillId="0" borderId="1" xfId="0" applyNumberFormat="1" applyFont="1" applyBorder="1"/>
    <xf numFmtId="165" fontId="20" fillId="0" borderId="0" xfId="0" applyNumberFormat="1" applyFont="1"/>
    <xf numFmtId="9" fontId="22" fillId="0" borderId="1" xfId="0" applyNumberFormat="1" applyFont="1" applyBorder="1"/>
    <xf numFmtId="9" fontId="22" fillId="0" borderId="2" xfId="0" applyNumberFormat="1" applyFont="1" applyBorder="1"/>
    <xf numFmtId="9" fontId="22" fillId="0" borderId="0" xfId="0" applyNumberFormat="1" applyFont="1"/>
    <xf numFmtId="9" fontId="22" fillId="0" borderId="13" xfId="0" applyNumberFormat="1" applyFont="1" applyBorder="1"/>
    <xf numFmtId="165" fontId="0" fillId="0" borderId="32" xfId="0" applyNumberFormat="1" applyBorder="1"/>
    <xf numFmtId="165" fontId="0" fillId="0" borderId="33" xfId="0" applyNumberFormat="1" applyBorder="1"/>
    <xf numFmtId="3" fontId="0" fillId="0" borderId="0" xfId="0" applyNumberFormat="1"/>
    <xf numFmtId="4" fontId="1" fillId="0" borderId="0" xfId="0" applyNumberFormat="1" applyFont="1"/>
    <xf numFmtId="4" fontId="1" fillId="4" borderId="21" xfId="0" applyNumberFormat="1" applyFont="1" applyFill="1" applyBorder="1"/>
    <xf numFmtId="4" fontId="1" fillId="0" borderId="13" xfId="0" applyNumberFormat="1" applyFont="1" applyBorder="1"/>
    <xf numFmtId="4" fontId="1" fillId="0" borderId="15" xfId="0" applyNumberFormat="1" applyFont="1" applyBorder="1"/>
    <xf numFmtId="4" fontId="1" fillId="0" borderId="7" xfId="0" applyNumberFormat="1" applyFont="1" applyBorder="1"/>
    <xf numFmtId="164" fontId="1" fillId="0" borderId="13" xfId="0" applyNumberFormat="1" applyFont="1" applyBorder="1"/>
    <xf numFmtId="164" fontId="1" fillId="0" borderId="12" xfId="0" applyNumberFormat="1" applyFont="1" applyBorder="1"/>
    <xf numFmtId="164" fontId="23" fillId="0" borderId="13" xfId="0" applyNumberFormat="1" applyFont="1" applyBorder="1"/>
    <xf numFmtId="9" fontId="3" fillId="4" borderId="21" xfId="0" applyNumberFormat="1" applyFont="1" applyFill="1" applyBorder="1"/>
    <xf numFmtId="9" fontId="24" fillId="0" borderId="0" xfId="0" applyNumberFormat="1" applyFont="1"/>
    <xf numFmtId="165" fontId="1" fillId="0" borderId="33" xfId="0" applyNumberFormat="1" applyFont="1" applyBorder="1"/>
    <xf numFmtId="165" fontId="23" fillId="0" borderId="0" xfId="0" applyNumberFormat="1" applyFont="1"/>
    <xf numFmtId="165" fontId="1" fillId="0" borderId="7" xfId="0" applyNumberFormat="1" applyFont="1" applyBorder="1"/>
    <xf numFmtId="165" fontId="1" fillId="0" borderId="15" xfId="0" applyNumberFormat="1" applyFont="1" applyBorder="1"/>
    <xf numFmtId="165" fontId="12" fillId="0" borderId="0" xfId="0" applyNumberFormat="1" applyFont="1"/>
    <xf numFmtId="165" fontId="0" fillId="0" borderId="16" xfId="0" applyNumberFormat="1" applyBorder="1"/>
    <xf numFmtId="166" fontId="0" fillId="0" borderId="0" xfId="0" applyNumberFormat="1"/>
    <xf numFmtId="165" fontId="11" fillId="0" borderId="0" xfId="0" applyNumberFormat="1" applyFont="1"/>
    <xf numFmtId="165" fontId="1" fillId="0" borderId="16" xfId="0" applyNumberFormat="1" applyFont="1" applyBorder="1"/>
    <xf numFmtId="0" fontId="1" fillId="0" borderId="62" xfId="0" applyFont="1" applyBorder="1"/>
    <xf numFmtId="164" fontId="1" fillId="0" borderId="62" xfId="0" applyNumberFormat="1" applyFont="1" applyBorder="1"/>
    <xf numFmtId="4" fontId="1" fillId="0" borderId="62" xfId="0" applyNumberFormat="1" applyFont="1" applyBorder="1"/>
    <xf numFmtId="0" fontId="1" fillId="4" borderId="63" xfId="0" applyFont="1" applyFill="1" applyBorder="1"/>
    <xf numFmtId="0" fontId="0" fillId="0" borderId="64" xfId="0" applyBorder="1"/>
    <xf numFmtId="165" fontId="1" fillId="0" borderId="64" xfId="0" applyNumberFormat="1" applyFont="1" applyBorder="1"/>
    <xf numFmtId="165" fontId="1" fillId="0" borderId="61" xfId="0" applyNumberFormat="1" applyFont="1" applyBorder="1"/>
    <xf numFmtId="0" fontId="1" fillId="2" borderId="23" xfId="0" applyFont="1" applyFill="1" applyBorder="1"/>
    <xf numFmtId="164" fontId="23" fillId="0" borderId="0" xfId="0" applyNumberFormat="1" applyFont="1"/>
    <xf numFmtId="2" fontId="0" fillId="0" borderId="0" xfId="0" applyNumberFormat="1"/>
    <xf numFmtId="4" fontId="23" fillId="0" borderId="0" xfId="0" applyNumberFormat="1" applyFont="1"/>
    <xf numFmtId="165" fontId="0" fillId="0" borderId="21" xfId="0" applyNumberFormat="1" applyBorder="1"/>
    <xf numFmtId="165" fontId="11" fillId="0" borderId="60" xfId="0" applyNumberFormat="1" applyFont="1" applyBorder="1"/>
    <xf numFmtId="165" fontId="11" fillId="0" borderId="13" xfId="0" applyNumberFormat="1" applyFont="1" applyBorder="1"/>
    <xf numFmtId="165" fontId="11" fillId="0" borderId="59" xfId="0" applyNumberFormat="1" applyFont="1" applyBorder="1"/>
    <xf numFmtId="165" fontId="11" fillId="0" borderId="7" xfId="0" applyNumberFormat="1" applyFont="1" applyBorder="1"/>
    <xf numFmtId="165" fontId="11" fillId="0" borderId="15" xfId="0" applyNumberFormat="1" applyFont="1" applyBorder="1"/>
    <xf numFmtId="165" fontId="0" fillId="2" borderId="21" xfId="0" applyNumberFormat="1" applyFill="1" applyBorder="1"/>
    <xf numFmtId="165" fontId="1" fillId="2" borderId="21" xfId="0" applyNumberFormat="1" applyFont="1" applyFill="1" applyBorder="1"/>
    <xf numFmtId="165" fontId="1" fillId="2" borderId="22" xfId="0" applyNumberFormat="1" applyFont="1" applyFill="1" applyBorder="1"/>
    <xf numFmtId="165" fontId="1" fillId="0" borderId="17" xfId="0" applyNumberFormat="1" applyFont="1" applyBorder="1"/>
    <xf numFmtId="165" fontId="1" fillId="0" borderId="6" xfId="0" applyNumberFormat="1" applyFont="1" applyBorder="1"/>
    <xf numFmtId="165" fontId="1" fillId="0" borderId="31" xfId="0" applyNumberFormat="1" applyFont="1" applyBorder="1"/>
    <xf numFmtId="165" fontId="1" fillId="0" borderId="18" xfId="0" applyNumberFormat="1" applyFont="1" applyBorder="1"/>
    <xf numFmtId="165" fontId="0" fillId="2" borderId="29" xfId="0" applyNumberFormat="1" applyFill="1" applyBorder="1"/>
    <xf numFmtId="165" fontId="0" fillId="0" borderId="30" xfId="0" applyNumberFormat="1" applyBorder="1"/>
    <xf numFmtId="165" fontId="0" fillId="4" borderId="21" xfId="0" applyNumberFormat="1" applyFill="1" applyBorder="1"/>
    <xf numFmtId="165" fontId="0" fillId="2" borderId="12" xfId="0" applyNumberFormat="1" applyFill="1" applyBorder="1"/>
    <xf numFmtId="165" fontId="1" fillId="2" borderId="12" xfId="0" applyNumberFormat="1" applyFont="1" applyFill="1" applyBorder="1"/>
    <xf numFmtId="165" fontId="1" fillId="0" borderId="4" xfId="0" applyNumberFormat="1" applyFont="1" applyBorder="1"/>
    <xf numFmtId="165" fontId="1" fillId="2" borderId="14" xfId="0" applyNumberFormat="1" applyFont="1" applyFill="1" applyBorder="1"/>
    <xf numFmtId="165" fontId="1" fillId="0" borderId="5" xfId="0" applyNumberFormat="1" applyFont="1" applyBorder="1"/>
    <xf numFmtId="4" fontId="3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69" fontId="0" fillId="0" borderId="0" xfId="0" applyNumberFormat="1"/>
    <xf numFmtId="165" fontId="6" fillId="0" borderId="4" xfId="0" applyNumberFormat="1" applyFont="1" applyBorder="1" applyAlignment="1">
      <alignment horizontal="right"/>
    </xf>
    <xf numFmtId="3" fontId="0" fillId="3" borderId="0" xfId="0" applyNumberFormat="1" applyFill="1" applyAlignment="1">
      <alignment horizontal="right"/>
    </xf>
    <xf numFmtId="169" fontId="0" fillId="7" borderId="0" xfId="0" applyNumberFormat="1" applyFill="1"/>
    <xf numFmtId="10" fontId="6" fillId="0" borderId="0" xfId="0" applyNumberFormat="1" applyFont="1" applyAlignment="1">
      <alignment horizontal="right"/>
    </xf>
    <xf numFmtId="170" fontId="0" fillId="0" borderId="0" xfId="0" applyNumberFormat="1"/>
    <xf numFmtId="4" fontId="7" fillId="0" borderId="0" xfId="0" applyNumberFormat="1" applyFont="1" applyAlignment="1">
      <alignment horizontal="right"/>
    </xf>
    <xf numFmtId="9" fontId="9" fillId="0" borderId="0" xfId="0" applyNumberFormat="1" applyFont="1"/>
    <xf numFmtId="9" fontId="4" fillId="2" borderId="21" xfId="0" applyNumberFormat="1" applyFont="1" applyFill="1" applyBorder="1"/>
    <xf numFmtId="4" fontId="0" fillId="3" borderId="0" xfId="0" applyNumberFormat="1" applyFill="1" applyAlignment="1">
      <alignment horizontal="right"/>
    </xf>
    <xf numFmtId="4" fontId="0" fillId="0" borderId="0" xfId="0" applyNumberFormat="1" applyAlignment="1">
      <alignment vertical="center" wrapText="1"/>
    </xf>
    <xf numFmtId="0" fontId="16" fillId="5" borderId="50" xfId="1" applyFont="1" applyFill="1" applyBorder="1" applyAlignment="1">
      <alignment horizontal="center"/>
    </xf>
    <xf numFmtId="0" fontId="19" fillId="0" borderId="51" xfId="1" applyFont="1" applyBorder="1"/>
  </cellXfs>
  <cellStyles count="2">
    <cellStyle name="Normal" xfId="0" builtinId="0"/>
    <cellStyle name="Normal 2" xfId="1" xr:uid="{18166892-0DA2-45F3-A226-D09A6FAC6D8F}"/>
  </cellStyles>
  <dxfs count="0"/>
  <tableStyles count="0" defaultTableStyle="TableStyleMedium2" defaultPivotStyle="PivotStyleLight16"/>
  <colors>
    <mruColors>
      <color rgb="FFF4B084"/>
      <color rgb="FFC65911"/>
      <color rgb="FFEAF1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Field'!$B$1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'Football Field'!$A$2:$A$7</c:f>
              <c:strCache>
                <c:ptCount val="6"/>
                <c:pt idx="0">
                  <c:v>DCF – Bear</c:v>
                </c:pt>
                <c:pt idx="1">
                  <c:v>DCF – Base</c:v>
                </c:pt>
                <c:pt idx="2">
                  <c:v>EV/EBITDA Multiple</c:v>
                </c:pt>
                <c:pt idx="3">
                  <c:v>EV/EBIT Multiple</c:v>
                </c:pt>
                <c:pt idx="4">
                  <c:v>P/E Multiple</c:v>
                </c:pt>
                <c:pt idx="5">
                  <c:v>Current Price (CMP)</c:v>
                </c:pt>
              </c:strCache>
            </c:strRef>
          </c:cat>
          <c:val>
            <c:numRef>
              <c:f>'Football Field'!$B$2:$B$7</c:f>
              <c:numCache>
                <c:formatCode>General</c:formatCode>
                <c:ptCount val="6"/>
                <c:pt idx="0">
                  <c:v>32</c:v>
                </c:pt>
                <c:pt idx="1">
                  <c:v>36</c:v>
                </c:pt>
                <c:pt idx="2">
                  <c:v>37</c:v>
                </c:pt>
                <c:pt idx="3">
                  <c:v>35</c:v>
                </c:pt>
                <c:pt idx="4">
                  <c:v>34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5-4544-AD2D-02B679D594C4}"/>
            </c:ext>
          </c:extLst>
        </c:ser>
        <c:ser>
          <c:idx val="1"/>
          <c:order val="1"/>
          <c:tx>
            <c:strRef>
              <c:f>'Football Field'!$C$1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'Football Field'!$A$2:$A$7</c:f>
              <c:strCache>
                <c:ptCount val="6"/>
                <c:pt idx="0">
                  <c:v>DCF – Bear</c:v>
                </c:pt>
                <c:pt idx="1">
                  <c:v>DCF – Base</c:v>
                </c:pt>
                <c:pt idx="2">
                  <c:v>EV/EBITDA Multiple</c:v>
                </c:pt>
                <c:pt idx="3">
                  <c:v>EV/EBIT Multiple</c:v>
                </c:pt>
                <c:pt idx="4">
                  <c:v>P/E Multiple</c:v>
                </c:pt>
                <c:pt idx="5">
                  <c:v>Current Price (CMP)</c:v>
                </c:pt>
              </c:strCache>
            </c:strRef>
          </c:cat>
          <c:val>
            <c:numRef>
              <c:f>'Football Field'!$C$2:$C$7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5-4544-AD2D-02B679D59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4684720"/>
        <c:axId val="314685200"/>
      </c:barChart>
      <c:catAx>
        <c:axId val="31468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85200"/>
        <c:crosses val="autoZero"/>
        <c:auto val="1"/>
        <c:lblAlgn val="ctr"/>
        <c:lblOffset val="100"/>
        <c:noMultiLvlLbl val="0"/>
      </c:catAx>
      <c:valAx>
        <c:axId val="314685200"/>
        <c:scaling>
          <c:orientation val="minMax"/>
          <c:min val="3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8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5</xdr:row>
      <xdr:rowOff>41910</xdr:rowOff>
    </xdr:from>
    <xdr:to>
      <xdr:col>14</xdr:col>
      <xdr:colOff>350520</xdr:colOff>
      <xdr:row>19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9E40E-A94E-BA26-C8EC-12F275C1C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BEF4-0138-45C2-8EBF-413425CE1F70}">
  <dimension ref="A2:D26"/>
  <sheetViews>
    <sheetView showGridLines="0" workbookViewId="0">
      <selection activeCell="C22" sqref="C22"/>
    </sheetView>
  </sheetViews>
  <sheetFormatPr defaultRowHeight="14.4" x14ac:dyDescent="0.3"/>
  <cols>
    <col min="3" max="3" width="255.77734375" bestFit="1" customWidth="1"/>
  </cols>
  <sheetData>
    <row r="2" spans="1:3" x14ac:dyDescent="0.3">
      <c r="B2" t="s">
        <v>297</v>
      </c>
      <c r="C2">
        <v>1724</v>
      </c>
    </row>
    <row r="3" spans="1:3" x14ac:dyDescent="0.3">
      <c r="B3" t="s">
        <v>299</v>
      </c>
      <c r="C3" t="s">
        <v>318</v>
      </c>
    </row>
    <row r="4" spans="1:3" x14ac:dyDescent="0.3">
      <c r="B4" t="s">
        <v>300</v>
      </c>
      <c r="C4" t="s">
        <v>41</v>
      </c>
    </row>
    <row r="5" spans="1:3" x14ac:dyDescent="0.3">
      <c r="C5" t="s">
        <v>298</v>
      </c>
    </row>
    <row r="6" spans="1:3" x14ac:dyDescent="0.3">
      <c r="C6" t="s">
        <v>51</v>
      </c>
    </row>
    <row r="7" spans="1:3" x14ac:dyDescent="0.3">
      <c r="B7" t="s">
        <v>301</v>
      </c>
    </row>
    <row r="8" spans="1:3" x14ac:dyDescent="0.3">
      <c r="B8" t="s">
        <v>302</v>
      </c>
    </row>
    <row r="9" spans="1:3" x14ac:dyDescent="0.3">
      <c r="B9" t="s">
        <v>303</v>
      </c>
    </row>
    <row r="12" spans="1:3" x14ac:dyDescent="0.3">
      <c r="C12" t="s">
        <v>304</v>
      </c>
    </row>
    <row r="14" spans="1:3" x14ac:dyDescent="0.3">
      <c r="A14" s="3"/>
      <c r="B14" s="3" t="s">
        <v>319</v>
      </c>
      <c r="C14" t="s">
        <v>305</v>
      </c>
    </row>
    <row r="15" spans="1:3" x14ac:dyDescent="0.3">
      <c r="B15" s="3" t="s">
        <v>298</v>
      </c>
      <c r="C15" t="s">
        <v>306</v>
      </c>
    </row>
    <row r="16" spans="1:3" x14ac:dyDescent="0.3">
      <c r="C16" t="s">
        <v>308</v>
      </c>
    </row>
    <row r="17" spans="2:4" x14ac:dyDescent="0.3">
      <c r="C17" t="s">
        <v>307</v>
      </c>
      <c r="D17" t="s">
        <v>309</v>
      </c>
    </row>
    <row r="18" spans="2:4" x14ac:dyDescent="0.3">
      <c r="C18" t="s">
        <v>310</v>
      </c>
    </row>
    <row r="19" spans="2:4" x14ac:dyDescent="0.3">
      <c r="C19" t="s">
        <v>311</v>
      </c>
    </row>
    <row r="20" spans="2:4" x14ac:dyDescent="0.3">
      <c r="C20" t="s">
        <v>312</v>
      </c>
    </row>
    <row r="21" spans="2:4" x14ac:dyDescent="0.3">
      <c r="C21" t="s">
        <v>313</v>
      </c>
    </row>
    <row r="22" spans="2:4" x14ac:dyDescent="0.3">
      <c r="C22" t="s">
        <v>314</v>
      </c>
    </row>
    <row r="23" spans="2:4" x14ac:dyDescent="0.3">
      <c r="C23" t="s">
        <v>315</v>
      </c>
    </row>
    <row r="24" spans="2:4" x14ac:dyDescent="0.3">
      <c r="C24" t="s">
        <v>316</v>
      </c>
    </row>
    <row r="25" spans="2:4" x14ac:dyDescent="0.3">
      <c r="C25" t="s">
        <v>317</v>
      </c>
    </row>
    <row r="26" spans="2:4" x14ac:dyDescent="0.3">
      <c r="B26" s="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DBF8-1F1D-4306-9B93-565CE6B6BE5D}">
  <dimension ref="B1:AI75"/>
  <sheetViews>
    <sheetView showGridLines="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5" sqref="AA25"/>
    </sheetView>
  </sheetViews>
  <sheetFormatPr defaultRowHeight="14.4" x14ac:dyDescent="0.3"/>
  <cols>
    <col min="1" max="1" width="2.33203125" customWidth="1"/>
    <col min="2" max="2" width="25.5546875" customWidth="1"/>
    <col min="15" max="15" width="8.33203125" customWidth="1"/>
    <col min="18" max="18" width="8.33203125" customWidth="1"/>
    <col min="21" max="21" width="8.33203125" customWidth="1"/>
  </cols>
  <sheetData>
    <row r="1" spans="2:35" ht="15" thickBot="1" x14ac:dyDescent="0.35"/>
    <row r="2" spans="2:35" x14ac:dyDescent="0.3">
      <c r="B2" s="71" t="s">
        <v>25</v>
      </c>
      <c r="C2" s="77" t="s">
        <v>29</v>
      </c>
      <c r="D2" s="78" t="s">
        <v>30</v>
      </c>
      <c r="E2" s="79" t="s">
        <v>0</v>
      </c>
      <c r="F2" s="80" t="s">
        <v>31</v>
      </c>
      <c r="G2" s="78" t="s">
        <v>32</v>
      </c>
      <c r="H2" s="79" t="s">
        <v>1</v>
      </c>
      <c r="I2" s="80" t="s">
        <v>33</v>
      </c>
      <c r="J2" s="78" t="s">
        <v>34</v>
      </c>
      <c r="K2" s="79" t="s">
        <v>2</v>
      </c>
      <c r="L2" s="80" t="s">
        <v>35</v>
      </c>
      <c r="M2" s="78" t="s">
        <v>36</v>
      </c>
      <c r="N2" s="79" t="s">
        <v>3</v>
      </c>
      <c r="O2" s="80" t="s">
        <v>37</v>
      </c>
      <c r="P2" s="78" t="s">
        <v>38</v>
      </c>
      <c r="Q2" s="79" t="s">
        <v>39</v>
      </c>
      <c r="R2" s="80" t="s">
        <v>59</v>
      </c>
      <c r="S2" s="78" t="s">
        <v>60</v>
      </c>
      <c r="T2" s="79" t="s">
        <v>61</v>
      </c>
      <c r="U2" s="80" t="s">
        <v>62</v>
      </c>
      <c r="V2" s="176" t="s">
        <v>63</v>
      </c>
      <c r="W2" s="177" t="s">
        <v>64</v>
      </c>
      <c r="X2" s="175" t="s">
        <v>65</v>
      </c>
      <c r="Y2" s="176" t="s">
        <v>66</v>
      </c>
      <c r="Z2" s="177" t="s">
        <v>67</v>
      </c>
      <c r="AA2" s="175" t="s">
        <v>68</v>
      </c>
      <c r="AB2" s="176" t="s">
        <v>69</v>
      </c>
      <c r="AC2" s="177" t="s">
        <v>70</v>
      </c>
      <c r="AD2" s="175" t="s">
        <v>71</v>
      </c>
      <c r="AE2" s="176" t="s">
        <v>72</v>
      </c>
      <c r="AF2" s="177" t="s">
        <v>73</v>
      </c>
      <c r="AG2" s="175" t="s">
        <v>74</v>
      </c>
      <c r="AH2" s="176" t="s">
        <v>75</v>
      </c>
      <c r="AI2" s="178" t="s">
        <v>76</v>
      </c>
    </row>
    <row r="3" spans="2:35" x14ac:dyDescent="0.3">
      <c r="B3" s="190"/>
      <c r="E3" s="19"/>
      <c r="H3" s="19"/>
      <c r="K3" s="19"/>
      <c r="N3" s="19"/>
      <c r="Q3" s="19"/>
      <c r="T3" s="19"/>
      <c r="W3" s="19"/>
      <c r="Z3" s="19"/>
      <c r="AC3" s="19"/>
      <c r="AF3" s="19"/>
      <c r="AI3" s="23"/>
    </row>
    <row r="4" spans="2:35" x14ac:dyDescent="0.3">
      <c r="B4" s="191" t="s">
        <v>41</v>
      </c>
      <c r="E4" s="19"/>
      <c r="H4" s="19"/>
      <c r="K4" s="19"/>
      <c r="N4" s="19"/>
      <c r="Q4" s="19"/>
      <c r="T4" s="19"/>
      <c r="W4" s="19"/>
      <c r="Z4" s="19"/>
      <c r="AC4" s="19"/>
      <c r="AF4" s="19"/>
      <c r="AI4" s="23"/>
    </row>
    <row r="5" spans="2:35" x14ac:dyDescent="0.3">
      <c r="B5" s="190" t="s">
        <v>42</v>
      </c>
      <c r="C5" s="30">
        <v>367.2</v>
      </c>
      <c r="D5" s="30">
        <v>349.5</v>
      </c>
      <c r="E5" s="31">
        <v>716.6</v>
      </c>
      <c r="F5" s="30">
        <v>310.89999999999998</v>
      </c>
      <c r="G5" s="30">
        <v>451.9</v>
      </c>
      <c r="H5" s="31">
        <v>762.8</v>
      </c>
      <c r="I5" s="30">
        <v>473.9</v>
      </c>
      <c r="J5" s="30">
        <v>454.3</v>
      </c>
      <c r="K5" s="31">
        <v>928.2</v>
      </c>
      <c r="L5" s="30">
        <v>568.70000000000005</v>
      </c>
      <c r="M5" s="30">
        <v>451.6</v>
      </c>
      <c r="N5" s="31">
        <v>1020.3</v>
      </c>
      <c r="O5" s="30">
        <v>445.8</v>
      </c>
      <c r="P5" s="30">
        <v>378.1</v>
      </c>
      <c r="Q5" s="31">
        <v>823.9</v>
      </c>
      <c r="R5" s="30">
        <v>343</v>
      </c>
      <c r="S5" s="30">
        <v>265</v>
      </c>
      <c r="T5" s="31">
        <v>608</v>
      </c>
      <c r="U5" s="30">
        <v>315.39999999999998</v>
      </c>
      <c r="V5" s="32">
        <f>S16*(1+V7)</f>
        <v>302.73600000000005</v>
      </c>
      <c r="W5" s="33">
        <f>U5+V5</f>
        <v>618.13599999999997</v>
      </c>
      <c r="X5" s="32">
        <f t="shared" ref="X5:Y5" si="0">U16*(1+X7)</f>
        <v>312.20800000000003</v>
      </c>
      <c r="Y5" s="32">
        <f t="shared" si="0"/>
        <v>314.84544000000005</v>
      </c>
      <c r="Z5" s="33">
        <f>X5+Y5</f>
        <v>627.05344000000014</v>
      </c>
      <c r="AA5" s="32">
        <f t="shared" ref="AA5" si="1">X16*(1+AA7)</f>
        <v>324.69632000000001</v>
      </c>
      <c r="AB5" s="32">
        <f t="shared" ref="AB5" si="2">Y16*(1+AB7)</f>
        <v>327.43925760000008</v>
      </c>
      <c r="AC5" s="33">
        <f>AA5+AB5</f>
        <v>652.13557760000003</v>
      </c>
      <c r="AD5" s="32">
        <f t="shared" ref="AD5" si="3">AA16*(1+AD7)</f>
        <v>337.6841728</v>
      </c>
      <c r="AE5" s="32">
        <f t="shared" ref="AE5" si="4">AB16*(1+AE7)</f>
        <v>340.53682790400006</v>
      </c>
      <c r="AF5" s="33">
        <f>AD5+AE5</f>
        <v>678.22100070400006</v>
      </c>
      <c r="AG5" s="32">
        <f t="shared" ref="AG5" si="5">AD16*(1+AG7)</f>
        <v>351.19153971200001</v>
      </c>
      <c r="AH5" s="32">
        <f t="shared" ref="AH5" si="6">AE16*(1+AH7)</f>
        <v>354.15830102016008</v>
      </c>
      <c r="AI5" s="34">
        <f>AG5+AH5</f>
        <v>705.34984073216015</v>
      </c>
    </row>
    <row r="6" spans="2:35" x14ac:dyDescent="0.3">
      <c r="B6" s="190"/>
      <c r="C6" s="30"/>
      <c r="D6" s="30"/>
      <c r="E6" s="31"/>
      <c r="F6" s="30"/>
      <c r="G6" s="30"/>
      <c r="H6" s="31"/>
      <c r="I6" s="30"/>
      <c r="J6" s="30"/>
      <c r="K6" s="31"/>
      <c r="L6" s="30"/>
      <c r="M6" s="30"/>
      <c r="N6" s="31"/>
      <c r="O6" s="30"/>
      <c r="P6" s="30"/>
      <c r="Q6" s="31"/>
      <c r="R6" s="30"/>
      <c r="S6" s="30"/>
      <c r="T6" s="31"/>
      <c r="U6" s="290">
        <f>U10+U8</f>
        <v>-26.295500000000004</v>
      </c>
      <c r="V6" s="32"/>
      <c r="W6" s="33"/>
      <c r="X6" s="32"/>
      <c r="Y6" s="32"/>
      <c r="Z6" s="33"/>
      <c r="AA6" s="32"/>
      <c r="AB6" s="32"/>
      <c r="AC6" s="33"/>
      <c r="AD6" s="32"/>
      <c r="AE6" s="32"/>
      <c r="AF6" s="33"/>
      <c r="AG6" s="32"/>
      <c r="AH6" s="32"/>
      <c r="AI6" s="34"/>
    </row>
    <row r="7" spans="2:35" s="22" customFormat="1" x14ac:dyDescent="0.3">
      <c r="B7" s="192" t="s">
        <v>45</v>
      </c>
      <c r="C7" s="35"/>
      <c r="D7" s="35"/>
      <c r="E7" s="36"/>
      <c r="F7" s="35">
        <f t="shared" ref="F7:T7" si="7">F5/C16-1</f>
        <v>-0.18097997892518436</v>
      </c>
      <c r="G7" s="35">
        <f t="shared" si="7"/>
        <v>0.26973869064343914</v>
      </c>
      <c r="H7" s="36">
        <f t="shared" si="7"/>
        <v>3.7258634756595077E-2</v>
      </c>
      <c r="I7" s="35">
        <f t="shared" si="7"/>
        <v>0.55173542894564509</v>
      </c>
      <c r="J7" s="35">
        <f t="shared" si="7"/>
        <v>5.7495344506517831E-2</v>
      </c>
      <c r="K7" s="36">
        <f t="shared" si="7"/>
        <v>0.26285714285714312</v>
      </c>
      <c r="L7" s="35">
        <f t="shared" si="7"/>
        <v>0.22406371071889808</v>
      </c>
      <c r="M7" s="35">
        <f t="shared" si="7"/>
        <v>-6.6363448418441107E-2</v>
      </c>
      <c r="N7" s="36">
        <f t="shared" si="7"/>
        <v>7.5925340082252379E-2</v>
      </c>
      <c r="O7" s="35">
        <f t="shared" si="7"/>
        <v>-0.30136342266102489</v>
      </c>
      <c r="P7" s="35">
        <f t="shared" si="7"/>
        <v>-0.18142455076856467</v>
      </c>
      <c r="Q7" s="36">
        <f t="shared" si="7"/>
        <v>-0.251</v>
      </c>
      <c r="R7" s="35">
        <f t="shared" si="7"/>
        <v>-0.17567892333573665</v>
      </c>
      <c r="S7" s="35">
        <f t="shared" si="7"/>
        <v>-0.26916712630998352</v>
      </c>
      <c r="T7" s="36">
        <f t="shared" si="7"/>
        <v>-0.21911122527613669</v>
      </c>
      <c r="U7" s="35">
        <f>U5/R16-1</f>
        <v>-7.6427525622254855E-2</v>
      </c>
      <c r="V7" s="37">
        <v>0.12</v>
      </c>
      <c r="W7" s="36">
        <f t="shared" ref="W7" si="8">W5/T16-1</f>
        <v>1.0521497466078111E-2</v>
      </c>
      <c r="X7" s="37">
        <v>0.04</v>
      </c>
      <c r="Y7" s="37">
        <v>0.04</v>
      </c>
      <c r="Z7" s="36">
        <f t="shared" ref="Z7" si="9">Z5/W16-1</f>
        <v>4.0000000000000258E-2</v>
      </c>
      <c r="AA7" s="37">
        <v>0.04</v>
      </c>
      <c r="AB7" s="37">
        <v>0.04</v>
      </c>
      <c r="AC7" s="36">
        <f t="shared" ref="AC7" si="10">AC5/Z16-1</f>
        <v>3.9999999999999813E-2</v>
      </c>
      <c r="AD7" s="37">
        <v>0.04</v>
      </c>
      <c r="AE7" s="37">
        <v>0.04</v>
      </c>
      <c r="AF7" s="36">
        <f t="shared" ref="AF7" si="11">AF5/AC16-1</f>
        <v>4.0000000000000036E-2</v>
      </c>
      <c r="AG7" s="37">
        <v>0.04</v>
      </c>
      <c r="AH7" s="37">
        <v>0.04</v>
      </c>
      <c r="AI7" s="38">
        <f t="shared" ref="AI7" si="12">AI5/AF16-1</f>
        <v>4.0000000000000036E-2</v>
      </c>
    </row>
    <row r="8" spans="2:35" s="22" customFormat="1" x14ac:dyDescent="0.3">
      <c r="B8" s="192" t="s">
        <v>321</v>
      </c>
      <c r="C8" s="35"/>
      <c r="D8" s="35"/>
      <c r="E8" s="36"/>
      <c r="F8" s="35"/>
      <c r="G8" s="35"/>
      <c r="H8" s="36"/>
      <c r="I8" s="35"/>
      <c r="J8" s="35"/>
      <c r="K8" s="36"/>
      <c r="L8" s="35"/>
      <c r="M8" s="35"/>
      <c r="N8" s="36"/>
      <c r="O8" s="35"/>
      <c r="P8" s="35"/>
      <c r="Q8" s="36"/>
      <c r="R8" s="35"/>
      <c r="S8" s="35"/>
      <c r="T8" s="36"/>
      <c r="U8" s="218">
        <f>U9*R16</f>
        <v>2.3904999999999998</v>
      </c>
      <c r="V8" s="37"/>
      <c r="W8" s="36"/>
      <c r="X8" s="37"/>
      <c r="Y8" s="37"/>
      <c r="Z8" s="36"/>
      <c r="AA8" s="37"/>
      <c r="AB8" s="37"/>
      <c r="AC8" s="36"/>
      <c r="AD8" s="37"/>
      <c r="AE8" s="37"/>
      <c r="AF8" s="36"/>
      <c r="AG8" s="37"/>
      <c r="AH8" s="37"/>
      <c r="AI8" s="38"/>
    </row>
    <row r="9" spans="2:35" s="22" customFormat="1" x14ac:dyDescent="0.3">
      <c r="B9" s="192" t="s">
        <v>322</v>
      </c>
      <c r="C9" s="35"/>
      <c r="D9" s="35"/>
      <c r="E9" s="36"/>
      <c r="F9" s="35"/>
      <c r="G9" s="35"/>
      <c r="H9" s="36"/>
      <c r="I9" s="35"/>
      <c r="J9" s="35"/>
      <c r="K9" s="36"/>
      <c r="L9" s="35"/>
      <c r="M9" s="35"/>
      <c r="N9" s="36"/>
      <c r="O9" s="35"/>
      <c r="P9" s="35"/>
      <c r="Q9" s="36"/>
      <c r="R9" s="35"/>
      <c r="S9" s="35"/>
      <c r="T9" s="36">
        <v>-0.156</v>
      </c>
      <c r="U9" s="288">
        <v>7.0000000000000001E-3</v>
      </c>
      <c r="V9" s="37"/>
      <c r="W9" s="36"/>
      <c r="X9" s="37"/>
      <c r="Y9" s="37"/>
      <c r="Z9" s="36"/>
      <c r="AA9" s="37"/>
      <c r="AB9" s="37"/>
      <c r="AC9" s="36"/>
      <c r="AD9" s="37"/>
      <c r="AE9" s="37"/>
      <c r="AF9" s="36"/>
      <c r="AG9" s="37"/>
      <c r="AH9" s="37"/>
      <c r="AI9" s="38"/>
    </row>
    <row r="10" spans="2:35" s="22" customFormat="1" x14ac:dyDescent="0.3">
      <c r="B10" s="192" t="s">
        <v>323</v>
      </c>
      <c r="C10" s="35"/>
      <c r="D10" s="35"/>
      <c r="E10" s="36"/>
      <c r="F10" s="35"/>
      <c r="G10" s="35"/>
      <c r="H10" s="36"/>
      <c r="I10" s="35"/>
      <c r="J10" s="35"/>
      <c r="K10" s="36"/>
      <c r="L10" s="35"/>
      <c r="M10" s="35"/>
      <c r="N10" s="36"/>
      <c r="O10" s="35"/>
      <c r="P10" s="35"/>
      <c r="Q10" s="36"/>
      <c r="R10" s="35"/>
      <c r="S10" s="35"/>
      <c r="T10" s="36"/>
      <c r="U10" s="218">
        <f>U11*R16</f>
        <v>-28.686000000000003</v>
      </c>
      <c r="V10" s="37"/>
      <c r="W10" s="36"/>
      <c r="X10" s="37"/>
      <c r="Y10" s="37"/>
      <c r="Z10" s="36"/>
      <c r="AA10" s="37"/>
      <c r="AB10" s="37"/>
      <c r="AC10" s="36"/>
      <c r="AD10" s="37"/>
      <c r="AE10" s="37"/>
      <c r="AF10" s="36"/>
      <c r="AG10" s="37"/>
      <c r="AH10" s="37"/>
      <c r="AI10" s="38"/>
    </row>
    <row r="11" spans="2:35" s="22" customFormat="1" x14ac:dyDescent="0.3">
      <c r="B11" s="192" t="s">
        <v>324</v>
      </c>
      <c r="C11" s="35"/>
      <c r="D11" s="35"/>
      <c r="E11" s="36"/>
      <c r="F11" s="35"/>
      <c r="G11" s="35"/>
      <c r="H11" s="36"/>
      <c r="I11" s="35"/>
      <c r="J11" s="35"/>
      <c r="K11" s="36"/>
      <c r="L11" s="35"/>
      <c r="M11" s="35"/>
      <c r="N11" s="36"/>
      <c r="O11" s="35"/>
      <c r="P11" s="35"/>
      <c r="Q11" s="36"/>
      <c r="R11" s="35"/>
      <c r="S11" s="35"/>
      <c r="T11" s="36">
        <v>-6.3E-2</v>
      </c>
      <c r="U11" s="35">
        <v>-8.4000000000000005E-2</v>
      </c>
      <c r="V11" s="37"/>
      <c r="W11" s="36"/>
      <c r="X11" s="37"/>
      <c r="Y11" s="37"/>
      <c r="Z11" s="36"/>
      <c r="AA11" s="37"/>
      <c r="AB11" s="37"/>
      <c r="AC11" s="36"/>
      <c r="AD11" s="37"/>
      <c r="AE11" s="37"/>
      <c r="AF11" s="36"/>
      <c r="AG11" s="37"/>
      <c r="AH11" s="37"/>
      <c r="AI11" s="38"/>
    </row>
    <row r="12" spans="2:35" x14ac:dyDescent="0.3">
      <c r="B12" s="190" t="s">
        <v>43</v>
      </c>
      <c r="C12" s="30">
        <v>12.4</v>
      </c>
      <c r="D12" s="30">
        <v>6.4</v>
      </c>
      <c r="E12" s="31">
        <v>18.8</v>
      </c>
      <c r="F12" s="30">
        <v>-5.6</v>
      </c>
      <c r="G12" s="30">
        <v>-22.5</v>
      </c>
      <c r="H12" s="31">
        <v>-28.2</v>
      </c>
      <c r="I12" s="30">
        <v>-9.3000000000000007</v>
      </c>
      <c r="J12" s="30">
        <v>29.4</v>
      </c>
      <c r="K12" s="31">
        <v>20.100000000000001</v>
      </c>
      <c r="L12" s="30">
        <v>69.400000000000006</v>
      </c>
      <c r="M12" s="30">
        <v>10.3</v>
      </c>
      <c r="N12" s="31">
        <v>79.7</v>
      </c>
      <c r="O12" s="30">
        <v>-29.7</v>
      </c>
      <c r="P12" s="30">
        <v>-15.5</v>
      </c>
      <c r="Q12" s="31">
        <v>-45.3</v>
      </c>
      <c r="R12" s="30">
        <v>-1.6</v>
      </c>
      <c r="S12" s="30">
        <v>5.3</v>
      </c>
      <c r="T12" s="31">
        <v>3.7</v>
      </c>
      <c r="U12" s="30">
        <v>-15.2</v>
      </c>
      <c r="V12" s="32">
        <f>V13*S16</f>
        <v>0</v>
      </c>
      <c r="W12" s="33">
        <f>U12+V12</f>
        <v>-15.2</v>
      </c>
      <c r="X12" s="32">
        <f t="shared" ref="X12:Y12" si="13">X13*U16</f>
        <v>0</v>
      </c>
      <c r="Y12" s="32">
        <f t="shared" si="13"/>
        <v>0</v>
      </c>
      <c r="Z12" s="33">
        <f>X12+Y12</f>
        <v>0</v>
      </c>
      <c r="AA12" s="32">
        <f t="shared" ref="AA12" si="14">AA13*X16</f>
        <v>0</v>
      </c>
      <c r="AB12" s="32">
        <f t="shared" ref="AB12" si="15">AB13*Y16</f>
        <v>0</v>
      </c>
      <c r="AC12" s="33">
        <f>AA12+AB12</f>
        <v>0</v>
      </c>
      <c r="AD12" s="32">
        <f t="shared" ref="AD12" si="16">AD13*AA16</f>
        <v>0</v>
      </c>
      <c r="AE12" s="32">
        <f t="shared" ref="AE12" si="17">AE13*AB16</f>
        <v>0</v>
      </c>
      <c r="AF12" s="33">
        <f>AD12+AE12</f>
        <v>0</v>
      </c>
      <c r="AG12" s="32">
        <f t="shared" ref="AG12" si="18">AG13*AD16</f>
        <v>0</v>
      </c>
      <c r="AH12" s="32">
        <f t="shared" ref="AH12" si="19">AH13*AE16</f>
        <v>0</v>
      </c>
      <c r="AI12" s="34">
        <f>AG12+AH12</f>
        <v>0</v>
      </c>
    </row>
    <row r="13" spans="2:35" s="22" customFormat="1" x14ac:dyDescent="0.3">
      <c r="B13" s="192" t="s">
        <v>46</v>
      </c>
      <c r="C13" s="35"/>
      <c r="D13" s="35"/>
      <c r="E13" s="36"/>
      <c r="F13" s="35">
        <f t="shared" ref="F13:S13" si="20">F12/C16</f>
        <v>-1.4752370916754479E-2</v>
      </c>
      <c r="G13" s="35">
        <f t="shared" si="20"/>
        <v>-6.3220005619556055E-2</v>
      </c>
      <c r="H13" s="36">
        <f t="shared" si="20"/>
        <v>-3.8346478107152568E-2</v>
      </c>
      <c r="I13" s="35">
        <f t="shared" si="20"/>
        <v>-3.0451866404715134E-2</v>
      </c>
      <c r="J13" s="35">
        <f t="shared" si="20"/>
        <v>6.8435754189944131E-2</v>
      </c>
      <c r="K13" s="36">
        <f t="shared" si="20"/>
        <v>2.7346938775510209E-2</v>
      </c>
      <c r="L13" s="35">
        <f t="shared" si="20"/>
        <v>0.14937580714593202</v>
      </c>
      <c r="M13" s="35">
        <f t="shared" si="20"/>
        <v>2.1294190614016953E-2</v>
      </c>
      <c r="N13" s="36">
        <f t="shared" si="20"/>
        <v>8.4045133396604452E-2</v>
      </c>
      <c r="O13" s="35">
        <f t="shared" si="20"/>
        <v>-4.6544428772919602E-2</v>
      </c>
      <c r="P13" s="35">
        <f t="shared" si="20"/>
        <v>-3.3557046979865772E-2</v>
      </c>
      <c r="Q13" s="36">
        <f t="shared" si="20"/>
        <v>-4.1181818181818181E-2</v>
      </c>
      <c r="R13" s="35">
        <f t="shared" si="20"/>
        <v>-3.8452295121365054E-3</v>
      </c>
      <c r="S13" s="35">
        <f t="shared" si="20"/>
        <v>1.4616657473800329E-2</v>
      </c>
      <c r="T13" s="36">
        <f>T12/Q16</f>
        <v>4.7521191882866683E-3</v>
      </c>
      <c r="U13" s="35">
        <f>U12/R16</f>
        <v>-4.4509516837481694E-2</v>
      </c>
      <c r="V13" s="37">
        <v>0</v>
      </c>
      <c r="W13" s="36">
        <f>W12/T16</f>
        <v>-2.4848782082720285E-2</v>
      </c>
      <c r="X13" s="37">
        <v>0</v>
      </c>
      <c r="Y13" s="37">
        <v>0</v>
      </c>
      <c r="Z13" s="36">
        <f>Z12/W16</f>
        <v>0</v>
      </c>
      <c r="AA13" s="37">
        <v>0</v>
      </c>
      <c r="AB13" s="37">
        <v>0</v>
      </c>
      <c r="AC13" s="36">
        <f>AC12/Z16</f>
        <v>0</v>
      </c>
      <c r="AD13" s="37">
        <v>0</v>
      </c>
      <c r="AE13" s="37">
        <v>0</v>
      </c>
      <c r="AF13" s="36">
        <f>AF12/AC16</f>
        <v>0</v>
      </c>
      <c r="AG13" s="37">
        <v>0</v>
      </c>
      <c r="AH13" s="37">
        <v>0</v>
      </c>
      <c r="AI13" s="38">
        <f>AI12/AF16</f>
        <v>0</v>
      </c>
    </row>
    <row r="14" spans="2:35" x14ac:dyDescent="0.3">
      <c r="B14" s="190" t="s">
        <v>44</v>
      </c>
      <c r="C14" s="30">
        <v>0</v>
      </c>
      <c r="D14" s="30">
        <v>0</v>
      </c>
      <c r="E14" s="31">
        <v>0</v>
      </c>
      <c r="F14" s="30">
        <v>0.1</v>
      </c>
      <c r="G14" s="30">
        <v>0.2</v>
      </c>
      <c r="H14" s="31">
        <v>0.4</v>
      </c>
      <c r="I14" s="30">
        <v>0</v>
      </c>
      <c r="J14" s="30">
        <v>0</v>
      </c>
      <c r="K14" s="31">
        <v>0</v>
      </c>
      <c r="L14" s="30">
        <v>0</v>
      </c>
      <c r="M14" s="30">
        <v>0</v>
      </c>
      <c r="N14" s="31">
        <v>0</v>
      </c>
      <c r="O14" s="30">
        <v>0</v>
      </c>
      <c r="P14" s="30">
        <v>0</v>
      </c>
      <c r="Q14" s="31">
        <v>0</v>
      </c>
      <c r="R14" s="30">
        <v>0</v>
      </c>
      <c r="S14" s="30">
        <v>0</v>
      </c>
      <c r="T14" s="31">
        <v>0</v>
      </c>
      <c r="U14" s="30">
        <v>0</v>
      </c>
      <c r="V14" s="32">
        <f>V15*S16</f>
        <v>0</v>
      </c>
      <c r="W14" s="33">
        <f>U14+V14</f>
        <v>0</v>
      </c>
      <c r="X14" s="32">
        <f>X15*U16</f>
        <v>0</v>
      </c>
      <c r="Y14" s="32">
        <f>Y15*V16</f>
        <v>0</v>
      </c>
      <c r="Z14" s="33">
        <f>X14+Y14</f>
        <v>0</v>
      </c>
      <c r="AA14" s="32">
        <f>AA15*X16</f>
        <v>0</v>
      </c>
      <c r="AB14" s="32">
        <f>AB15*Y16</f>
        <v>0</v>
      </c>
      <c r="AC14" s="33">
        <f>AA14+AB14</f>
        <v>0</v>
      </c>
      <c r="AD14" s="32">
        <f>AD15*AA16</f>
        <v>0</v>
      </c>
      <c r="AE14" s="32">
        <f>AE15*AB16</f>
        <v>0</v>
      </c>
      <c r="AF14" s="33">
        <f>AD14+AE14</f>
        <v>0</v>
      </c>
      <c r="AG14" s="32">
        <f>AG15*AD16</f>
        <v>0</v>
      </c>
      <c r="AH14" s="32">
        <f>AH15*AE16</f>
        <v>0</v>
      </c>
      <c r="AI14" s="34">
        <f>AG14+AH14</f>
        <v>0</v>
      </c>
    </row>
    <row r="15" spans="2:35" s="22" customFormat="1" x14ac:dyDescent="0.3">
      <c r="B15" s="192" t="s">
        <v>47</v>
      </c>
      <c r="C15" s="35"/>
      <c r="D15" s="35"/>
      <c r="E15" s="36"/>
      <c r="F15" s="35" t="e">
        <f>F14/C126</f>
        <v>#DIV/0!</v>
      </c>
      <c r="G15" s="35" t="e">
        <f t="shared" ref="G15:W15" si="21">G14/D126</f>
        <v>#DIV/0!</v>
      </c>
      <c r="H15" s="36" t="e">
        <f t="shared" si="21"/>
        <v>#DIV/0!</v>
      </c>
      <c r="I15" s="35" t="e">
        <f t="shared" si="21"/>
        <v>#DIV/0!</v>
      </c>
      <c r="J15" s="35" t="e">
        <f t="shared" si="21"/>
        <v>#DIV/0!</v>
      </c>
      <c r="K15" s="36" t="e">
        <f t="shared" si="21"/>
        <v>#DIV/0!</v>
      </c>
      <c r="L15" s="35" t="e">
        <f t="shared" si="21"/>
        <v>#DIV/0!</v>
      </c>
      <c r="M15" s="35" t="e">
        <f t="shared" si="21"/>
        <v>#DIV/0!</v>
      </c>
      <c r="N15" s="36" t="e">
        <f t="shared" si="21"/>
        <v>#DIV/0!</v>
      </c>
      <c r="O15" s="35" t="e">
        <f t="shared" si="21"/>
        <v>#DIV/0!</v>
      </c>
      <c r="P15" s="35" t="e">
        <f t="shared" si="21"/>
        <v>#DIV/0!</v>
      </c>
      <c r="Q15" s="36" t="e">
        <f t="shared" si="21"/>
        <v>#DIV/0!</v>
      </c>
      <c r="R15" s="35" t="e">
        <f t="shared" si="21"/>
        <v>#DIV/0!</v>
      </c>
      <c r="S15" s="35" t="e">
        <f t="shared" si="21"/>
        <v>#DIV/0!</v>
      </c>
      <c r="T15" s="36" t="e">
        <f t="shared" si="21"/>
        <v>#DIV/0!</v>
      </c>
      <c r="U15" s="35" t="e">
        <f t="shared" si="21"/>
        <v>#DIV/0!</v>
      </c>
      <c r="V15" s="37">
        <v>0</v>
      </c>
      <c r="W15" s="36" t="e">
        <f t="shared" si="21"/>
        <v>#DIV/0!</v>
      </c>
      <c r="X15" s="37">
        <v>0</v>
      </c>
      <c r="Y15" s="37">
        <v>0</v>
      </c>
      <c r="Z15" s="36" t="e">
        <f t="shared" ref="Z15" si="22">Z14/W126</f>
        <v>#DIV/0!</v>
      </c>
      <c r="AA15" s="37">
        <v>0</v>
      </c>
      <c r="AB15" s="37">
        <v>0</v>
      </c>
      <c r="AC15" s="36" t="e">
        <f t="shared" ref="AC15" si="23">AC14/Z126</f>
        <v>#DIV/0!</v>
      </c>
      <c r="AD15" s="37">
        <v>0</v>
      </c>
      <c r="AE15" s="37">
        <v>0</v>
      </c>
      <c r="AF15" s="36" t="e">
        <f t="shared" ref="AF15" si="24">AF14/AC126</f>
        <v>#DIV/0!</v>
      </c>
      <c r="AG15" s="37">
        <v>0</v>
      </c>
      <c r="AH15" s="37">
        <v>0</v>
      </c>
      <c r="AI15" s="38" t="e">
        <f t="shared" ref="AI15" si="25">AI14/AF126</f>
        <v>#DIV/0!</v>
      </c>
    </row>
    <row r="16" spans="2:35" x14ac:dyDescent="0.3">
      <c r="B16" s="191" t="s">
        <v>54</v>
      </c>
      <c r="C16" s="39">
        <f t="shared" ref="C16:P16" si="26">C5+C12+C14</f>
        <v>379.59999999999997</v>
      </c>
      <c r="D16" s="39">
        <f t="shared" si="26"/>
        <v>355.9</v>
      </c>
      <c r="E16" s="40">
        <f t="shared" si="26"/>
        <v>735.4</v>
      </c>
      <c r="F16" s="39">
        <f t="shared" si="26"/>
        <v>305.39999999999998</v>
      </c>
      <c r="G16" s="39">
        <f t="shared" si="26"/>
        <v>429.59999999999997</v>
      </c>
      <c r="H16" s="40">
        <f t="shared" si="26"/>
        <v>734.99999999999989</v>
      </c>
      <c r="I16" s="39">
        <f t="shared" si="26"/>
        <v>464.59999999999997</v>
      </c>
      <c r="J16" s="39">
        <f t="shared" si="26"/>
        <v>483.7</v>
      </c>
      <c r="K16" s="40">
        <f t="shared" si="26"/>
        <v>948.30000000000007</v>
      </c>
      <c r="L16" s="39">
        <f t="shared" si="26"/>
        <v>638.1</v>
      </c>
      <c r="M16" s="39">
        <f t="shared" si="26"/>
        <v>461.90000000000003</v>
      </c>
      <c r="N16" s="40">
        <f t="shared" si="26"/>
        <v>1100</v>
      </c>
      <c r="O16" s="39">
        <f t="shared" si="26"/>
        <v>416.1</v>
      </c>
      <c r="P16" s="39">
        <f t="shared" si="26"/>
        <v>362.6</v>
      </c>
      <c r="Q16" s="40">
        <f>Q5+Q12+Q14</f>
        <v>778.6</v>
      </c>
      <c r="R16" s="39">
        <f>R5+R12+R14+0.1</f>
        <v>341.5</v>
      </c>
      <c r="S16" s="39">
        <f t="shared" ref="S16" si="27">S5+S12+S14</f>
        <v>270.3</v>
      </c>
      <c r="T16" s="40">
        <f>T5+T12+T14</f>
        <v>611.70000000000005</v>
      </c>
      <c r="U16" s="39">
        <f t="shared" ref="U16" si="28">U5+U12+U14</f>
        <v>300.2</v>
      </c>
      <c r="V16" s="41">
        <f t="shared" ref="V16" si="29">V5+V12+V14</f>
        <v>302.73600000000005</v>
      </c>
      <c r="W16" s="42">
        <f t="shared" ref="W16:AI16" si="30">W5+W12+W14</f>
        <v>602.93599999999992</v>
      </c>
      <c r="X16" s="41">
        <f t="shared" si="30"/>
        <v>312.20800000000003</v>
      </c>
      <c r="Y16" s="41">
        <f t="shared" si="30"/>
        <v>314.84544000000005</v>
      </c>
      <c r="Z16" s="42">
        <f t="shared" si="30"/>
        <v>627.05344000000014</v>
      </c>
      <c r="AA16" s="41">
        <f t="shared" si="30"/>
        <v>324.69632000000001</v>
      </c>
      <c r="AB16" s="41">
        <f t="shared" si="30"/>
        <v>327.43925760000008</v>
      </c>
      <c r="AC16" s="42">
        <f t="shared" si="30"/>
        <v>652.13557760000003</v>
      </c>
      <c r="AD16" s="41">
        <f t="shared" si="30"/>
        <v>337.6841728</v>
      </c>
      <c r="AE16" s="41">
        <f t="shared" si="30"/>
        <v>340.53682790400006</v>
      </c>
      <c r="AF16" s="42">
        <f t="shared" si="30"/>
        <v>678.22100070400006</v>
      </c>
      <c r="AG16" s="41">
        <f t="shared" si="30"/>
        <v>351.19153971200001</v>
      </c>
      <c r="AH16" s="41">
        <f t="shared" si="30"/>
        <v>354.15830102016008</v>
      </c>
      <c r="AI16" s="43">
        <f t="shared" si="30"/>
        <v>705.34984073216015</v>
      </c>
    </row>
    <row r="17" spans="2:35" s="22" customFormat="1" x14ac:dyDescent="0.3">
      <c r="B17" s="192" t="s">
        <v>49</v>
      </c>
      <c r="C17" s="35"/>
      <c r="D17" s="35"/>
      <c r="E17" s="36"/>
      <c r="F17" s="35">
        <f t="shared" ref="F17" si="31">IFERROR(F16/C16-1, "-")</f>
        <v>-0.19546891464699678</v>
      </c>
      <c r="G17" s="35">
        <f t="shared" ref="G17" si="32">IFERROR(G16/D16-1, "-")</f>
        <v>0.20708064062939036</v>
      </c>
      <c r="H17" s="36">
        <f t="shared" ref="H17" si="33">IFERROR(H16/E16-1, "-")</f>
        <v>-5.4392167527883561E-4</v>
      </c>
      <c r="I17" s="35">
        <f t="shared" ref="I17" si="34">IFERROR(I16/F16-1, "-")</f>
        <v>0.52128356254093</v>
      </c>
      <c r="J17" s="35">
        <f t="shared" ref="J17" si="35">IFERROR(J16/G16-1, "-")</f>
        <v>0.12593109869646191</v>
      </c>
      <c r="K17" s="36">
        <f t="shared" ref="K17" si="36">IFERROR(K16/H16-1, "-")</f>
        <v>0.29020408163265343</v>
      </c>
      <c r="L17" s="35">
        <f t="shared" ref="L17" si="37">IFERROR(L16/I16-1, "-")</f>
        <v>0.37343951786483021</v>
      </c>
      <c r="M17" s="35">
        <f t="shared" ref="M17" si="38">IFERROR(M16/J16-1, "-")</f>
        <v>-4.5069257804424168E-2</v>
      </c>
      <c r="N17" s="36">
        <f t="shared" ref="N17" si="39">IFERROR(N16/K16-1, "-")</f>
        <v>0.15997047347885673</v>
      </c>
      <c r="O17" s="35">
        <f t="shared" ref="O17" si="40">IFERROR(O16/L16-1, "-")</f>
        <v>-0.34790785143394454</v>
      </c>
      <c r="P17" s="35">
        <f t="shared" ref="P17" si="41">IFERROR(P16/M16-1, "-")</f>
        <v>-0.2149815977484304</v>
      </c>
      <c r="Q17" s="36">
        <f>IFERROR(Q16/N16-1, "-")</f>
        <v>-0.29218181818181821</v>
      </c>
      <c r="R17" s="35">
        <f t="shared" ref="R17" si="42">IFERROR(R16/O16-1, "-")</f>
        <v>-0.17928382600336457</v>
      </c>
      <c r="S17" s="35">
        <f t="shared" ref="S17" si="43">IFERROR(S16/P16-1, "-")</f>
        <v>-0.25455046883618315</v>
      </c>
      <c r="T17" s="36">
        <f>IFERROR(T16/Q16-1, "-")</f>
        <v>-0.21435910608784992</v>
      </c>
      <c r="U17" s="35">
        <f t="shared" ref="U17:V17" si="44">IFERROR(U16/R16-1, "-")</f>
        <v>-0.12093704245973647</v>
      </c>
      <c r="V17" s="35">
        <f t="shared" si="44"/>
        <v>0.12000000000000011</v>
      </c>
      <c r="W17" s="36">
        <f t="shared" ref="W17" si="45">IFERROR(W16/T16-1, "-")</f>
        <v>-1.4327284616642344E-2</v>
      </c>
      <c r="X17" s="35">
        <f t="shared" ref="X17" si="46">IFERROR(X16/U16-1, "-")</f>
        <v>4.0000000000000036E-2</v>
      </c>
      <c r="Y17" s="35">
        <f t="shared" ref="Y17" si="47">IFERROR(Y16/V16-1, "-")</f>
        <v>4.0000000000000036E-2</v>
      </c>
      <c r="Z17" s="36">
        <f t="shared" ref="Z17" si="48">IFERROR(Z16/W16-1, "-")</f>
        <v>4.0000000000000258E-2</v>
      </c>
      <c r="AA17" s="35">
        <f t="shared" ref="AA17" si="49">IFERROR(AA16/X16-1, "-")</f>
        <v>4.0000000000000036E-2</v>
      </c>
      <c r="AB17" s="35">
        <f t="shared" ref="AB17" si="50">IFERROR(AB16/Y16-1, "-")</f>
        <v>4.0000000000000036E-2</v>
      </c>
      <c r="AC17" s="36">
        <f t="shared" ref="AC17" si="51">IFERROR(AC16/Z16-1, "-")</f>
        <v>3.9999999999999813E-2</v>
      </c>
      <c r="AD17" s="35">
        <f t="shared" ref="AD17" si="52">IFERROR(AD16/AA16-1, "-")</f>
        <v>4.0000000000000036E-2</v>
      </c>
      <c r="AE17" s="35">
        <f t="shared" ref="AE17" si="53">IFERROR(AE16/AB16-1, "-")</f>
        <v>4.0000000000000036E-2</v>
      </c>
      <c r="AF17" s="36">
        <f t="shared" ref="AF17" si="54">IFERROR(AF16/AC16-1, "-")</f>
        <v>4.0000000000000036E-2</v>
      </c>
      <c r="AG17" s="35">
        <f t="shared" ref="AG17" si="55">IFERROR(AG16/AD16-1, "-")</f>
        <v>4.0000000000000036E-2</v>
      </c>
      <c r="AH17" s="35">
        <f t="shared" ref="AH17" si="56">IFERROR(AH16/AE16-1, "-")</f>
        <v>4.0000000000000036E-2</v>
      </c>
      <c r="AI17" s="38">
        <f t="shared" ref="AI17" si="57">IFERROR(AI16/AF16-1, "-")</f>
        <v>4.0000000000000036E-2</v>
      </c>
    </row>
    <row r="18" spans="2:35" x14ac:dyDescent="0.3">
      <c r="B18" s="190"/>
      <c r="C18" s="44"/>
      <c r="D18" s="44"/>
      <c r="E18" s="45"/>
      <c r="F18" s="44"/>
      <c r="G18" s="44"/>
      <c r="H18" s="45"/>
      <c r="I18" s="44"/>
      <c r="J18" s="44"/>
      <c r="K18" s="45"/>
      <c r="L18" s="44"/>
      <c r="M18" s="44"/>
      <c r="N18" s="45"/>
      <c r="O18" s="44"/>
      <c r="P18" s="44"/>
      <c r="Q18" s="45"/>
      <c r="R18" s="44"/>
      <c r="S18" s="44"/>
      <c r="T18" s="45"/>
      <c r="U18" s="44"/>
      <c r="V18" s="44"/>
      <c r="W18" s="45"/>
      <c r="X18" s="44"/>
      <c r="Y18" s="44"/>
      <c r="Z18" s="45"/>
      <c r="AA18" s="44"/>
      <c r="AB18" s="44"/>
      <c r="AC18" s="45"/>
      <c r="AD18" s="44"/>
      <c r="AE18" s="44"/>
      <c r="AF18" s="45"/>
      <c r="AG18" s="44"/>
      <c r="AH18" s="44"/>
      <c r="AI18" s="46"/>
    </row>
    <row r="19" spans="2:35" x14ac:dyDescent="0.3">
      <c r="B19" s="191" t="s">
        <v>50</v>
      </c>
      <c r="C19" s="44"/>
      <c r="D19" s="44"/>
      <c r="E19" s="45"/>
      <c r="F19" s="44"/>
      <c r="G19" s="44"/>
      <c r="H19" s="45"/>
      <c r="I19" s="44"/>
      <c r="J19" s="44"/>
      <c r="K19" s="45"/>
      <c r="L19" s="44"/>
      <c r="M19" s="44"/>
      <c r="N19" s="45"/>
      <c r="O19" s="44"/>
      <c r="P19" s="44"/>
      <c r="Q19" s="45"/>
      <c r="R19" s="44"/>
      <c r="S19" s="44"/>
      <c r="T19" s="45"/>
      <c r="U19" s="44"/>
      <c r="V19" s="44"/>
      <c r="W19" s="45"/>
      <c r="X19" s="44"/>
      <c r="Y19" s="44"/>
      <c r="Z19" s="45"/>
      <c r="AA19" s="44"/>
      <c r="AB19" s="44"/>
      <c r="AC19" s="45"/>
      <c r="AD19" s="44"/>
      <c r="AE19" s="44"/>
      <c r="AF19" s="45"/>
      <c r="AG19" s="44"/>
      <c r="AH19" s="44"/>
      <c r="AI19" s="46"/>
    </row>
    <row r="20" spans="2:35" x14ac:dyDescent="0.3">
      <c r="B20" s="190" t="s">
        <v>42</v>
      </c>
      <c r="C20" s="30">
        <v>128</v>
      </c>
      <c r="D20" s="30">
        <v>128.5</v>
      </c>
      <c r="E20" s="31">
        <v>256.39999999999998</v>
      </c>
      <c r="F20" s="30">
        <v>113.4</v>
      </c>
      <c r="G20" s="30">
        <v>140</v>
      </c>
      <c r="H20" s="31">
        <v>253.4</v>
      </c>
      <c r="I20" s="30">
        <v>164.7</v>
      </c>
      <c r="J20" s="30">
        <v>162.5</v>
      </c>
      <c r="K20" s="31">
        <v>327.10000000000002</v>
      </c>
      <c r="L20" s="30">
        <v>198.1</v>
      </c>
      <c r="M20" s="30">
        <v>197.6</v>
      </c>
      <c r="N20" s="31">
        <v>395.7</v>
      </c>
      <c r="O20" s="30">
        <v>214.6</v>
      </c>
      <c r="P20" s="30">
        <v>185</v>
      </c>
      <c r="Q20" s="31">
        <v>399.6</v>
      </c>
      <c r="R20" s="30">
        <v>181.8</v>
      </c>
      <c r="S20" s="30">
        <v>168.8</v>
      </c>
      <c r="T20" s="31">
        <v>350.7</v>
      </c>
      <c r="U20" s="30">
        <v>189.2</v>
      </c>
      <c r="V20" s="32">
        <f>S31*(1+V22)</f>
        <v>172.50800000000001</v>
      </c>
      <c r="W20" s="33">
        <f>U20+V20</f>
        <v>361.70799999999997</v>
      </c>
      <c r="X20" s="32">
        <f t="shared" ref="X20:Y20" si="58">U31*(1+X22)</f>
        <v>190.00799999999998</v>
      </c>
      <c r="Y20" s="32">
        <f t="shared" si="58"/>
        <v>179.40832</v>
      </c>
      <c r="Z20" s="33">
        <f>X20+Y20</f>
        <v>369.41631999999998</v>
      </c>
      <c r="AA20" s="32">
        <f t="shared" ref="AA20" si="59">X31*(1+AA22)</f>
        <v>197.60831999999999</v>
      </c>
      <c r="AB20" s="32">
        <f t="shared" ref="AB20" si="60">Y31*(1+AB22)</f>
        <v>186.58465280000001</v>
      </c>
      <c r="AC20" s="33">
        <f>AA20+AB20</f>
        <v>384.19297280000001</v>
      </c>
      <c r="AD20" s="32">
        <f t="shared" ref="AD20:AE20" si="61">AA31*(1+AD22)</f>
        <v>205.51265280000001</v>
      </c>
      <c r="AE20" s="32">
        <f t="shared" si="61"/>
        <v>194.04803891200001</v>
      </c>
      <c r="AF20" s="33">
        <f>AD20+AE20</f>
        <v>399.56069171199999</v>
      </c>
      <c r="AG20" s="32">
        <f>AD31*(1+AG22)</f>
        <v>221.95366502400003</v>
      </c>
      <c r="AH20" s="32">
        <f>AE31*(1+AH22)</f>
        <v>213.45284280320004</v>
      </c>
      <c r="AI20" s="34">
        <f>AG20+AH20</f>
        <v>435.40650782720007</v>
      </c>
    </row>
    <row r="21" spans="2:35" x14ac:dyDescent="0.3">
      <c r="B21" s="190"/>
      <c r="C21" s="30"/>
      <c r="D21" s="30"/>
      <c r="E21" s="31"/>
      <c r="F21" s="30"/>
      <c r="G21" s="30"/>
      <c r="H21" s="31"/>
      <c r="I21" s="30"/>
      <c r="J21" s="30"/>
      <c r="K21" s="31"/>
      <c r="L21" s="30"/>
      <c r="M21" s="30"/>
      <c r="N21" s="31"/>
      <c r="O21" s="30"/>
      <c r="P21" s="30"/>
      <c r="Q21" s="31"/>
      <c r="R21" s="30"/>
      <c r="S21" s="30"/>
      <c r="T21" s="31"/>
      <c r="U21" s="290">
        <f>U23+U25</f>
        <v>7.6314000000000011</v>
      </c>
      <c r="V21" s="32"/>
      <c r="W21" s="33"/>
      <c r="X21" s="32"/>
      <c r="Y21" s="32"/>
      <c r="Z21" s="33"/>
      <c r="AA21" s="32"/>
      <c r="AB21" s="32"/>
      <c r="AC21" s="33"/>
      <c r="AD21" s="32"/>
      <c r="AE21" s="32"/>
      <c r="AF21" s="33"/>
      <c r="AG21" s="32"/>
      <c r="AH21" s="32"/>
      <c r="AI21" s="34"/>
    </row>
    <row r="22" spans="2:35" s="22" customFormat="1" x14ac:dyDescent="0.3">
      <c r="B22" s="192" t="s">
        <v>45</v>
      </c>
      <c r="C22" s="35"/>
      <c r="D22" s="35"/>
      <c r="E22" s="36"/>
      <c r="F22" s="35">
        <f t="shared" ref="F22" si="62">F20/C31-1</f>
        <v>-0.13567073170731692</v>
      </c>
      <c r="G22" s="35">
        <f t="shared" ref="G22" si="63">G20/D31-1</f>
        <v>7.1155317521040651E-2</v>
      </c>
      <c r="H22" s="36">
        <f t="shared" ref="H22" si="64">H20/E31-1</f>
        <v>-3.2085561497325998E-2</v>
      </c>
      <c r="I22" s="35">
        <f t="shared" ref="I22" si="65">I20/F31-1</f>
        <v>0.47053571428571406</v>
      </c>
      <c r="J22" s="35">
        <f t="shared" ref="J22" si="66">J20/G31-1</f>
        <v>0.19222303741746138</v>
      </c>
      <c r="K22" s="36">
        <f t="shared" ref="K22" si="67">K20/H31-1</f>
        <v>0.31735803463552159</v>
      </c>
      <c r="L22" s="35">
        <f t="shared" ref="L22" si="68">L20/I31-1</f>
        <v>0.20719073735527127</v>
      </c>
      <c r="M22" s="35">
        <f t="shared" ref="M22" si="69">M20/J31-1</f>
        <v>0.1685393258426966</v>
      </c>
      <c r="N22" s="36">
        <f t="shared" ref="N22" si="70">N20/K31-1</f>
        <v>0.19474637681159401</v>
      </c>
      <c r="O22" s="35">
        <f t="shared" ref="O22" si="71">O20/L31-1</f>
        <v>4.662004662003838E-4</v>
      </c>
      <c r="P22" s="35">
        <f t="shared" ref="P22" si="72">P20/M31-1</f>
        <v>-9.5354523227383914E-2</v>
      </c>
      <c r="Q22" s="36">
        <f t="shared" ref="Q22" si="73">Q20/N31-1</f>
        <v>-4.6073048460252952E-2</v>
      </c>
      <c r="R22" s="35">
        <f t="shared" ref="R22" si="74">R20/O31-1</f>
        <v>-0.12046444121915811</v>
      </c>
      <c r="S22" s="35">
        <f t="shared" ref="S22" si="75">S20/P31-1</f>
        <v>-6.843267108167761E-2</v>
      </c>
      <c r="T22" s="36">
        <f t="shared" ref="T22" si="76">T20/Q31-1</f>
        <v>-9.590100541376656E-2</v>
      </c>
      <c r="U22" s="35">
        <f>U20/R31-1</f>
        <v>4.127682993946058E-2</v>
      </c>
      <c r="V22" s="37">
        <v>0.01</v>
      </c>
      <c r="W22" s="36">
        <f t="shared" ref="W22" si="77">W20/T31-1</f>
        <v>2.5830969937606474E-2</v>
      </c>
      <c r="X22" s="37">
        <v>0.04</v>
      </c>
      <c r="Y22" s="37">
        <v>0.04</v>
      </c>
      <c r="Z22" s="36">
        <f>Z20/W20-1</f>
        <v>2.1310891658464781E-2</v>
      </c>
      <c r="AA22" s="37">
        <v>0.04</v>
      </c>
      <c r="AB22" s="37">
        <v>0.04</v>
      </c>
      <c r="AC22" s="36">
        <f>AC20/Z20-1</f>
        <v>4.0000000000000036E-2</v>
      </c>
      <c r="AD22" s="37">
        <v>0.04</v>
      </c>
      <c r="AE22" s="37">
        <v>0.04</v>
      </c>
      <c r="AF22" s="36">
        <f>AF20/AC20-1</f>
        <v>4.0000000000000036E-2</v>
      </c>
      <c r="AG22" s="37">
        <v>0.08</v>
      </c>
      <c r="AH22" s="37">
        <v>0.1</v>
      </c>
      <c r="AI22" s="38">
        <f>AI20/AF20-1</f>
        <v>8.971306952546132E-2</v>
      </c>
    </row>
    <row r="23" spans="2:35" s="22" customFormat="1" x14ac:dyDescent="0.3">
      <c r="B23" s="192" t="s">
        <v>321</v>
      </c>
      <c r="C23" s="35"/>
      <c r="D23" s="35"/>
      <c r="E23" s="36"/>
      <c r="F23" s="35"/>
      <c r="G23" s="35"/>
      <c r="H23" s="36"/>
      <c r="I23" s="35"/>
      <c r="J23" s="35"/>
      <c r="K23" s="36"/>
      <c r="L23" s="35"/>
      <c r="M23" s="35"/>
      <c r="N23" s="36"/>
      <c r="O23" s="35"/>
      <c r="P23" s="35"/>
      <c r="Q23" s="36"/>
      <c r="R23" s="35"/>
      <c r="S23" s="35"/>
      <c r="T23" s="36"/>
      <c r="U23" s="218">
        <f>U24*R31</f>
        <v>9.4484000000000012</v>
      </c>
      <c r="V23" s="37"/>
      <c r="W23" s="36"/>
      <c r="X23" s="37"/>
      <c r="Y23" s="37"/>
      <c r="Z23" s="36"/>
      <c r="AA23" s="37"/>
      <c r="AB23" s="37"/>
      <c r="AC23" s="36"/>
      <c r="AD23" s="37"/>
      <c r="AE23" s="37"/>
      <c r="AF23" s="36"/>
      <c r="AG23" s="37"/>
      <c r="AH23" s="37"/>
      <c r="AI23" s="38"/>
    </row>
    <row r="24" spans="2:35" s="22" customFormat="1" x14ac:dyDescent="0.3">
      <c r="B24" s="192" t="s">
        <v>322</v>
      </c>
      <c r="C24" s="35"/>
      <c r="D24" s="35"/>
      <c r="E24" s="36"/>
      <c r="F24" s="35"/>
      <c r="G24" s="35"/>
      <c r="H24" s="36"/>
      <c r="I24" s="35"/>
      <c r="J24" s="35"/>
      <c r="K24" s="36"/>
      <c r="L24" s="35"/>
      <c r="M24" s="35"/>
      <c r="N24" s="36"/>
      <c r="O24" s="35"/>
      <c r="P24" s="35"/>
      <c r="Q24" s="36"/>
      <c r="R24" s="35"/>
      <c r="S24" s="35"/>
      <c r="T24" s="36"/>
      <c r="U24" s="288">
        <v>5.1999999999999998E-2</v>
      </c>
      <c r="V24" s="37"/>
      <c r="W24" s="36"/>
      <c r="X24" s="37"/>
      <c r="Y24" s="37"/>
      <c r="Z24" s="36"/>
      <c r="AA24" s="37"/>
      <c r="AB24" s="37"/>
      <c r="AC24" s="36"/>
      <c r="AD24" s="37"/>
      <c r="AE24" s="37"/>
      <c r="AF24" s="36"/>
      <c r="AG24" s="37"/>
      <c r="AH24" s="37"/>
      <c r="AI24" s="38"/>
    </row>
    <row r="25" spans="2:35" s="22" customFormat="1" x14ac:dyDescent="0.3">
      <c r="B25" s="192" t="s">
        <v>323</v>
      </c>
      <c r="C25" s="35"/>
      <c r="D25" s="35"/>
      <c r="E25" s="36"/>
      <c r="F25" s="35"/>
      <c r="G25" s="35"/>
      <c r="H25" s="36"/>
      <c r="I25" s="35"/>
      <c r="J25" s="35"/>
      <c r="K25" s="36"/>
      <c r="L25" s="35"/>
      <c r="M25" s="35"/>
      <c r="N25" s="36"/>
      <c r="O25" s="35"/>
      <c r="P25" s="35"/>
      <c r="Q25" s="36"/>
      <c r="R25" s="35"/>
      <c r="S25" s="35"/>
      <c r="T25" s="36"/>
      <c r="U25" s="218">
        <f>U26*R31</f>
        <v>-1.8170000000000002</v>
      </c>
      <c r="V25" s="37"/>
      <c r="W25" s="36"/>
      <c r="X25" s="37"/>
      <c r="Y25" s="37"/>
      <c r="Z25" s="36"/>
      <c r="AA25" s="37"/>
      <c r="AB25" s="37"/>
      <c r="AC25" s="36"/>
      <c r="AD25" s="37"/>
      <c r="AE25" s="37"/>
      <c r="AF25" s="36"/>
      <c r="AG25" s="37"/>
      <c r="AH25" s="37"/>
      <c r="AI25" s="38"/>
    </row>
    <row r="26" spans="2:35" s="22" customFormat="1" x14ac:dyDescent="0.3">
      <c r="B26" s="192" t="s">
        <v>324</v>
      </c>
      <c r="C26" s="35"/>
      <c r="D26" s="35"/>
      <c r="E26" s="36"/>
      <c r="F26" s="35"/>
      <c r="G26" s="35"/>
      <c r="H26" s="36"/>
      <c r="I26" s="35"/>
      <c r="J26" s="35"/>
      <c r="K26" s="36"/>
      <c r="L26" s="35"/>
      <c r="M26" s="35"/>
      <c r="N26" s="36"/>
      <c r="O26" s="35"/>
      <c r="P26" s="35"/>
      <c r="Q26" s="36"/>
      <c r="R26" s="35"/>
      <c r="S26" s="35"/>
      <c r="T26" s="36"/>
      <c r="U26" s="35">
        <v>-0.01</v>
      </c>
      <c r="V26" s="37"/>
      <c r="W26" s="36"/>
      <c r="X26" s="37"/>
      <c r="Y26" s="37"/>
      <c r="Z26" s="36"/>
      <c r="AA26" s="37"/>
      <c r="AB26" s="37"/>
      <c r="AC26" s="36"/>
      <c r="AD26" s="37"/>
      <c r="AE26" s="37"/>
      <c r="AF26" s="36"/>
      <c r="AG26" s="37"/>
      <c r="AH26" s="37"/>
      <c r="AI26" s="38"/>
    </row>
    <row r="27" spans="2:35" x14ac:dyDescent="0.3">
      <c r="B27" s="190" t="s">
        <v>43</v>
      </c>
      <c r="C27" s="30">
        <v>3.2</v>
      </c>
      <c r="D27" s="30">
        <v>2.2000000000000002</v>
      </c>
      <c r="E27" s="31">
        <v>5.4</v>
      </c>
      <c r="F27" s="30">
        <v>-1.8</v>
      </c>
      <c r="G27" s="30">
        <v>-6.2</v>
      </c>
      <c r="H27" s="31">
        <v>-8</v>
      </c>
      <c r="I27" s="30">
        <v>-2.5</v>
      </c>
      <c r="J27" s="30">
        <v>6.6</v>
      </c>
      <c r="K27" s="31">
        <v>4.0999999999999996</v>
      </c>
      <c r="L27" s="30">
        <v>16.399999999999999</v>
      </c>
      <c r="M27" s="30">
        <v>6.9</v>
      </c>
      <c r="N27" s="31">
        <v>23.2</v>
      </c>
      <c r="O27" s="30">
        <v>-7.9</v>
      </c>
      <c r="P27" s="30">
        <v>-3.8</v>
      </c>
      <c r="Q27" s="31">
        <v>-11.7</v>
      </c>
      <c r="R27" s="30">
        <v>-0.1</v>
      </c>
      <c r="S27" s="30">
        <v>2</v>
      </c>
      <c r="T27" s="31">
        <v>1.9</v>
      </c>
      <c r="U27" s="30">
        <v>-6.5</v>
      </c>
      <c r="V27" s="32">
        <f>V28*S31</f>
        <v>0</v>
      </c>
      <c r="W27" s="33">
        <f>U27+V27</f>
        <v>-6.5</v>
      </c>
      <c r="X27" s="32">
        <f t="shared" ref="X27" si="78">X28*U31</f>
        <v>0</v>
      </c>
      <c r="Y27" s="32">
        <f t="shared" ref="Y27" si="79">Y28*V31</f>
        <v>0</v>
      </c>
      <c r="Z27" s="33">
        <f>X27+Y27</f>
        <v>0</v>
      </c>
      <c r="AA27" s="32">
        <f t="shared" ref="AA27" si="80">AA28*X31</f>
        <v>0</v>
      </c>
      <c r="AB27" s="32">
        <f t="shared" ref="AB27" si="81">AB28*Y31</f>
        <v>0</v>
      </c>
      <c r="AC27" s="33">
        <f>AA27+AB27</f>
        <v>0</v>
      </c>
      <c r="AD27" s="32">
        <f t="shared" ref="AD27" si="82">AD28*AA31</f>
        <v>0</v>
      </c>
      <c r="AE27" s="32">
        <f t="shared" ref="AE27" si="83">AE28*AB31</f>
        <v>0</v>
      </c>
      <c r="AF27" s="33">
        <f>AD27+AE27</f>
        <v>0</v>
      </c>
      <c r="AG27" s="32">
        <f t="shared" ref="AG27" si="84">AG28*AD31</f>
        <v>0</v>
      </c>
      <c r="AH27" s="32">
        <f t="shared" ref="AH27" si="85">AH28*AE31</f>
        <v>0</v>
      </c>
      <c r="AI27" s="34">
        <f>AG27+AH27</f>
        <v>0</v>
      </c>
    </row>
    <row r="28" spans="2:35" s="22" customFormat="1" x14ac:dyDescent="0.3">
      <c r="B28" s="192" t="s">
        <v>46</v>
      </c>
      <c r="C28" s="35"/>
      <c r="D28" s="35"/>
      <c r="E28" s="36"/>
      <c r="F28" s="35">
        <f t="shared" ref="F28" si="86">F27/C31</f>
        <v>-1.3719512195121953E-2</v>
      </c>
      <c r="G28" s="35">
        <f t="shared" ref="G28" si="87">G27/D31</f>
        <v>-4.7436878347360371E-2</v>
      </c>
      <c r="H28" s="36">
        <f t="shared" ref="H28" si="88">H27/E31</f>
        <v>-3.0557677616501151E-2</v>
      </c>
      <c r="I28" s="35">
        <f t="shared" ref="I28" si="89">I27/F31</f>
        <v>-2.2321428571428568E-2</v>
      </c>
      <c r="J28" s="35">
        <f t="shared" ref="J28" si="90">J27/G31</f>
        <v>4.8422597212032278E-2</v>
      </c>
      <c r="K28" s="36">
        <f t="shared" ref="K28" si="91">K27/H31</f>
        <v>1.6512283527990331E-2</v>
      </c>
      <c r="L28" s="35">
        <f t="shared" ref="L28" si="92">L27/I31</f>
        <v>9.9939061547836675E-2</v>
      </c>
      <c r="M28" s="35">
        <f t="shared" ref="M28" si="93">M27/J31</f>
        <v>4.0804257835600238E-2</v>
      </c>
      <c r="N28" s="36">
        <f t="shared" ref="N28" si="94">N27/K31</f>
        <v>7.0048309178743953E-2</v>
      </c>
      <c r="O28" s="35">
        <f t="shared" ref="O28" si="95">O27/L31</f>
        <v>-3.6829836829836829E-2</v>
      </c>
      <c r="P28" s="35">
        <f t="shared" ref="P28" si="96">P27/M31</f>
        <v>-1.8581907090464547E-2</v>
      </c>
      <c r="Q28" s="36">
        <f t="shared" ref="Q28" si="97">Q27/N31</f>
        <v>-2.7930293626163762E-2</v>
      </c>
      <c r="R28" s="35">
        <f t="shared" ref="R28" si="98">R27/O31</f>
        <v>-4.8379293662312534E-4</v>
      </c>
      <c r="S28" s="35">
        <f t="shared" ref="S28" si="99">S27/P31</f>
        <v>1.1037527593818985E-2</v>
      </c>
      <c r="T28" s="36">
        <f>T27/Q31</f>
        <v>4.8981696313482852E-3</v>
      </c>
      <c r="U28" s="35">
        <f>U27/R31</f>
        <v>-3.5773252614199225E-2</v>
      </c>
      <c r="V28" s="37">
        <v>0</v>
      </c>
      <c r="W28" s="36">
        <f>W27/T31</f>
        <v>-1.8434486670448103E-2</v>
      </c>
      <c r="X28" s="37">
        <v>0</v>
      </c>
      <c r="Y28" s="37">
        <v>0</v>
      </c>
      <c r="Z28" s="36">
        <f>Z27/W31</f>
        <v>0</v>
      </c>
      <c r="AA28" s="37">
        <v>0</v>
      </c>
      <c r="AB28" s="37">
        <v>0</v>
      </c>
      <c r="AC28" s="36">
        <f>AC27/Z31</f>
        <v>0</v>
      </c>
      <c r="AD28" s="37">
        <v>0</v>
      </c>
      <c r="AE28" s="37">
        <v>0</v>
      </c>
      <c r="AF28" s="36">
        <f>AF27/AC31</f>
        <v>0</v>
      </c>
      <c r="AG28" s="37">
        <v>0</v>
      </c>
      <c r="AH28" s="37">
        <v>0</v>
      </c>
      <c r="AI28" s="38">
        <f>AI27/AF31</f>
        <v>0</v>
      </c>
    </row>
    <row r="29" spans="2:35" x14ac:dyDescent="0.3">
      <c r="B29" s="190" t="s">
        <v>44</v>
      </c>
      <c r="C29" s="30">
        <v>0</v>
      </c>
      <c r="D29" s="30">
        <v>0</v>
      </c>
      <c r="E29" s="31">
        <v>0</v>
      </c>
      <c r="F29" s="30">
        <v>0.4</v>
      </c>
      <c r="G29" s="30">
        <v>2.5</v>
      </c>
      <c r="H29" s="31">
        <v>2.9</v>
      </c>
      <c r="I29" s="30">
        <v>1.9</v>
      </c>
      <c r="J29" s="30">
        <v>0</v>
      </c>
      <c r="K29" s="31">
        <v>0</v>
      </c>
      <c r="L29" s="30">
        <v>0</v>
      </c>
      <c r="M29" s="30">
        <v>0</v>
      </c>
      <c r="N29" s="31">
        <v>0</v>
      </c>
      <c r="O29" s="30">
        <v>0</v>
      </c>
      <c r="P29" s="30">
        <v>0</v>
      </c>
      <c r="Q29" s="31">
        <v>0</v>
      </c>
      <c r="R29" s="30">
        <v>0</v>
      </c>
      <c r="S29" s="30">
        <v>0</v>
      </c>
      <c r="T29" s="31">
        <v>0</v>
      </c>
      <c r="U29" s="30">
        <v>0</v>
      </c>
      <c r="V29" s="32">
        <f>V30*S31</f>
        <v>0</v>
      </c>
      <c r="W29" s="33">
        <f>U29+V29</f>
        <v>0</v>
      </c>
      <c r="X29" s="32">
        <f>X30*U31</f>
        <v>0</v>
      </c>
      <c r="Y29" s="32">
        <f>Y30*V31</f>
        <v>0</v>
      </c>
      <c r="Z29" s="33">
        <f>X29+Y29</f>
        <v>0</v>
      </c>
      <c r="AA29" s="32">
        <f>AA30*X31</f>
        <v>0</v>
      </c>
      <c r="AB29" s="32">
        <f>AB30*Y31</f>
        <v>0</v>
      </c>
      <c r="AC29" s="33">
        <f>AA29+AB29</f>
        <v>0</v>
      </c>
      <c r="AD29" s="32">
        <f>AD30*AA31</f>
        <v>0</v>
      </c>
      <c r="AE29" s="32">
        <f>AE30*AB31</f>
        <v>0</v>
      </c>
      <c r="AF29" s="33">
        <f>AD29+AE29</f>
        <v>0</v>
      </c>
      <c r="AG29" s="32">
        <f>AG30*AD31</f>
        <v>0</v>
      </c>
      <c r="AH29" s="32">
        <f>AH30*AE31</f>
        <v>0</v>
      </c>
      <c r="AI29" s="34">
        <f>AG29+AH29</f>
        <v>0</v>
      </c>
    </row>
    <row r="30" spans="2:35" s="22" customFormat="1" x14ac:dyDescent="0.3">
      <c r="B30" s="192" t="s">
        <v>47</v>
      </c>
      <c r="C30" s="35"/>
      <c r="D30" s="35"/>
      <c r="E30" s="36"/>
      <c r="F30" s="35" t="e">
        <f>F29/C136</f>
        <v>#DIV/0!</v>
      </c>
      <c r="G30" s="35" t="e">
        <f t="shared" ref="G30" si="100">G29/D136</f>
        <v>#DIV/0!</v>
      </c>
      <c r="H30" s="36" t="e">
        <f t="shared" ref="H30" si="101">H29/E136</f>
        <v>#DIV/0!</v>
      </c>
      <c r="I30" s="35" t="e">
        <f t="shared" ref="I30" si="102">I29/F136</f>
        <v>#DIV/0!</v>
      </c>
      <c r="J30" s="35" t="e">
        <f t="shared" ref="J30" si="103">J29/G136</f>
        <v>#DIV/0!</v>
      </c>
      <c r="K30" s="36" t="e">
        <f t="shared" ref="K30" si="104">K29/H136</f>
        <v>#DIV/0!</v>
      </c>
      <c r="L30" s="35" t="e">
        <f t="shared" ref="L30" si="105">L29/I136</f>
        <v>#DIV/0!</v>
      </c>
      <c r="M30" s="35" t="e">
        <f t="shared" ref="M30" si="106">M29/J136</f>
        <v>#DIV/0!</v>
      </c>
      <c r="N30" s="36" t="e">
        <f t="shared" ref="N30" si="107">N29/K136</f>
        <v>#DIV/0!</v>
      </c>
      <c r="O30" s="35" t="e">
        <f t="shared" ref="O30" si="108">O29/L136</f>
        <v>#DIV/0!</v>
      </c>
      <c r="P30" s="35" t="e">
        <f t="shared" ref="P30" si="109">P29/M136</f>
        <v>#DIV/0!</v>
      </c>
      <c r="Q30" s="36" t="e">
        <f t="shared" ref="Q30" si="110">Q29/N136</f>
        <v>#DIV/0!</v>
      </c>
      <c r="R30" s="35" t="e">
        <f t="shared" ref="R30" si="111">R29/O136</f>
        <v>#DIV/0!</v>
      </c>
      <c r="S30" s="35" t="e">
        <f t="shared" ref="S30" si="112">S29/P136</f>
        <v>#DIV/0!</v>
      </c>
      <c r="T30" s="36" t="e">
        <f t="shared" ref="T30" si="113">T29/Q136</f>
        <v>#DIV/0!</v>
      </c>
      <c r="U30" s="35" t="e">
        <f t="shared" ref="U30" si="114">U29/R136</f>
        <v>#DIV/0!</v>
      </c>
      <c r="V30" s="37">
        <v>0</v>
      </c>
      <c r="W30" s="36" t="e">
        <f t="shared" ref="W30" si="115">W29/T136</f>
        <v>#DIV/0!</v>
      </c>
      <c r="X30" s="37">
        <v>0</v>
      </c>
      <c r="Y30" s="37">
        <v>0</v>
      </c>
      <c r="Z30" s="36" t="e">
        <f t="shared" ref="Z30" si="116">Z29/W136</f>
        <v>#DIV/0!</v>
      </c>
      <c r="AA30" s="37">
        <v>0</v>
      </c>
      <c r="AB30" s="37">
        <v>0</v>
      </c>
      <c r="AC30" s="36" t="e">
        <f t="shared" ref="AC30" si="117">AC29/Z136</f>
        <v>#DIV/0!</v>
      </c>
      <c r="AD30" s="37">
        <v>0</v>
      </c>
      <c r="AE30" s="37">
        <v>0</v>
      </c>
      <c r="AF30" s="36" t="e">
        <f t="shared" ref="AF30" si="118">AF29/AC136</f>
        <v>#DIV/0!</v>
      </c>
      <c r="AG30" s="37">
        <v>0</v>
      </c>
      <c r="AH30" s="37">
        <v>0</v>
      </c>
      <c r="AI30" s="38" t="e">
        <f t="shared" ref="AI30" si="119">AI29/AF136</f>
        <v>#DIV/0!</v>
      </c>
    </row>
    <row r="31" spans="2:35" x14ac:dyDescent="0.3">
      <c r="B31" s="191" t="s">
        <v>55</v>
      </c>
      <c r="C31" s="39">
        <f t="shared" ref="C31:P31" si="120">C20+C27+C29</f>
        <v>131.19999999999999</v>
      </c>
      <c r="D31" s="39">
        <f t="shared" si="120"/>
        <v>130.69999999999999</v>
      </c>
      <c r="E31" s="40">
        <f t="shared" si="120"/>
        <v>261.79999999999995</v>
      </c>
      <c r="F31" s="39">
        <f t="shared" si="120"/>
        <v>112.00000000000001</v>
      </c>
      <c r="G31" s="39">
        <f t="shared" si="120"/>
        <v>136.30000000000001</v>
      </c>
      <c r="H31" s="40">
        <f t="shared" si="120"/>
        <v>248.3</v>
      </c>
      <c r="I31" s="39">
        <f t="shared" si="120"/>
        <v>164.1</v>
      </c>
      <c r="J31" s="39">
        <f t="shared" si="120"/>
        <v>169.1</v>
      </c>
      <c r="K31" s="40">
        <f t="shared" si="120"/>
        <v>331.20000000000005</v>
      </c>
      <c r="L31" s="39">
        <f t="shared" si="120"/>
        <v>214.5</v>
      </c>
      <c r="M31" s="39">
        <f t="shared" si="120"/>
        <v>204.5</v>
      </c>
      <c r="N31" s="40">
        <f t="shared" si="120"/>
        <v>418.9</v>
      </c>
      <c r="O31" s="39">
        <f t="shared" si="120"/>
        <v>206.7</v>
      </c>
      <c r="P31" s="39">
        <f t="shared" si="120"/>
        <v>181.2</v>
      </c>
      <c r="Q31" s="40">
        <f>Q20+Q27+Q29</f>
        <v>387.90000000000003</v>
      </c>
      <c r="R31" s="39">
        <f t="shared" ref="R31:S31" si="121">R20+R27+R29</f>
        <v>181.70000000000002</v>
      </c>
      <c r="S31" s="39">
        <f t="shared" si="121"/>
        <v>170.8</v>
      </c>
      <c r="T31" s="40">
        <f>T20+T27+T29</f>
        <v>352.59999999999997</v>
      </c>
      <c r="U31" s="39">
        <f t="shared" ref="U31:V31" si="122">U20+U27+U29</f>
        <v>182.7</v>
      </c>
      <c r="V31" s="41">
        <f t="shared" si="122"/>
        <v>172.50800000000001</v>
      </c>
      <c r="W31" s="42">
        <f t="shared" ref="W31:AI31" si="123">W20+W27+W29</f>
        <v>355.20799999999997</v>
      </c>
      <c r="X31" s="41">
        <f t="shared" si="123"/>
        <v>190.00799999999998</v>
      </c>
      <c r="Y31" s="41">
        <f t="shared" si="123"/>
        <v>179.40832</v>
      </c>
      <c r="Z31" s="42">
        <f t="shared" si="123"/>
        <v>369.41631999999998</v>
      </c>
      <c r="AA31" s="41">
        <f t="shared" si="123"/>
        <v>197.60831999999999</v>
      </c>
      <c r="AB31" s="41">
        <f t="shared" si="123"/>
        <v>186.58465280000001</v>
      </c>
      <c r="AC31" s="42">
        <f t="shared" si="123"/>
        <v>384.19297280000001</v>
      </c>
      <c r="AD31" s="41">
        <f t="shared" si="123"/>
        <v>205.51265280000001</v>
      </c>
      <c r="AE31" s="41">
        <f t="shared" si="123"/>
        <v>194.04803891200001</v>
      </c>
      <c r="AF31" s="42">
        <f t="shared" si="123"/>
        <v>399.56069171199999</v>
      </c>
      <c r="AG31" s="41">
        <f t="shared" si="123"/>
        <v>221.95366502400003</v>
      </c>
      <c r="AH31" s="41">
        <f t="shared" si="123"/>
        <v>213.45284280320004</v>
      </c>
      <c r="AI31" s="43">
        <f t="shared" si="123"/>
        <v>435.40650782720007</v>
      </c>
    </row>
    <row r="32" spans="2:35" s="22" customFormat="1" x14ac:dyDescent="0.3">
      <c r="B32" s="192" t="s">
        <v>49</v>
      </c>
      <c r="C32" s="35"/>
      <c r="D32" s="35"/>
      <c r="E32" s="36"/>
      <c r="F32" s="35">
        <f t="shared" ref="F32" si="124">IFERROR(F31/C31-1, "-")</f>
        <v>-0.14634146341463394</v>
      </c>
      <c r="G32" s="35">
        <f t="shared" ref="G32" si="125">IFERROR(G31/D31-1, "-")</f>
        <v>4.2846212700841768E-2</v>
      </c>
      <c r="H32" s="36">
        <f t="shared" ref="H32" si="126">IFERROR(H31/E31-1, "-")</f>
        <v>-5.156608097784543E-2</v>
      </c>
      <c r="I32" s="35">
        <f t="shared" ref="I32" si="127">IFERROR(I31/F31-1, "-")</f>
        <v>0.46517857142857122</v>
      </c>
      <c r="J32" s="35">
        <f t="shared" ref="J32" si="128">IFERROR(J31/G31-1, "-")</f>
        <v>0.24064563462949362</v>
      </c>
      <c r="K32" s="36">
        <f t="shared" ref="K32" si="129">IFERROR(K31/H31-1, "-")</f>
        <v>0.33387031816351209</v>
      </c>
      <c r="L32" s="35">
        <f t="shared" ref="L32" si="130">IFERROR(L31/I31-1, "-")</f>
        <v>0.30712979890310788</v>
      </c>
      <c r="M32" s="35">
        <f t="shared" ref="M32" si="131">IFERROR(M31/J31-1, "-")</f>
        <v>0.20934358367829686</v>
      </c>
      <c r="N32" s="36">
        <f t="shared" ref="N32" si="132">IFERROR(N31/K31-1, "-")</f>
        <v>0.26479468599033784</v>
      </c>
      <c r="O32" s="35">
        <f t="shared" ref="O32" si="133">IFERROR(O31/L31-1, "-")</f>
        <v>-3.6363636363636376E-2</v>
      </c>
      <c r="P32" s="35">
        <f t="shared" ref="P32" si="134">IFERROR(P31/M31-1, "-")</f>
        <v>-0.1139364303178485</v>
      </c>
      <c r="Q32" s="36">
        <f>IFERROR(Q31/N31-1, "-")</f>
        <v>-7.4003342086416679E-2</v>
      </c>
      <c r="R32" s="35">
        <f t="shared" ref="R32:V32" si="135">IFERROR(R31/O31-1, "-")</f>
        <v>-0.12094823415578115</v>
      </c>
      <c r="S32" s="35">
        <f t="shared" ref="S32" si="136">IFERROR(S31/P31-1, "-")</f>
        <v>-5.7395143487858569E-2</v>
      </c>
      <c r="T32" s="36">
        <f>IFERROR(T31/Q31-1, "-")</f>
        <v>-9.1002835782418301E-2</v>
      </c>
      <c r="U32" s="35">
        <f t="shared" si="135"/>
        <v>5.5035773252611886E-3</v>
      </c>
      <c r="V32" s="35">
        <f t="shared" si="135"/>
        <v>1.0000000000000009E-2</v>
      </c>
      <c r="W32" s="36">
        <f t="shared" ref="W32" si="137">IFERROR(W31/T31-1, "-")</f>
        <v>7.3964832671582492E-3</v>
      </c>
      <c r="X32" s="35">
        <f t="shared" ref="X32" si="138">IFERROR(X31/U31-1, "-")</f>
        <v>4.0000000000000036E-2</v>
      </c>
      <c r="Y32" s="35">
        <f t="shared" ref="Y32" si="139">IFERROR(Y31/V31-1, "-")</f>
        <v>4.0000000000000036E-2</v>
      </c>
      <c r="Z32" s="36">
        <f t="shared" ref="Z32" si="140">IFERROR(Z31/W31-1, "-")</f>
        <v>4.0000000000000036E-2</v>
      </c>
      <c r="AA32" s="35">
        <f t="shared" ref="AA32" si="141">IFERROR(AA31/X31-1, "-")</f>
        <v>4.0000000000000036E-2</v>
      </c>
      <c r="AB32" s="35">
        <f t="shared" ref="AB32" si="142">IFERROR(AB31/Y31-1, "-")</f>
        <v>4.0000000000000036E-2</v>
      </c>
      <c r="AC32" s="36">
        <f t="shared" ref="AC32" si="143">IFERROR(AC31/Z31-1, "-")</f>
        <v>4.0000000000000036E-2</v>
      </c>
      <c r="AD32" s="35">
        <f t="shared" ref="AD32" si="144">IFERROR(AD31/AA31-1, "-")</f>
        <v>4.0000000000000036E-2</v>
      </c>
      <c r="AE32" s="35">
        <f t="shared" ref="AE32" si="145">IFERROR(AE31/AB31-1, "-")</f>
        <v>4.0000000000000036E-2</v>
      </c>
      <c r="AF32" s="36">
        <f t="shared" ref="AF32" si="146">IFERROR(AF31/AC31-1, "-")</f>
        <v>4.0000000000000036E-2</v>
      </c>
      <c r="AG32" s="35">
        <f t="shared" ref="AG32" si="147">IFERROR(AG31/AD31-1, "-")</f>
        <v>8.0000000000000071E-2</v>
      </c>
      <c r="AH32" s="35">
        <f t="shared" ref="AH32" si="148">IFERROR(AH31/AE31-1, "-")</f>
        <v>0.10000000000000009</v>
      </c>
      <c r="AI32" s="38">
        <f t="shared" ref="AI32" si="149">IFERROR(AI31/AF31-1, "-")</f>
        <v>8.971306952546132E-2</v>
      </c>
    </row>
    <row r="33" spans="2:35" x14ac:dyDescent="0.3">
      <c r="B33" s="193"/>
      <c r="C33" s="44"/>
      <c r="D33" s="44"/>
      <c r="E33" s="45"/>
      <c r="F33" s="44"/>
      <c r="G33" s="44"/>
      <c r="H33" s="45"/>
      <c r="I33" s="44"/>
      <c r="J33" s="44"/>
      <c r="K33" s="45"/>
      <c r="L33" s="44"/>
      <c r="M33" s="44"/>
      <c r="N33" s="45"/>
      <c r="O33" s="44"/>
      <c r="P33" s="44"/>
      <c r="Q33" s="45"/>
      <c r="R33" s="44"/>
      <c r="S33" s="44"/>
      <c r="T33" s="45"/>
      <c r="U33" s="44"/>
      <c r="V33" s="44"/>
      <c r="W33" s="45"/>
      <c r="X33" s="44"/>
      <c r="Y33" s="44"/>
      <c r="Z33" s="45"/>
      <c r="AA33" s="44"/>
      <c r="AB33" s="44"/>
      <c r="AC33" s="45"/>
      <c r="AD33" s="44"/>
      <c r="AE33" s="44"/>
      <c r="AF33" s="45"/>
      <c r="AG33" s="44"/>
      <c r="AH33" s="44"/>
      <c r="AI33" s="46"/>
    </row>
    <row r="34" spans="2:35" x14ac:dyDescent="0.3">
      <c r="B34" s="191" t="s">
        <v>52</v>
      </c>
      <c r="C34" s="44"/>
      <c r="D34" s="44"/>
      <c r="E34" s="45"/>
      <c r="F34" s="44"/>
      <c r="G34" s="44"/>
      <c r="H34" s="45"/>
      <c r="I34" s="44"/>
      <c r="J34" s="44"/>
      <c r="K34" s="45"/>
      <c r="L34" s="44"/>
      <c r="M34" s="44"/>
      <c r="N34" s="45"/>
      <c r="O34" s="44"/>
      <c r="P34" s="44"/>
      <c r="Q34" s="45"/>
      <c r="R34" s="44"/>
      <c r="S34" s="44"/>
      <c r="T34" s="45"/>
      <c r="U34" s="44"/>
      <c r="V34" s="44"/>
      <c r="W34" s="45"/>
      <c r="X34" s="44"/>
      <c r="Y34" s="44"/>
      <c r="Z34" s="45"/>
      <c r="AA34" s="44"/>
      <c r="AB34" s="44"/>
      <c r="AC34" s="45"/>
      <c r="AD34" s="44"/>
      <c r="AE34" s="44"/>
      <c r="AF34" s="45"/>
      <c r="AG34" s="44"/>
      <c r="AH34" s="44"/>
      <c r="AI34" s="46"/>
    </row>
    <row r="35" spans="2:35" x14ac:dyDescent="0.3">
      <c r="B35" s="190" t="s">
        <v>41</v>
      </c>
      <c r="C35" s="30">
        <f t="shared" ref="C35:E35" si="150">C16</f>
        <v>379.59999999999997</v>
      </c>
      <c r="D35" s="30">
        <f t="shared" si="150"/>
        <v>355.9</v>
      </c>
      <c r="E35" s="31">
        <f t="shared" si="150"/>
        <v>735.4</v>
      </c>
      <c r="F35" s="30">
        <f t="shared" ref="F35:P35" si="151">F16</f>
        <v>305.39999999999998</v>
      </c>
      <c r="G35" s="30">
        <f t="shared" si="151"/>
        <v>429.59999999999997</v>
      </c>
      <c r="H35" s="31">
        <f t="shared" si="151"/>
        <v>734.99999999999989</v>
      </c>
      <c r="I35" s="30">
        <f t="shared" si="151"/>
        <v>464.59999999999997</v>
      </c>
      <c r="J35" s="30">
        <f t="shared" si="151"/>
        <v>483.7</v>
      </c>
      <c r="K35" s="31">
        <f t="shared" si="151"/>
        <v>948.30000000000007</v>
      </c>
      <c r="L35" s="30">
        <f t="shared" si="151"/>
        <v>638.1</v>
      </c>
      <c r="M35" s="30">
        <f t="shared" si="151"/>
        <v>461.90000000000003</v>
      </c>
      <c r="N35" s="31">
        <f t="shared" si="151"/>
        <v>1100</v>
      </c>
      <c r="O35" s="30">
        <f t="shared" si="151"/>
        <v>416.1</v>
      </c>
      <c r="P35" s="30">
        <f t="shared" si="151"/>
        <v>362.6</v>
      </c>
      <c r="Q35" s="31">
        <f>Q16</f>
        <v>778.6</v>
      </c>
      <c r="R35" s="30">
        <f t="shared" ref="R35:S35" si="152">R16</f>
        <v>341.5</v>
      </c>
      <c r="S35" s="30">
        <f t="shared" si="152"/>
        <v>270.3</v>
      </c>
      <c r="T35" s="31">
        <f>T16+0.1</f>
        <v>611.80000000000007</v>
      </c>
      <c r="U35" s="30">
        <f t="shared" ref="U35:V35" si="153">U16</f>
        <v>300.2</v>
      </c>
      <c r="V35" s="32">
        <f t="shared" si="153"/>
        <v>302.73600000000005</v>
      </c>
      <c r="W35" s="47">
        <f t="shared" ref="W35:AI35" si="154">W16</f>
        <v>602.93599999999992</v>
      </c>
      <c r="X35" s="32">
        <f t="shared" si="154"/>
        <v>312.20800000000003</v>
      </c>
      <c r="Y35" s="32">
        <f t="shared" si="154"/>
        <v>314.84544000000005</v>
      </c>
      <c r="Z35" s="47">
        <f t="shared" si="154"/>
        <v>627.05344000000014</v>
      </c>
      <c r="AA35" s="32">
        <f t="shared" si="154"/>
        <v>324.69632000000001</v>
      </c>
      <c r="AB35" s="32">
        <f t="shared" si="154"/>
        <v>327.43925760000008</v>
      </c>
      <c r="AC35" s="47">
        <f t="shared" si="154"/>
        <v>652.13557760000003</v>
      </c>
      <c r="AD35" s="32">
        <f t="shared" si="154"/>
        <v>337.6841728</v>
      </c>
      <c r="AE35" s="32">
        <f t="shared" si="154"/>
        <v>340.53682790400006</v>
      </c>
      <c r="AF35" s="47">
        <f t="shared" si="154"/>
        <v>678.22100070400006</v>
      </c>
      <c r="AG35" s="32">
        <f t="shared" si="154"/>
        <v>351.19153971200001</v>
      </c>
      <c r="AH35" s="32">
        <f t="shared" si="154"/>
        <v>354.15830102016008</v>
      </c>
      <c r="AI35" s="48">
        <f t="shared" si="154"/>
        <v>705.34984073216015</v>
      </c>
    </row>
    <row r="36" spans="2:35" x14ac:dyDescent="0.3">
      <c r="B36" s="190" t="s">
        <v>50</v>
      </c>
      <c r="C36" s="30">
        <f t="shared" ref="C36:E36" si="155">C31</f>
        <v>131.19999999999999</v>
      </c>
      <c r="D36" s="30">
        <f t="shared" si="155"/>
        <v>130.69999999999999</v>
      </c>
      <c r="E36" s="31">
        <f t="shared" si="155"/>
        <v>261.79999999999995</v>
      </c>
      <c r="F36" s="30">
        <f t="shared" ref="F36:P36" si="156">F31</f>
        <v>112.00000000000001</v>
      </c>
      <c r="G36" s="30">
        <f t="shared" si="156"/>
        <v>136.30000000000001</v>
      </c>
      <c r="H36" s="31">
        <f t="shared" si="156"/>
        <v>248.3</v>
      </c>
      <c r="I36" s="30">
        <f t="shared" si="156"/>
        <v>164.1</v>
      </c>
      <c r="J36" s="30">
        <f t="shared" si="156"/>
        <v>169.1</v>
      </c>
      <c r="K36" s="31">
        <f t="shared" si="156"/>
        <v>331.20000000000005</v>
      </c>
      <c r="L36" s="30">
        <f t="shared" si="156"/>
        <v>214.5</v>
      </c>
      <c r="M36" s="30">
        <f t="shared" si="156"/>
        <v>204.5</v>
      </c>
      <c r="N36" s="31">
        <f t="shared" si="156"/>
        <v>418.9</v>
      </c>
      <c r="O36" s="30">
        <f t="shared" si="156"/>
        <v>206.7</v>
      </c>
      <c r="P36" s="30">
        <f t="shared" si="156"/>
        <v>181.2</v>
      </c>
      <c r="Q36" s="31">
        <f>Q31</f>
        <v>387.90000000000003</v>
      </c>
      <c r="R36" s="30">
        <f t="shared" ref="R36:S36" si="157">R31</f>
        <v>181.70000000000002</v>
      </c>
      <c r="S36" s="30">
        <f t="shared" si="157"/>
        <v>170.8</v>
      </c>
      <c r="T36" s="31">
        <f>T31</f>
        <v>352.59999999999997</v>
      </c>
      <c r="U36" s="30">
        <f t="shared" ref="U36:V36" si="158">U31</f>
        <v>182.7</v>
      </c>
      <c r="V36" s="32">
        <f t="shared" si="158"/>
        <v>172.50800000000001</v>
      </c>
      <c r="W36" s="47">
        <f t="shared" ref="W36:AI36" si="159">W31</f>
        <v>355.20799999999997</v>
      </c>
      <c r="X36" s="32">
        <f t="shared" si="159"/>
        <v>190.00799999999998</v>
      </c>
      <c r="Y36" s="32">
        <f t="shared" si="159"/>
        <v>179.40832</v>
      </c>
      <c r="Z36" s="47">
        <f t="shared" si="159"/>
        <v>369.41631999999998</v>
      </c>
      <c r="AA36" s="32">
        <f t="shared" si="159"/>
        <v>197.60831999999999</v>
      </c>
      <c r="AB36" s="32">
        <f t="shared" si="159"/>
        <v>186.58465280000001</v>
      </c>
      <c r="AC36" s="47">
        <f t="shared" si="159"/>
        <v>384.19297280000001</v>
      </c>
      <c r="AD36" s="32">
        <f t="shared" si="159"/>
        <v>205.51265280000001</v>
      </c>
      <c r="AE36" s="32">
        <f t="shared" si="159"/>
        <v>194.04803891200001</v>
      </c>
      <c r="AF36" s="47">
        <f t="shared" si="159"/>
        <v>399.56069171199999</v>
      </c>
      <c r="AG36" s="32">
        <f t="shared" si="159"/>
        <v>221.95366502400003</v>
      </c>
      <c r="AH36" s="32">
        <f t="shared" si="159"/>
        <v>213.45284280320004</v>
      </c>
      <c r="AI36" s="48">
        <f t="shared" si="159"/>
        <v>435.40650782720007</v>
      </c>
    </row>
    <row r="37" spans="2:35" x14ac:dyDescent="0.3">
      <c r="B37" s="191" t="s">
        <v>56</v>
      </c>
      <c r="C37" s="39">
        <f t="shared" ref="C37" si="160">C35+C36</f>
        <v>510.79999999999995</v>
      </c>
      <c r="D37" s="39">
        <f t="shared" ref="D37" si="161">D35+D36</f>
        <v>486.59999999999997</v>
      </c>
      <c r="E37" s="40">
        <f t="shared" ref="E37" si="162">E35+E36</f>
        <v>997.19999999999993</v>
      </c>
      <c r="F37" s="39">
        <f t="shared" ref="F37:P37" si="163">F35+F36</f>
        <v>417.4</v>
      </c>
      <c r="G37" s="39">
        <f t="shared" si="163"/>
        <v>565.9</v>
      </c>
      <c r="H37" s="40">
        <f t="shared" si="163"/>
        <v>983.3</v>
      </c>
      <c r="I37" s="39">
        <f t="shared" si="163"/>
        <v>628.69999999999993</v>
      </c>
      <c r="J37" s="39">
        <f t="shared" si="163"/>
        <v>652.79999999999995</v>
      </c>
      <c r="K37" s="40">
        <f t="shared" si="163"/>
        <v>1279.5</v>
      </c>
      <c r="L37" s="39">
        <f t="shared" si="163"/>
        <v>852.6</v>
      </c>
      <c r="M37" s="39">
        <f t="shared" si="163"/>
        <v>666.40000000000009</v>
      </c>
      <c r="N37" s="40">
        <f t="shared" si="163"/>
        <v>1518.9</v>
      </c>
      <c r="O37" s="39">
        <f t="shared" si="163"/>
        <v>622.79999999999995</v>
      </c>
      <c r="P37" s="39">
        <f t="shared" si="163"/>
        <v>543.79999999999995</v>
      </c>
      <c r="Q37" s="40">
        <f>Q35+Q36</f>
        <v>1166.5</v>
      </c>
      <c r="R37" s="39">
        <f t="shared" ref="R37:S37" si="164">R35+R36</f>
        <v>523.20000000000005</v>
      </c>
      <c r="S37" s="39">
        <f t="shared" si="164"/>
        <v>441.1</v>
      </c>
      <c r="T37" s="40">
        <f>T35+T36</f>
        <v>964.40000000000009</v>
      </c>
      <c r="U37" s="39">
        <f t="shared" ref="U37:V37" si="165">U35+U36</f>
        <v>482.9</v>
      </c>
      <c r="V37" s="41">
        <f t="shared" si="165"/>
        <v>475.24400000000003</v>
      </c>
      <c r="W37" s="42">
        <f t="shared" ref="W37:Y37" si="166">W35+W36</f>
        <v>958.14399999999989</v>
      </c>
      <c r="X37" s="41">
        <f t="shared" si="166"/>
        <v>502.21600000000001</v>
      </c>
      <c r="Y37" s="41">
        <f t="shared" si="166"/>
        <v>494.25376000000006</v>
      </c>
      <c r="Z37" s="42">
        <f t="shared" ref="Z37:AB37" si="167">Z35+Z36</f>
        <v>996.46976000000018</v>
      </c>
      <c r="AA37" s="41">
        <f t="shared" si="167"/>
        <v>522.30464000000006</v>
      </c>
      <c r="AB37" s="41">
        <f t="shared" si="167"/>
        <v>514.02391040000009</v>
      </c>
      <c r="AC37" s="42">
        <f t="shared" ref="AC37:AE37" si="168">AC35+AC36</f>
        <v>1036.3285504</v>
      </c>
      <c r="AD37" s="41">
        <f t="shared" si="168"/>
        <v>543.19682560000001</v>
      </c>
      <c r="AE37" s="41">
        <f t="shared" si="168"/>
        <v>534.58486681600004</v>
      </c>
      <c r="AF37" s="42">
        <f t="shared" ref="AF37:AH37" si="169">AF35+AF36</f>
        <v>1077.7816924160002</v>
      </c>
      <c r="AG37" s="41">
        <f t="shared" si="169"/>
        <v>573.1452047360001</v>
      </c>
      <c r="AH37" s="41">
        <f t="shared" si="169"/>
        <v>567.61114382336018</v>
      </c>
      <c r="AI37" s="43">
        <f t="shared" ref="AI37" si="170">AI35+AI36</f>
        <v>1140.7563485593603</v>
      </c>
    </row>
    <row r="38" spans="2:35" s="22" customFormat="1" x14ac:dyDescent="0.3">
      <c r="B38" s="192" t="s">
        <v>49</v>
      </c>
      <c r="C38" s="35"/>
      <c r="D38" s="35"/>
      <c r="E38" s="36"/>
      <c r="F38" s="35">
        <f t="shared" ref="F38" si="171">IFERROR(F37/C37-1, "-")</f>
        <v>-0.18285043069694595</v>
      </c>
      <c r="G38" s="35">
        <f t="shared" ref="G38" si="172">IFERROR(G37/D37-1, "-")</f>
        <v>0.16296752979860263</v>
      </c>
      <c r="H38" s="36">
        <f t="shared" ref="H38" si="173">IFERROR(H37/E37-1, "-")</f>
        <v>-1.3939029281989535E-2</v>
      </c>
      <c r="I38" s="35">
        <f t="shared" ref="I38" si="174">IFERROR(I37/F37-1, "-")</f>
        <v>0.5062290368950646</v>
      </c>
      <c r="J38" s="35">
        <f t="shared" ref="J38" si="175">IFERROR(J37/G37-1, "-")</f>
        <v>0.15356069977027742</v>
      </c>
      <c r="K38" s="36">
        <f t="shared" ref="K38" si="176">IFERROR(K37/H37-1, "-")</f>
        <v>0.30123055018814204</v>
      </c>
      <c r="L38" s="35">
        <f t="shared" ref="L38" si="177">IFERROR(L37/I37-1, "-")</f>
        <v>0.35613170033402275</v>
      </c>
      <c r="M38" s="35">
        <f t="shared" ref="M38" si="178">IFERROR(M37/J37-1, "-")</f>
        <v>2.0833333333333481E-2</v>
      </c>
      <c r="N38" s="36">
        <f t="shared" ref="N38" si="179">IFERROR(N37/K37-1, "-")</f>
        <v>0.1871043376318875</v>
      </c>
      <c r="O38" s="35">
        <f t="shared" ref="O38" si="180">IFERROR(O37/L37-1, "-")</f>
        <v>-0.26952850105559467</v>
      </c>
      <c r="P38" s="35">
        <f t="shared" ref="P38" si="181">IFERROR(P37/M37-1, "-")</f>
        <v>-0.18397358943577446</v>
      </c>
      <c r="Q38" s="36">
        <f>IFERROR(Q37/N37-1, "-")</f>
        <v>-0.23201000724208309</v>
      </c>
      <c r="R38" s="35">
        <f t="shared" ref="R38" si="182">IFERROR(R37/O37-1, "-")</f>
        <v>-0.15992292870905578</v>
      </c>
      <c r="S38" s="35">
        <f t="shared" ref="S38" si="183">IFERROR(S37/P37-1, "-")</f>
        <v>-0.1888561971312982</v>
      </c>
      <c r="T38" s="36">
        <f>IFERROR(T37/Q37-1, "-")</f>
        <v>-0.17325332190312892</v>
      </c>
      <c r="U38" s="35">
        <f t="shared" ref="U38:V38" si="184">IFERROR(U37/R37-1, "-")</f>
        <v>-7.7025993883792165E-2</v>
      </c>
      <c r="V38" s="35">
        <f t="shared" si="184"/>
        <v>7.7406483790523728E-2</v>
      </c>
      <c r="W38" s="36">
        <f t="shared" ref="W38" si="185">IFERROR(W37/T37-1, "-")</f>
        <v>-6.4869348817919725E-3</v>
      </c>
      <c r="X38" s="35">
        <f t="shared" ref="X38" si="186">IFERROR(X37/U37-1, "-")</f>
        <v>4.0000000000000036E-2</v>
      </c>
      <c r="Y38" s="35">
        <f t="shared" ref="Y38" si="187">IFERROR(Y37/V37-1, "-")</f>
        <v>4.0000000000000036E-2</v>
      </c>
      <c r="Z38" s="36">
        <f t="shared" ref="Z38" si="188">IFERROR(Z37/W37-1, "-")</f>
        <v>4.0000000000000258E-2</v>
      </c>
      <c r="AA38" s="35">
        <f t="shared" ref="AA38" si="189">IFERROR(AA37/X37-1, "-")</f>
        <v>4.0000000000000036E-2</v>
      </c>
      <c r="AB38" s="35">
        <f t="shared" ref="AB38" si="190">IFERROR(AB37/Y37-1, "-")</f>
        <v>4.0000000000000036E-2</v>
      </c>
      <c r="AC38" s="36">
        <f t="shared" ref="AC38" si="191">IFERROR(AC37/Z37-1, "-")</f>
        <v>3.9999999999999813E-2</v>
      </c>
      <c r="AD38" s="35">
        <f t="shared" ref="AD38" si="192">IFERROR(AD37/AA37-1, "-")</f>
        <v>3.9999999999999813E-2</v>
      </c>
      <c r="AE38" s="35">
        <f t="shared" ref="AE38" si="193">IFERROR(AE37/AB37-1, "-")</f>
        <v>3.9999999999999813E-2</v>
      </c>
      <c r="AF38" s="36">
        <f t="shared" ref="AF38" si="194">IFERROR(AF37/AC37-1, "-")</f>
        <v>4.0000000000000036E-2</v>
      </c>
      <c r="AG38" s="35">
        <f t="shared" ref="AG38" si="195">IFERROR(AG37/AD37-1, "-")</f>
        <v>5.5133568026506596E-2</v>
      </c>
      <c r="AH38" s="35">
        <f t="shared" ref="AH38" si="196">IFERROR(AH37/AE37-1, "-")</f>
        <v>6.1779296529782757E-2</v>
      </c>
      <c r="AI38" s="38">
        <f t="shared" ref="AI38" si="197">IFERROR(AI37/AF37-1, "-")</f>
        <v>5.8429881103466697E-2</v>
      </c>
    </row>
    <row r="39" spans="2:35" x14ac:dyDescent="0.3">
      <c r="B39" s="190"/>
      <c r="C39" s="44"/>
      <c r="D39" s="44"/>
      <c r="E39" s="45"/>
      <c r="F39" s="44"/>
      <c r="G39" s="44"/>
      <c r="H39" s="45"/>
      <c r="I39" s="44"/>
      <c r="J39" s="44"/>
      <c r="K39" s="45"/>
      <c r="L39" s="44"/>
      <c r="M39" s="44"/>
      <c r="N39" s="45"/>
      <c r="O39" s="44"/>
      <c r="P39" s="44"/>
      <c r="Q39" s="45"/>
      <c r="R39" s="44"/>
      <c r="S39" s="44"/>
      <c r="T39" s="45"/>
      <c r="U39" s="44"/>
      <c r="V39" s="44"/>
      <c r="W39" s="45"/>
      <c r="X39" s="44"/>
      <c r="Y39" s="44"/>
      <c r="Z39" s="45"/>
      <c r="AA39" s="44"/>
      <c r="AB39" s="44"/>
      <c r="AC39" s="45"/>
      <c r="AD39" s="44"/>
      <c r="AE39" s="44"/>
      <c r="AF39" s="45"/>
      <c r="AG39" s="44"/>
      <c r="AH39" s="44"/>
      <c r="AI39" s="46"/>
    </row>
    <row r="40" spans="2:35" x14ac:dyDescent="0.3">
      <c r="B40" s="191" t="s">
        <v>51</v>
      </c>
      <c r="C40" s="44"/>
      <c r="D40" s="44"/>
      <c r="E40" s="45"/>
      <c r="F40" s="44"/>
      <c r="G40" s="44"/>
      <c r="H40" s="45"/>
      <c r="I40" s="44"/>
      <c r="J40" s="44"/>
      <c r="K40" s="45"/>
      <c r="L40" s="44"/>
      <c r="M40" s="44"/>
      <c r="N40" s="45"/>
      <c r="O40" s="44"/>
      <c r="P40" s="44"/>
      <c r="Q40" s="45"/>
      <c r="R40" s="44"/>
      <c r="S40" s="44"/>
      <c r="T40" s="45"/>
      <c r="U40" s="44"/>
      <c r="V40" s="44"/>
      <c r="W40" s="45"/>
      <c r="X40" s="44"/>
      <c r="Y40" s="44"/>
      <c r="Z40" s="45"/>
      <c r="AA40" s="44"/>
      <c r="AB40" s="44"/>
      <c r="AC40" s="45"/>
      <c r="AD40" s="44"/>
      <c r="AE40" s="44"/>
      <c r="AF40" s="45"/>
      <c r="AG40" s="44"/>
      <c r="AH40" s="44"/>
      <c r="AI40" s="46"/>
    </row>
    <row r="41" spans="2:35" x14ac:dyDescent="0.3">
      <c r="B41" s="190" t="s">
        <v>42</v>
      </c>
      <c r="C41" s="30">
        <v>13</v>
      </c>
      <c r="D41" s="30">
        <v>14.3</v>
      </c>
      <c r="E41" s="31">
        <v>27.3</v>
      </c>
      <c r="F41" s="30">
        <v>13.4</v>
      </c>
      <c r="G41" s="30">
        <v>13.7</v>
      </c>
      <c r="H41" s="31">
        <v>27.1</v>
      </c>
      <c r="I41" s="30">
        <v>16.5</v>
      </c>
      <c r="J41" s="30">
        <v>14.5</v>
      </c>
      <c r="K41" s="31">
        <v>31</v>
      </c>
      <c r="L41" s="30">
        <v>14.5</v>
      </c>
      <c r="M41" s="30">
        <v>15.2</v>
      </c>
      <c r="N41" s="31">
        <v>29.7</v>
      </c>
      <c r="O41" s="30">
        <v>14.1</v>
      </c>
      <c r="P41" s="30">
        <v>13.7</v>
      </c>
      <c r="Q41" s="31">
        <v>27.8</v>
      </c>
      <c r="R41" s="30">
        <v>10.5</v>
      </c>
      <c r="S41" s="30">
        <v>9.6999999999999993</v>
      </c>
      <c r="T41" s="31">
        <v>20.100000000000001</v>
      </c>
      <c r="U41" s="30">
        <v>6.7</v>
      </c>
      <c r="V41" s="32">
        <f>S52*(1+V43)</f>
        <v>10.975999999999999</v>
      </c>
      <c r="W41" s="33">
        <f>U41+V41</f>
        <v>17.675999999999998</v>
      </c>
      <c r="X41" s="32">
        <f t="shared" ref="X41" si="198">U52*(1+X43)</f>
        <v>7.2360000000000007</v>
      </c>
      <c r="Y41" s="32">
        <f t="shared" ref="Y41" si="199">V52*(1+Y43)</f>
        <v>12.073600000000001</v>
      </c>
      <c r="Z41" s="33">
        <f>X41+Y41</f>
        <v>19.309600000000003</v>
      </c>
      <c r="AA41" s="32">
        <f t="shared" ref="AA41" si="200">X52*(1+AA43)</f>
        <v>7.8148800000000014</v>
      </c>
      <c r="AB41" s="32">
        <f t="shared" ref="AB41" si="201">Y52*(1+AB43)</f>
        <v>13.280960000000002</v>
      </c>
      <c r="AC41" s="33">
        <f>AA41+AB41</f>
        <v>21.095840000000003</v>
      </c>
      <c r="AD41" s="32">
        <f t="shared" ref="AD41" si="202">AA52*(1+AD43)</f>
        <v>8.4400704000000015</v>
      </c>
      <c r="AE41" s="32">
        <f t="shared" ref="AE41" si="203">AB52*(1+AE43)</f>
        <v>14.609056000000004</v>
      </c>
      <c r="AF41" s="33">
        <f>AD41+AE41</f>
        <v>23.049126400000006</v>
      </c>
      <c r="AG41" s="32">
        <f>AD52*(1+AG43)</f>
        <v>9.1152760320000024</v>
      </c>
      <c r="AH41" s="32">
        <f>AE52*(1+AH43)</f>
        <v>16.069961600000006</v>
      </c>
      <c r="AI41" s="34">
        <f>AG41+AH41</f>
        <v>25.18523763200001</v>
      </c>
    </row>
    <row r="42" spans="2:35" x14ac:dyDescent="0.3">
      <c r="B42" s="190"/>
      <c r="C42" s="30"/>
      <c r="D42" s="30"/>
      <c r="E42" s="31"/>
      <c r="F42" s="30"/>
      <c r="G42" s="30"/>
      <c r="H42" s="31"/>
      <c r="I42" s="30"/>
      <c r="J42" s="30"/>
      <c r="K42" s="31"/>
      <c r="L42" s="30"/>
      <c r="M42" s="30"/>
      <c r="N42" s="31"/>
      <c r="O42" s="30"/>
      <c r="P42" s="30"/>
      <c r="Q42" s="31"/>
      <c r="R42" s="30"/>
      <c r="S42" s="30"/>
      <c r="T42" s="31"/>
      <c r="U42" s="30"/>
      <c r="V42" s="32"/>
      <c r="W42" s="33"/>
      <c r="X42" s="32"/>
      <c r="Y42" s="32"/>
      <c r="Z42" s="33"/>
      <c r="AA42" s="32"/>
      <c r="AB42" s="32"/>
      <c r="AC42" s="33"/>
      <c r="AD42" s="32"/>
      <c r="AE42" s="32"/>
      <c r="AF42" s="33"/>
      <c r="AG42" s="32"/>
      <c r="AH42" s="32"/>
      <c r="AI42" s="34"/>
    </row>
    <row r="43" spans="2:35" s="22" customFormat="1" x14ac:dyDescent="0.3">
      <c r="B43" s="192" t="s">
        <v>45</v>
      </c>
      <c r="C43" s="35"/>
      <c r="D43" s="35"/>
      <c r="E43" s="36"/>
      <c r="F43" s="35">
        <f t="shared" ref="F43" si="204">F41/C52-1</f>
        <v>2.2900763358778775E-2</v>
      </c>
      <c r="G43" s="35">
        <f t="shared" ref="G43" si="205">G41/D52-1</f>
        <v>-4.861111111111116E-2</v>
      </c>
      <c r="H43" s="36">
        <f t="shared" ref="H43" si="206">H41/E52-1</f>
        <v>-1.4545454545454528E-2</v>
      </c>
      <c r="I43" s="35">
        <f t="shared" ref="I43" si="207">I41/F52-1</f>
        <v>0.24060150375939848</v>
      </c>
      <c r="J43" s="35">
        <f t="shared" ref="J43" si="208">J41/G52-1</f>
        <v>6.6176470588235281E-2</v>
      </c>
      <c r="K43" s="36">
        <f t="shared" ref="K43" si="209">K41/H52-1</f>
        <v>0.15241635687732336</v>
      </c>
      <c r="L43" s="35">
        <f t="shared" ref="L43" si="210">L41/I52-1</f>
        <v>-0.12650602409638567</v>
      </c>
      <c r="M43" s="35">
        <f t="shared" ref="M43" si="211">M41/J52-1</f>
        <v>3.4013605442176909E-2</v>
      </c>
      <c r="N43" s="36">
        <f t="shared" ref="N43" si="212">N41/K52-1</f>
        <v>-5.1118210862619806E-2</v>
      </c>
      <c r="O43" s="35">
        <f t="shared" ref="O43" si="213">O41/L52-1</f>
        <v>-3.4246575342465779E-2</v>
      </c>
      <c r="P43" s="35">
        <f t="shared" ref="P43" si="214">P41/M52-1</f>
        <v>-9.27152317880795E-2</v>
      </c>
      <c r="Q43" s="36">
        <f t="shared" ref="Q43" si="215">Q41/N52-1</f>
        <v>-6.3973063973063904E-2</v>
      </c>
      <c r="R43" s="35">
        <f t="shared" ref="R43" si="216">R41/O52-1</f>
        <v>-0.25</v>
      </c>
      <c r="S43" s="35">
        <f t="shared" ref="S43" si="217">S41/P52-1</f>
        <v>-0.29197080291970801</v>
      </c>
      <c r="T43" s="36">
        <f t="shared" ref="T43" si="218">T41/Q52-1</f>
        <v>-0.27436823104693131</v>
      </c>
      <c r="U43" s="35">
        <f>U41/R52-1</f>
        <v>-0.36190476190476184</v>
      </c>
      <c r="V43" s="37">
        <v>0.12</v>
      </c>
      <c r="W43" s="36">
        <f>W41/T41-1</f>
        <v>-0.12059701492537322</v>
      </c>
      <c r="X43" s="37">
        <v>0.08</v>
      </c>
      <c r="Y43" s="37">
        <v>0.1</v>
      </c>
      <c r="Z43" s="36">
        <f>Z41/W41-1</f>
        <v>9.2419099343743261E-2</v>
      </c>
      <c r="AA43" s="37">
        <v>0.08</v>
      </c>
      <c r="AB43" s="37">
        <v>0.1</v>
      </c>
      <c r="AC43" s="36">
        <f>AC41/Z41-1</f>
        <v>9.2505282346604822E-2</v>
      </c>
      <c r="AD43" s="37">
        <v>0.08</v>
      </c>
      <c r="AE43" s="37">
        <v>0.1</v>
      </c>
      <c r="AF43" s="36">
        <f>AF41/AC41-1</f>
        <v>9.2591070087752136E-2</v>
      </c>
      <c r="AG43" s="37">
        <v>0.08</v>
      </c>
      <c r="AH43" s="37">
        <v>0.1</v>
      </c>
      <c r="AI43" s="38">
        <f>AI41/AF41-1</f>
        <v>9.2676450939155997E-2</v>
      </c>
    </row>
    <row r="44" spans="2:35" s="22" customFormat="1" x14ac:dyDescent="0.3">
      <c r="B44" s="192" t="s">
        <v>321</v>
      </c>
      <c r="C44" s="35"/>
      <c r="D44" s="35"/>
      <c r="E44" s="36"/>
      <c r="F44" s="35"/>
      <c r="G44" s="35"/>
      <c r="H44" s="36"/>
      <c r="I44" s="35"/>
      <c r="J44" s="35"/>
      <c r="K44" s="36"/>
      <c r="L44" s="35"/>
      <c r="M44" s="35"/>
      <c r="N44" s="36"/>
      <c r="O44" s="35"/>
      <c r="P44" s="35"/>
      <c r="Q44" s="36"/>
      <c r="R44" s="35"/>
      <c r="S44" s="35"/>
      <c r="T44" s="36"/>
      <c r="U44" s="218">
        <f>U45*R52</f>
        <v>0</v>
      </c>
      <c r="V44" s="37"/>
      <c r="W44" s="36"/>
      <c r="X44" s="37"/>
      <c r="Y44" s="37"/>
      <c r="Z44" s="36"/>
      <c r="AA44" s="37"/>
      <c r="AB44" s="37"/>
      <c r="AC44" s="36"/>
      <c r="AD44" s="37"/>
      <c r="AE44" s="37"/>
      <c r="AF44" s="36"/>
      <c r="AG44" s="37"/>
      <c r="AH44" s="37"/>
      <c r="AI44" s="38"/>
    </row>
    <row r="45" spans="2:35" s="22" customFormat="1" x14ac:dyDescent="0.3">
      <c r="B45" s="192" t="s">
        <v>322</v>
      </c>
      <c r="C45" s="35"/>
      <c r="D45" s="35"/>
      <c r="E45" s="36"/>
      <c r="F45" s="35"/>
      <c r="G45" s="35"/>
      <c r="H45" s="36"/>
      <c r="I45" s="35"/>
      <c r="J45" s="35"/>
      <c r="K45" s="36"/>
      <c r="L45" s="35"/>
      <c r="M45" s="35"/>
      <c r="N45" s="36"/>
      <c r="O45" s="35"/>
      <c r="P45" s="35"/>
      <c r="Q45" s="36"/>
      <c r="R45" s="35"/>
      <c r="S45" s="35"/>
      <c r="T45" s="36">
        <v>-0.156</v>
      </c>
      <c r="U45" s="288"/>
      <c r="V45" s="37"/>
      <c r="W45" s="36"/>
      <c r="X45" s="37"/>
      <c r="Y45" s="37"/>
      <c r="Z45" s="36"/>
      <c r="AA45" s="37"/>
      <c r="AB45" s="37"/>
      <c r="AC45" s="36"/>
      <c r="AD45" s="37"/>
      <c r="AE45" s="37"/>
      <c r="AF45" s="36"/>
      <c r="AG45" s="37"/>
      <c r="AH45" s="37"/>
      <c r="AI45" s="38"/>
    </row>
    <row r="46" spans="2:35" s="22" customFormat="1" x14ac:dyDescent="0.3">
      <c r="B46" s="192" t="s">
        <v>323</v>
      </c>
      <c r="C46" s="35"/>
      <c r="D46" s="35"/>
      <c r="E46" s="36"/>
      <c r="F46" s="35"/>
      <c r="G46" s="35"/>
      <c r="H46" s="36"/>
      <c r="I46" s="35"/>
      <c r="J46" s="35"/>
      <c r="K46" s="36"/>
      <c r="L46" s="35"/>
      <c r="M46" s="35"/>
      <c r="N46" s="36"/>
      <c r="O46" s="35"/>
      <c r="P46" s="35"/>
      <c r="Q46" s="36"/>
      <c r="R46" s="35"/>
      <c r="S46" s="35"/>
      <c r="T46" s="36"/>
      <c r="U46" s="218">
        <f>U47*R52</f>
        <v>0</v>
      </c>
      <c r="V46" s="37"/>
      <c r="W46" s="36"/>
      <c r="X46" s="37"/>
      <c r="Y46" s="37"/>
      <c r="Z46" s="36"/>
      <c r="AA46" s="37"/>
      <c r="AB46" s="37"/>
      <c r="AC46" s="36"/>
      <c r="AD46" s="37"/>
      <c r="AE46" s="37"/>
      <c r="AF46" s="36"/>
      <c r="AG46" s="37"/>
      <c r="AH46" s="37"/>
      <c r="AI46" s="38"/>
    </row>
    <row r="47" spans="2:35" s="22" customFormat="1" x14ac:dyDescent="0.3">
      <c r="B47" s="192" t="s">
        <v>324</v>
      </c>
      <c r="C47" s="35"/>
      <c r="D47" s="35"/>
      <c r="E47" s="36"/>
      <c r="F47" s="35"/>
      <c r="G47" s="35"/>
      <c r="H47" s="36"/>
      <c r="I47" s="35"/>
      <c r="J47" s="35"/>
      <c r="K47" s="36"/>
      <c r="L47" s="35"/>
      <c r="M47" s="35"/>
      <c r="N47" s="36"/>
      <c r="O47" s="35"/>
      <c r="P47" s="35"/>
      <c r="Q47" s="36"/>
      <c r="R47" s="35"/>
      <c r="S47" s="35"/>
      <c r="T47" s="36">
        <v>-6.3E-2</v>
      </c>
      <c r="U47" s="35"/>
      <c r="V47" s="37"/>
      <c r="W47" s="36"/>
      <c r="X47" s="37"/>
      <c r="Y47" s="37"/>
      <c r="Z47" s="36"/>
      <c r="AA47" s="37"/>
      <c r="AB47" s="37"/>
      <c r="AC47" s="36"/>
      <c r="AD47" s="37"/>
      <c r="AE47" s="37"/>
      <c r="AF47" s="36"/>
      <c r="AG47" s="37"/>
      <c r="AH47" s="37"/>
      <c r="AI47" s="38"/>
    </row>
    <row r="48" spans="2:35" x14ac:dyDescent="0.3">
      <c r="B48" s="190" t="s">
        <v>43</v>
      </c>
      <c r="C48" s="30">
        <v>0.1</v>
      </c>
      <c r="D48" s="30">
        <v>0.1</v>
      </c>
      <c r="E48" s="31">
        <v>0.2</v>
      </c>
      <c r="F48" s="30">
        <v>-0.1</v>
      </c>
      <c r="G48" s="30">
        <v>-0.1</v>
      </c>
      <c r="H48" s="31">
        <v>-0.2</v>
      </c>
      <c r="I48" s="30">
        <v>0.1</v>
      </c>
      <c r="J48" s="30">
        <v>0.2</v>
      </c>
      <c r="K48" s="31">
        <v>0.3</v>
      </c>
      <c r="L48" s="30">
        <v>0.1</v>
      </c>
      <c r="M48" s="30">
        <v>-0.1</v>
      </c>
      <c r="N48" s="31">
        <v>0</v>
      </c>
      <c r="O48" s="30">
        <v>-0.1</v>
      </c>
      <c r="P48" s="30">
        <v>0</v>
      </c>
      <c r="Q48" s="31">
        <v>-0.1</v>
      </c>
      <c r="R48" s="30">
        <v>0</v>
      </c>
      <c r="S48" s="30">
        <v>0.1</v>
      </c>
      <c r="T48" s="31">
        <v>0.1</v>
      </c>
      <c r="U48" s="30">
        <v>0</v>
      </c>
      <c r="V48" s="32">
        <f>V49*S52</f>
        <v>0</v>
      </c>
      <c r="W48" s="33">
        <f>U48+V48</f>
        <v>0</v>
      </c>
      <c r="X48" s="32">
        <f t="shared" ref="X48" si="219">X49*U52</f>
        <v>0</v>
      </c>
      <c r="Y48" s="32">
        <f t="shared" ref="Y48" si="220">Y49*V52</f>
        <v>0</v>
      </c>
      <c r="Z48" s="33">
        <f>X48+Y48</f>
        <v>0</v>
      </c>
      <c r="AA48" s="32">
        <f t="shared" ref="AA48" si="221">AA49*X52</f>
        <v>0</v>
      </c>
      <c r="AB48" s="32">
        <f t="shared" ref="AB48" si="222">AB49*Y52</f>
        <v>0</v>
      </c>
      <c r="AC48" s="33">
        <f>AA48+AB48</f>
        <v>0</v>
      </c>
      <c r="AD48" s="32">
        <f t="shared" ref="AD48" si="223">AD49*AA52</f>
        <v>0</v>
      </c>
      <c r="AE48" s="32">
        <f t="shared" ref="AE48" si="224">AE49*AB52</f>
        <v>0</v>
      </c>
      <c r="AF48" s="33">
        <f>AD48+AE48</f>
        <v>0</v>
      </c>
      <c r="AG48" s="32">
        <f t="shared" ref="AG48" si="225">AG49*AD52</f>
        <v>0</v>
      </c>
      <c r="AH48" s="32">
        <f t="shared" ref="AH48" si="226">AH49*AE52</f>
        <v>0</v>
      </c>
      <c r="AI48" s="34">
        <f>AG48+AH48</f>
        <v>0</v>
      </c>
    </row>
    <row r="49" spans="2:35" s="22" customFormat="1" x14ac:dyDescent="0.3">
      <c r="B49" s="192" t="s">
        <v>46</v>
      </c>
      <c r="C49" s="35"/>
      <c r="D49" s="35"/>
      <c r="E49" s="36"/>
      <c r="F49" s="35">
        <f t="shared" ref="F49" si="227">F48/C52</f>
        <v>-7.6335877862595426E-3</v>
      </c>
      <c r="G49" s="35">
        <f t="shared" ref="G49" si="228">G48/D52</f>
        <v>-6.9444444444444449E-3</v>
      </c>
      <c r="H49" s="36">
        <f t="shared" ref="H49" si="229">H48/E52</f>
        <v>-7.2727272727272727E-3</v>
      </c>
      <c r="I49" s="35">
        <f t="shared" ref="I49" si="230">I48/F52</f>
        <v>7.5187969924812026E-3</v>
      </c>
      <c r="J49" s="35">
        <f t="shared" ref="J49" si="231">J48/G52</f>
        <v>1.4705882352941178E-2</v>
      </c>
      <c r="K49" s="36">
        <f t="shared" ref="K49" si="232">K48/H52</f>
        <v>1.1152416356877323E-2</v>
      </c>
      <c r="L49" s="35">
        <f t="shared" ref="L49" si="233">L48/I52</f>
        <v>6.0240963855421681E-3</v>
      </c>
      <c r="M49" s="35">
        <f t="shared" ref="M49" si="234">M48/J52</f>
        <v>-6.8027210884353748E-3</v>
      </c>
      <c r="N49" s="36">
        <f t="shared" ref="N49" si="235">N48/K52</f>
        <v>0</v>
      </c>
      <c r="O49" s="35">
        <f t="shared" ref="O49" si="236">O48/L52</f>
        <v>-6.8493150684931512E-3</v>
      </c>
      <c r="P49" s="35">
        <f t="shared" ref="P49" si="237">P48/M52</f>
        <v>0</v>
      </c>
      <c r="Q49" s="36">
        <f t="shared" ref="Q49" si="238">Q48/N52</f>
        <v>-3.3670033670033673E-3</v>
      </c>
      <c r="R49" s="35">
        <f t="shared" ref="R49" si="239">R48/O52</f>
        <v>0</v>
      </c>
      <c r="S49" s="35">
        <f t="shared" ref="S49" si="240">S48/P52</f>
        <v>7.2992700729927014E-3</v>
      </c>
      <c r="T49" s="36">
        <f>T48/Q52</f>
        <v>3.6101083032490976E-3</v>
      </c>
      <c r="U49" s="35">
        <f>U48/R52</f>
        <v>0</v>
      </c>
      <c r="V49" s="37">
        <v>0</v>
      </c>
      <c r="W49" s="36">
        <f>W48/T52</f>
        <v>0</v>
      </c>
      <c r="X49" s="37">
        <v>0</v>
      </c>
      <c r="Y49" s="37">
        <v>0</v>
      </c>
      <c r="Z49" s="36">
        <f>Z48/W52</f>
        <v>0</v>
      </c>
      <c r="AA49" s="37">
        <v>0</v>
      </c>
      <c r="AB49" s="37">
        <v>0</v>
      </c>
      <c r="AC49" s="36">
        <f>AC48/Z52</f>
        <v>0</v>
      </c>
      <c r="AD49" s="37">
        <v>0</v>
      </c>
      <c r="AE49" s="37">
        <v>0</v>
      </c>
      <c r="AF49" s="36">
        <f>AF48/AC52</f>
        <v>0</v>
      </c>
      <c r="AG49" s="37">
        <v>0</v>
      </c>
      <c r="AH49" s="37">
        <v>0</v>
      </c>
      <c r="AI49" s="38">
        <f>AI48/AF52</f>
        <v>0</v>
      </c>
    </row>
    <row r="50" spans="2:35" x14ac:dyDescent="0.3">
      <c r="B50" s="190" t="s">
        <v>44</v>
      </c>
      <c r="C50" s="30">
        <v>0</v>
      </c>
      <c r="D50" s="30">
        <v>0</v>
      </c>
      <c r="E50" s="31">
        <v>0</v>
      </c>
      <c r="F50" s="30">
        <v>0</v>
      </c>
      <c r="G50" s="30">
        <v>0</v>
      </c>
      <c r="H50" s="31">
        <v>0</v>
      </c>
      <c r="I50" s="30">
        <v>0</v>
      </c>
      <c r="J50" s="30">
        <v>0</v>
      </c>
      <c r="K50" s="31">
        <v>0</v>
      </c>
      <c r="L50" s="30">
        <v>0</v>
      </c>
      <c r="M50" s="30">
        <v>0</v>
      </c>
      <c r="N50" s="31">
        <v>0</v>
      </c>
      <c r="O50" s="30">
        <v>0</v>
      </c>
      <c r="P50" s="30">
        <v>0</v>
      </c>
      <c r="Q50" s="31">
        <v>0</v>
      </c>
      <c r="R50" s="30">
        <v>0</v>
      </c>
      <c r="S50" s="30">
        <v>0</v>
      </c>
      <c r="T50" s="31">
        <v>0</v>
      </c>
      <c r="U50" s="30">
        <v>0</v>
      </c>
      <c r="V50" s="32">
        <f>V51*S52</f>
        <v>0</v>
      </c>
      <c r="W50" s="33">
        <f>U50+V50</f>
        <v>0</v>
      </c>
      <c r="X50" s="32">
        <f>X51*U52</f>
        <v>0</v>
      </c>
      <c r="Y50" s="32">
        <f>Y51*V52</f>
        <v>0</v>
      </c>
      <c r="Z50" s="33">
        <f>X50+Y50</f>
        <v>0</v>
      </c>
      <c r="AA50" s="32">
        <f>AA51*X52</f>
        <v>0</v>
      </c>
      <c r="AB50" s="32">
        <f>AB51*Y52</f>
        <v>0</v>
      </c>
      <c r="AC50" s="33">
        <f>AA50+AB50</f>
        <v>0</v>
      </c>
      <c r="AD50" s="32">
        <f>AD51*AA52</f>
        <v>0</v>
      </c>
      <c r="AE50" s="32">
        <f>AE51*AB52</f>
        <v>0</v>
      </c>
      <c r="AF50" s="33">
        <f>AD50+AE50</f>
        <v>0</v>
      </c>
      <c r="AG50" s="32">
        <f>AG51*AD52</f>
        <v>0</v>
      </c>
      <c r="AH50" s="32">
        <f>AH51*AE52</f>
        <v>0</v>
      </c>
      <c r="AI50" s="34">
        <f>AG50+AH50</f>
        <v>0</v>
      </c>
    </row>
    <row r="51" spans="2:35" s="22" customFormat="1" x14ac:dyDescent="0.3">
      <c r="B51" s="192" t="s">
        <v>47</v>
      </c>
      <c r="C51" s="35"/>
      <c r="D51" s="35"/>
      <c r="E51" s="36"/>
      <c r="F51" s="35" t="e">
        <f>F50/C152</f>
        <v>#DIV/0!</v>
      </c>
      <c r="G51" s="35" t="e">
        <f t="shared" ref="G51" si="241">G50/D152</f>
        <v>#DIV/0!</v>
      </c>
      <c r="H51" s="36" t="e">
        <f t="shared" ref="H51" si="242">H50/E152</f>
        <v>#DIV/0!</v>
      </c>
      <c r="I51" s="35" t="e">
        <f t="shared" ref="I51" si="243">I50/F152</f>
        <v>#DIV/0!</v>
      </c>
      <c r="J51" s="35" t="e">
        <f t="shared" ref="J51" si="244">J50/G152</f>
        <v>#DIV/0!</v>
      </c>
      <c r="K51" s="36" t="e">
        <f t="shared" ref="K51" si="245">K50/H152</f>
        <v>#DIV/0!</v>
      </c>
      <c r="L51" s="35" t="e">
        <f t="shared" ref="L51" si="246">L50/I152</f>
        <v>#DIV/0!</v>
      </c>
      <c r="M51" s="35" t="e">
        <f t="shared" ref="M51" si="247">M50/J152</f>
        <v>#DIV/0!</v>
      </c>
      <c r="N51" s="36" t="e">
        <f t="shared" ref="N51" si="248">N50/K152</f>
        <v>#DIV/0!</v>
      </c>
      <c r="O51" s="35" t="e">
        <f t="shared" ref="O51" si="249">O50/L152</f>
        <v>#DIV/0!</v>
      </c>
      <c r="P51" s="35" t="e">
        <f t="shared" ref="P51" si="250">P50/M152</f>
        <v>#DIV/0!</v>
      </c>
      <c r="Q51" s="36" t="e">
        <f t="shared" ref="Q51" si="251">Q50/N152</f>
        <v>#DIV/0!</v>
      </c>
      <c r="R51" s="35" t="e">
        <f t="shared" ref="R51" si="252">R50/O152</f>
        <v>#DIV/0!</v>
      </c>
      <c r="S51" s="35" t="e">
        <f t="shared" ref="S51" si="253">S50/P152</f>
        <v>#DIV/0!</v>
      </c>
      <c r="T51" s="36" t="e">
        <f t="shared" ref="T51" si="254">T50/Q152</f>
        <v>#DIV/0!</v>
      </c>
      <c r="U51" s="35" t="e">
        <f t="shared" ref="U51" si="255">U50/R152</f>
        <v>#DIV/0!</v>
      </c>
      <c r="V51" s="37">
        <v>0</v>
      </c>
      <c r="W51" s="36" t="e">
        <f t="shared" ref="W51" si="256">W50/T152</f>
        <v>#DIV/0!</v>
      </c>
      <c r="X51" s="37">
        <v>0</v>
      </c>
      <c r="Y51" s="37">
        <v>0</v>
      </c>
      <c r="Z51" s="36" t="e">
        <f t="shared" ref="Z51" si="257">Z50/W152</f>
        <v>#DIV/0!</v>
      </c>
      <c r="AA51" s="37">
        <v>0</v>
      </c>
      <c r="AB51" s="37">
        <v>0</v>
      </c>
      <c r="AC51" s="36" t="e">
        <f t="shared" ref="AC51" si="258">AC50/Z152</f>
        <v>#DIV/0!</v>
      </c>
      <c r="AD51" s="37">
        <v>0</v>
      </c>
      <c r="AE51" s="37">
        <v>0</v>
      </c>
      <c r="AF51" s="36" t="e">
        <f t="shared" ref="AF51" si="259">AF50/AC152</f>
        <v>#DIV/0!</v>
      </c>
      <c r="AG51" s="37">
        <v>0</v>
      </c>
      <c r="AH51" s="37">
        <v>0</v>
      </c>
      <c r="AI51" s="38" t="e">
        <f t="shared" ref="AI51" si="260">AI50/AF152</f>
        <v>#DIV/0!</v>
      </c>
    </row>
    <row r="52" spans="2:35" x14ac:dyDescent="0.3">
      <c r="B52" s="191" t="s">
        <v>57</v>
      </c>
      <c r="C52" s="39">
        <f t="shared" ref="C52:P52" si="261">C41+C48+C50</f>
        <v>13.1</v>
      </c>
      <c r="D52" s="39">
        <f t="shared" si="261"/>
        <v>14.4</v>
      </c>
      <c r="E52" s="40">
        <f t="shared" si="261"/>
        <v>27.5</v>
      </c>
      <c r="F52" s="39">
        <f t="shared" si="261"/>
        <v>13.3</v>
      </c>
      <c r="G52" s="39">
        <f t="shared" si="261"/>
        <v>13.6</v>
      </c>
      <c r="H52" s="40">
        <f t="shared" si="261"/>
        <v>26.900000000000002</v>
      </c>
      <c r="I52" s="39">
        <f t="shared" si="261"/>
        <v>16.600000000000001</v>
      </c>
      <c r="J52" s="39">
        <f t="shared" si="261"/>
        <v>14.7</v>
      </c>
      <c r="K52" s="40">
        <f t="shared" si="261"/>
        <v>31.3</v>
      </c>
      <c r="L52" s="39">
        <f t="shared" si="261"/>
        <v>14.6</v>
      </c>
      <c r="M52" s="39">
        <f t="shared" si="261"/>
        <v>15.1</v>
      </c>
      <c r="N52" s="40">
        <f t="shared" si="261"/>
        <v>29.7</v>
      </c>
      <c r="O52" s="39">
        <f t="shared" si="261"/>
        <v>14</v>
      </c>
      <c r="P52" s="39">
        <f t="shared" si="261"/>
        <v>13.7</v>
      </c>
      <c r="Q52" s="40">
        <f>Q41+Q48+Q50</f>
        <v>27.7</v>
      </c>
      <c r="R52" s="39">
        <f t="shared" ref="R52:S52" si="262">R41+R48+R50</f>
        <v>10.5</v>
      </c>
      <c r="S52" s="39">
        <f t="shared" si="262"/>
        <v>9.7999999999999989</v>
      </c>
      <c r="T52" s="40">
        <f>T41+T48+T50+0.1</f>
        <v>20.300000000000004</v>
      </c>
      <c r="U52" s="39">
        <f t="shared" ref="U52:V52" si="263">U41+U48+U50</f>
        <v>6.7</v>
      </c>
      <c r="V52" s="41">
        <f t="shared" si="263"/>
        <v>10.975999999999999</v>
      </c>
      <c r="W52" s="42">
        <f t="shared" ref="W52:AI52" si="264">W41+W48+W50</f>
        <v>17.675999999999998</v>
      </c>
      <c r="X52" s="41">
        <f t="shared" si="264"/>
        <v>7.2360000000000007</v>
      </c>
      <c r="Y52" s="41">
        <f t="shared" si="264"/>
        <v>12.073600000000001</v>
      </c>
      <c r="Z52" s="42">
        <f t="shared" si="264"/>
        <v>19.309600000000003</v>
      </c>
      <c r="AA52" s="41">
        <f t="shared" si="264"/>
        <v>7.8148800000000014</v>
      </c>
      <c r="AB52" s="41">
        <f t="shared" si="264"/>
        <v>13.280960000000002</v>
      </c>
      <c r="AC52" s="42">
        <f t="shared" si="264"/>
        <v>21.095840000000003</v>
      </c>
      <c r="AD52" s="41">
        <f t="shared" si="264"/>
        <v>8.4400704000000015</v>
      </c>
      <c r="AE52" s="41">
        <f t="shared" si="264"/>
        <v>14.609056000000004</v>
      </c>
      <c r="AF52" s="42">
        <f t="shared" si="264"/>
        <v>23.049126400000006</v>
      </c>
      <c r="AG52" s="41">
        <f t="shared" si="264"/>
        <v>9.1152760320000024</v>
      </c>
      <c r="AH52" s="41">
        <f t="shared" si="264"/>
        <v>16.069961600000006</v>
      </c>
      <c r="AI52" s="43">
        <f t="shared" si="264"/>
        <v>25.18523763200001</v>
      </c>
    </row>
    <row r="53" spans="2:35" s="22" customFormat="1" x14ac:dyDescent="0.3">
      <c r="B53" s="192" t="s">
        <v>49</v>
      </c>
      <c r="C53" s="35"/>
      <c r="D53" s="35"/>
      <c r="E53" s="36"/>
      <c r="F53" s="35">
        <f t="shared" ref="F53" si="265">IFERROR(F52/C52-1, "-")</f>
        <v>1.5267175572519109E-2</v>
      </c>
      <c r="G53" s="35">
        <f t="shared" ref="G53" si="266">IFERROR(G52/D52-1, "-")</f>
        <v>-5.555555555555558E-2</v>
      </c>
      <c r="H53" s="36">
        <f t="shared" ref="H53" si="267">IFERROR(H52/E52-1, "-")</f>
        <v>-2.1818181818181737E-2</v>
      </c>
      <c r="I53" s="35">
        <f t="shared" ref="I53" si="268">IFERROR(I52/F52-1, "-")</f>
        <v>0.24812030075187974</v>
      </c>
      <c r="J53" s="35">
        <f t="shared" ref="J53" si="269">IFERROR(J52/G52-1, "-")</f>
        <v>8.0882352941176405E-2</v>
      </c>
      <c r="K53" s="36">
        <f t="shared" ref="K53" si="270">IFERROR(K52/H52-1, "-")</f>
        <v>0.1635687732342006</v>
      </c>
      <c r="L53" s="35">
        <f t="shared" ref="L53" si="271">IFERROR(L52/I52-1, "-")</f>
        <v>-0.12048192771084343</v>
      </c>
      <c r="M53" s="35">
        <f t="shared" ref="M53" si="272">IFERROR(M52/J52-1, "-")</f>
        <v>2.7210884353741527E-2</v>
      </c>
      <c r="N53" s="36">
        <f t="shared" ref="N53" si="273">IFERROR(N52/K52-1, "-")</f>
        <v>-5.1118210862619806E-2</v>
      </c>
      <c r="O53" s="35">
        <f t="shared" ref="O53" si="274">IFERROR(O52/L52-1, "-")</f>
        <v>-4.1095890410958846E-2</v>
      </c>
      <c r="P53" s="35">
        <f t="shared" ref="P53" si="275">IFERROR(P52/M52-1, "-")</f>
        <v>-9.27152317880795E-2</v>
      </c>
      <c r="Q53" s="36">
        <f>IFERROR(Q52/N52-1, "-")</f>
        <v>-6.7340067340067367E-2</v>
      </c>
      <c r="R53" s="35">
        <f t="shared" ref="R53:V53" si="276">IFERROR(R52/O52-1, "-")</f>
        <v>-0.25</v>
      </c>
      <c r="S53" s="35">
        <f t="shared" ref="S53" si="277">IFERROR(S52/P52-1, "-")</f>
        <v>-0.28467153284671531</v>
      </c>
      <c r="T53" s="36">
        <f>IFERROR(T52/Q52-1, "-")</f>
        <v>-0.26714801444043301</v>
      </c>
      <c r="U53" s="35">
        <f t="shared" si="276"/>
        <v>-0.36190476190476184</v>
      </c>
      <c r="V53" s="35">
        <f t="shared" si="276"/>
        <v>0.12000000000000011</v>
      </c>
      <c r="W53" s="36">
        <f t="shared" ref="W53" si="278">IFERROR(W52/T52-1, "-")</f>
        <v>-0.1292610837438426</v>
      </c>
      <c r="X53" s="35">
        <f t="shared" ref="X53" si="279">IFERROR(X52/U52-1, "-")</f>
        <v>8.0000000000000071E-2</v>
      </c>
      <c r="Y53" s="35">
        <f t="shared" ref="Y53" si="280">IFERROR(Y52/V52-1, "-")</f>
        <v>0.10000000000000009</v>
      </c>
      <c r="Z53" s="36">
        <f t="shared" ref="Z53" si="281">IFERROR(Z52/W52-1, "-")</f>
        <v>9.2419099343743261E-2</v>
      </c>
      <c r="AA53" s="35">
        <f t="shared" ref="AA53" si="282">IFERROR(AA52/X52-1, "-")</f>
        <v>8.0000000000000071E-2</v>
      </c>
      <c r="AB53" s="35">
        <f t="shared" ref="AB53" si="283">IFERROR(AB52/Y52-1, "-")</f>
        <v>0.10000000000000009</v>
      </c>
      <c r="AC53" s="36">
        <f t="shared" ref="AC53" si="284">IFERROR(AC52/Z52-1, "-")</f>
        <v>9.2505282346604822E-2</v>
      </c>
      <c r="AD53" s="35">
        <f t="shared" ref="AD53" si="285">IFERROR(AD52/AA52-1, "-")</f>
        <v>8.0000000000000071E-2</v>
      </c>
      <c r="AE53" s="35">
        <f t="shared" ref="AE53" si="286">IFERROR(AE52/AB52-1, "-")</f>
        <v>0.10000000000000009</v>
      </c>
      <c r="AF53" s="36">
        <f t="shared" ref="AF53" si="287">IFERROR(AF52/AC52-1, "-")</f>
        <v>9.2591070087752136E-2</v>
      </c>
      <c r="AG53" s="35">
        <f t="shared" ref="AG53" si="288">IFERROR(AG52/AD52-1, "-")</f>
        <v>8.0000000000000071E-2</v>
      </c>
      <c r="AH53" s="35">
        <f t="shared" ref="AH53" si="289">IFERROR(AH52/AE52-1, "-")</f>
        <v>0.10000000000000009</v>
      </c>
      <c r="AI53" s="38">
        <f t="shared" ref="AI53" si="290">IFERROR(AI52/AF52-1, "-")</f>
        <v>9.2676450939155997E-2</v>
      </c>
    </row>
    <row r="54" spans="2:35" x14ac:dyDescent="0.3">
      <c r="B54" s="190"/>
      <c r="C54" s="44"/>
      <c r="D54" s="44"/>
      <c r="E54" s="45"/>
      <c r="F54" s="44"/>
      <c r="G54" s="44"/>
      <c r="H54" s="45"/>
      <c r="I54" s="44"/>
      <c r="J54" s="44"/>
      <c r="K54" s="45"/>
      <c r="L54" s="44"/>
      <c r="M54" s="44"/>
      <c r="N54" s="45"/>
      <c r="O54" s="44"/>
      <c r="P54" s="44"/>
      <c r="Q54" s="45"/>
      <c r="R54" s="44"/>
      <c r="S54" s="44"/>
      <c r="T54" s="45"/>
      <c r="U54" s="44"/>
      <c r="V54" s="44"/>
      <c r="W54" s="45"/>
      <c r="X54" s="44"/>
      <c r="Y54" s="44"/>
      <c r="Z54" s="45"/>
      <c r="AA54" s="44"/>
      <c r="AB54" s="44"/>
      <c r="AC54" s="45"/>
      <c r="AD54" s="44"/>
      <c r="AE54" s="44"/>
      <c r="AF54" s="45"/>
      <c r="AG54" s="44"/>
      <c r="AH54" s="44"/>
      <c r="AI54" s="46"/>
    </row>
    <row r="55" spans="2:35" x14ac:dyDescent="0.3">
      <c r="B55" s="191" t="s">
        <v>53</v>
      </c>
      <c r="C55" s="44"/>
      <c r="D55" s="44"/>
      <c r="E55" s="45"/>
      <c r="F55" s="44"/>
      <c r="G55" s="44"/>
      <c r="H55" s="45"/>
      <c r="I55" s="44"/>
      <c r="J55" s="44"/>
      <c r="K55" s="45"/>
      <c r="L55" s="44"/>
      <c r="M55" s="44"/>
      <c r="N55" s="45"/>
      <c r="O55" s="44"/>
      <c r="P55" s="44"/>
      <c r="Q55" s="45"/>
      <c r="R55" s="44"/>
      <c r="S55" s="44"/>
      <c r="T55" s="45"/>
      <c r="U55" s="44"/>
      <c r="V55" s="44"/>
      <c r="W55" s="45"/>
      <c r="X55" s="44"/>
      <c r="Y55" s="44"/>
      <c r="Z55" s="45"/>
      <c r="AA55" s="44"/>
      <c r="AB55" s="44"/>
      <c r="AC55" s="45"/>
      <c r="AD55" s="44"/>
      <c r="AE55" s="44"/>
      <c r="AF55" s="45"/>
      <c r="AG55" s="44"/>
      <c r="AH55" s="44"/>
      <c r="AI55" s="46"/>
    </row>
    <row r="56" spans="2:35" x14ac:dyDescent="0.3">
      <c r="B56" s="190" t="s">
        <v>58</v>
      </c>
      <c r="C56" s="30">
        <f t="shared" ref="C56:P56" si="291">C37</f>
        <v>510.79999999999995</v>
      </c>
      <c r="D56" s="30">
        <f t="shared" si="291"/>
        <v>486.59999999999997</v>
      </c>
      <c r="E56" s="31">
        <f t="shared" si="291"/>
        <v>997.19999999999993</v>
      </c>
      <c r="F56" s="30">
        <f t="shared" si="291"/>
        <v>417.4</v>
      </c>
      <c r="G56" s="30">
        <f t="shared" si="291"/>
        <v>565.9</v>
      </c>
      <c r="H56" s="31">
        <f t="shared" si="291"/>
        <v>983.3</v>
      </c>
      <c r="I56" s="30">
        <f t="shared" si="291"/>
        <v>628.69999999999993</v>
      </c>
      <c r="J56" s="30">
        <f t="shared" si="291"/>
        <v>652.79999999999995</v>
      </c>
      <c r="K56" s="31">
        <f t="shared" si="291"/>
        <v>1279.5</v>
      </c>
      <c r="L56" s="30">
        <f t="shared" si="291"/>
        <v>852.6</v>
      </c>
      <c r="M56" s="30">
        <f t="shared" si="291"/>
        <v>666.40000000000009</v>
      </c>
      <c r="N56" s="31">
        <f t="shared" si="291"/>
        <v>1518.9</v>
      </c>
      <c r="O56" s="30">
        <f t="shared" si="291"/>
        <v>622.79999999999995</v>
      </c>
      <c r="P56" s="30">
        <f t="shared" si="291"/>
        <v>543.79999999999995</v>
      </c>
      <c r="Q56" s="31">
        <f>Q37</f>
        <v>1166.5</v>
      </c>
      <c r="R56" s="30">
        <f t="shared" ref="R56:S56" si="292">R37</f>
        <v>523.20000000000005</v>
      </c>
      <c r="S56" s="30">
        <f t="shared" si="292"/>
        <v>441.1</v>
      </c>
      <c r="T56" s="31">
        <f>T37</f>
        <v>964.40000000000009</v>
      </c>
      <c r="U56" s="30">
        <f t="shared" ref="U56" si="293">U37</f>
        <v>482.9</v>
      </c>
      <c r="V56" s="32">
        <f t="shared" ref="V56" si="294">V37</f>
        <v>475.24400000000003</v>
      </c>
      <c r="W56" s="47">
        <f>U56+V56</f>
        <v>958.14400000000001</v>
      </c>
      <c r="X56" s="32">
        <f t="shared" ref="X56:Y56" si="295">X37</f>
        <v>502.21600000000001</v>
      </c>
      <c r="Y56" s="32">
        <f t="shared" si="295"/>
        <v>494.25376000000006</v>
      </c>
      <c r="Z56" s="47">
        <f>X56+Y56</f>
        <v>996.46976000000006</v>
      </c>
      <c r="AA56" s="32">
        <f t="shared" ref="AA56:AB56" si="296">AA37</f>
        <v>522.30464000000006</v>
      </c>
      <c r="AB56" s="32">
        <f t="shared" si="296"/>
        <v>514.02391040000009</v>
      </c>
      <c r="AC56" s="47">
        <f>AA56+AB56</f>
        <v>1036.3285504</v>
      </c>
      <c r="AD56" s="32">
        <f t="shared" ref="AD56:AE56" si="297">AD37</f>
        <v>543.19682560000001</v>
      </c>
      <c r="AE56" s="32">
        <f t="shared" si="297"/>
        <v>534.58486681600004</v>
      </c>
      <c r="AF56" s="47">
        <f>AD56+AE56</f>
        <v>1077.7816924160002</v>
      </c>
      <c r="AG56" s="32">
        <f t="shared" ref="AG56:AH56" si="298">AG37</f>
        <v>573.1452047360001</v>
      </c>
      <c r="AH56" s="32">
        <f t="shared" si="298"/>
        <v>567.61114382336018</v>
      </c>
      <c r="AI56" s="48">
        <f>AG56+AH56</f>
        <v>1140.7563485593603</v>
      </c>
    </row>
    <row r="57" spans="2:35" x14ac:dyDescent="0.3">
      <c r="B57" s="190" t="s">
        <v>51</v>
      </c>
      <c r="C57" s="30">
        <f t="shared" ref="C57:P57" si="299">C52</f>
        <v>13.1</v>
      </c>
      <c r="D57" s="30">
        <f t="shared" si="299"/>
        <v>14.4</v>
      </c>
      <c r="E57" s="31">
        <f t="shared" si="299"/>
        <v>27.5</v>
      </c>
      <c r="F57" s="30">
        <f t="shared" si="299"/>
        <v>13.3</v>
      </c>
      <c r="G57" s="30">
        <f t="shared" si="299"/>
        <v>13.6</v>
      </c>
      <c r="H57" s="31">
        <f t="shared" si="299"/>
        <v>26.900000000000002</v>
      </c>
      <c r="I57" s="30">
        <f t="shared" si="299"/>
        <v>16.600000000000001</v>
      </c>
      <c r="J57" s="30">
        <f t="shared" si="299"/>
        <v>14.7</v>
      </c>
      <c r="K57" s="31">
        <f t="shared" si="299"/>
        <v>31.3</v>
      </c>
      <c r="L57" s="30">
        <f t="shared" si="299"/>
        <v>14.6</v>
      </c>
      <c r="M57" s="30">
        <f t="shared" si="299"/>
        <v>15.1</v>
      </c>
      <c r="N57" s="31">
        <f t="shared" si="299"/>
        <v>29.7</v>
      </c>
      <c r="O57" s="30">
        <f t="shared" si="299"/>
        <v>14</v>
      </c>
      <c r="P57" s="30">
        <f t="shared" si="299"/>
        <v>13.7</v>
      </c>
      <c r="Q57" s="31">
        <f>Q52</f>
        <v>27.7</v>
      </c>
      <c r="R57" s="30">
        <f t="shared" ref="R57:S57" si="300">R52</f>
        <v>10.5</v>
      </c>
      <c r="S57" s="30">
        <f t="shared" si="300"/>
        <v>9.7999999999999989</v>
      </c>
      <c r="T57" s="31">
        <f>T52</f>
        <v>20.300000000000004</v>
      </c>
      <c r="U57" s="30">
        <f t="shared" ref="U57" si="301">U52</f>
        <v>6.7</v>
      </c>
      <c r="V57" s="32">
        <f t="shared" ref="V57" si="302">V52</f>
        <v>10.975999999999999</v>
      </c>
      <c r="W57" s="47">
        <f>U57+V57</f>
        <v>17.675999999999998</v>
      </c>
      <c r="X57" s="32">
        <f t="shared" ref="X57:Y57" si="303">X52</f>
        <v>7.2360000000000007</v>
      </c>
      <c r="Y57" s="32">
        <f t="shared" si="303"/>
        <v>12.073600000000001</v>
      </c>
      <c r="Z57" s="47">
        <f>X57+Y57</f>
        <v>19.309600000000003</v>
      </c>
      <c r="AA57" s="32">
        <f t="shared" ref="AA57:AB57" si="304">AA52</f>
        <v>7.8148800000000014</v>
      </c>
      <c r="AB57" s="32">
        <f t="shared" si="304"/>
        <v>13.280960000000002</v>
      </c>
      <c r="AC57" s="47">
        <f>AA57+AB57</f>
        <v>21.095840000000003</v>
      </c>
      <c r="AD57" s="32">
        <f t="shared" ref="AD57:AE57" si="305">AD52</f>
        <v>8.4400704000000015</v>
      </c>
      <c r="AE57" s="32">
        <f t="shared" si="305"/>
        <v>14.609056000000004</v>
      </c>
      <c r="AF57" s="47">
        <f>AD57+AE57</f>
        <v>23.049126400000006</v>
      </c>
      <c r="AG57" s="32">
        <f t="shared" ref="AG57:AH57" si="306">AG52</f>
        <v>9.1152760320000024</v>
      </c>
      <c r="AH57" s="32">
        <f t="shared" si="306"/>
        <v>16.069961600000006</v>
      </c>
      <c r="AI57" s="48">
        <f>AG57+AH57</f>
        <v>25.18523763200001</v>
      </c>
    </row>
    <row r="58" spans="2:35" x14ac:dyDescent="0.3">
      <c r="B58" s="191" t="s">
        <v>48</v>
      </c>
      <c r="C58" s="39">
        <f t="shared" ref="C58" si="307">C56+C57</f>
        <v>523.9</v>
      </c>
      <c r="D58" s="39">
        <f t="shared" ref="D58" si="308">D56+D57</f>
        <v>500.99999999999994</v>
      </c>
      <c r="E58" s="40">
        <f t="shared" ref="E58" si="309">E56+E57</f>
        <v>1024.6999999999998</v>
      </c>
      <c r="F58" s="39">
        <f t="shared" ref="F58:P58" si="310">F56+F57</f>
        <v>430.7</v>
      </c>
      <c r="G58" s="39">
        <f t="shared" si="310"/>
        <v>579.5</v>
      </c>
      <c r="H58" s="40">
        <f t="shared" si="310"/>
        <v>1010.1999999999999</v>
      </c>
      <c r="I58" s="39">
        <f t="shared" si="310"/>
        <v>645.29999999999995</v>
      </c>
      <c r="J58" s="39">
        <f t="shared" si="310"/>
        <v>667.5</v>
      </c>
      <c r="K58" s="40">
        <f t="shared" si="310"/>
        <v>1310.8</v>
      </c>
      <c r="L58" s="39">
        <f t="shared" si="310"/>
        <v>867.2</v>
      </c>
      <c r="M58" s="39">
        <f t="shared" si="310"/>
        <v>681.50000000000011</v>
      </c>
      <c r="N58" s="40">
        <f t="shared" si="310"/>
        <v>1548.6000000000001</v>
      </c>
      <c r="O58" s="39">
        <f t="shared" si="310"/>
        <v>636.79999999999995</v>
      </c>
      <c r="P58" s="39">
        <f t="shared" si="310"/>
        <v>557.5</v>
      </c>
      <c r="Q58" s="40">
        <f>Q56+Q57</f>
        <v>1194.2</v>
      </c>
      <c r="R58" s="39">
        <f t="shared" ref="R58:S58" si="311">R56+R57</f>
        <v>533.70000000000005</v>
      </c>
      <c r="S58" s="39">
        <f t="shared" si="311"/>
        <v>450.90000000000003</v>
      </c>
      <c r="T58" s="40">
        <f>T56+T57-0.1</f>
        <v>984.6</v>
      </c>
      <c r="U58" s="39">
        <f t="shared" ref="U58:V58" si="312">U56+U57</f>
        <v>489.59999999999997</v>
      </c>
      <c r="V58" s="41">
        <f t="shared" si="312"/>
        <v>486.22</v>
      </c>
      <c r="W58" s="42">
        <f t="shared" ref="W58:Y58" si="313">W56+W57</f>
        <v>975.82</v>
      </c>
      <c r="X58" s="41">
        <f t="shared" si="313"/>
        <v>509.452</v>
      </c>
      <c r="Y58" s="41">
        <f t="shared" si="313"/>
        <v>506.32736000000006</v>
      </c>
      <c r="Z58" s="42">
        <f t="shared" ref="Z58:AB58" si="314">Z56+Z57</f>
        <v>1015.7793600000001</v>
      </c>
      <c r="AA58" s="41">
        <f t="shared" si="314"/>
        <v>530.11952000000008</v>
      </c>
      <c r="AB58" s="41">
        <f t="shared" si="314"/>
        <v>527.30487040000014</v>
      </c>
      <c r="AC58" s="42">
        <f t="shared" ref="AC58:AE58" si="315">AC56+AC57</f>
        <v>1057.4243904</v>
      </c>
      <c r="AD58" s="41">
        <f t="shared" si="315"/>
        <v>551.63689599999998</v>
      </c>
      <c r="AE58" s="41">
        <f t="shared" si="315"/>
        <v>549.19392281600005</v>
      </c>
      <c r="AF58" s="42">
        <f t="shared" ref="AF58:AH58" si="316">AF56+AF57</f>
        <v>1100.8308188160001</v>
      </c>
      <c r="AG58" s="41">
        <f t="shared" si="316"/>
        <v>582.26048076800009</v>
      </c>
      <c r="AH58" s="41">
        <f t="shared" si="316"/>
        <v>583.68110542336024</v>
      </c>
      <c r="AI58" s="43">
        <f t="shared" ref="AI58" si="317">AI56+AI57</f>
        <v>1165.9415861913603</v>
      </c>
    </row>
    <row r="59" spans="2:35" s="22" customFormat="1" x14ac:dyDescent="0.3">
      <c r="B59" s="192" t="s">
        <v>49</v>
      </c>
      <c r="C59" s="35"/>
      <c r="D59" s="35"/>
      <c r="E59" s="36"/>
      <c r="F59" s="35">
        <f t="shared" ref="F59:AI59" si="318">IFERROR(F58/C58-1, "-")</f>
        <v>-0.17789654514220266</v>
      </c>
      <c r="G59" s="35">
        <f t="shared" si="318"/>
        <v>0.15668662674650702</v>
      </c>
      <c r="H59" s="36">
        <f t="shared" si="318"/>
        <v>-1.4150483068214981E-2</v>
      </c>
      <c r="I59" s="35">
        <f t="shared" si="318"/>
        <v>0.49825864871140002</v>
      </c>
      <c r="J59" s="35">
        <f t="shared" si="318"/>
        <v>0.15185504745470224</v>
      </c>
      <c r="K59" s="36">
        <f t="shared" si="318"/>
        <v>0.29756483864581273</v>
      </c>
      <c r="L59" s="35">
        <f t="shared" si="318"/>
        <v>0.34387106772044018</v>
      </c>
      <c r="M59" s="35">
        <f t="shared" si="318"/>
        <v>2.0973782771535721E-2</v>
      </c>
      <c r="N59" s="36">
        <f t="shared" si="318"/>
        <v>0.18141592920353999</v>
      </c>
      <c r="O59" s="35">
        <f t="shared" si="318"/>
        <v>-0.26568265682656833</v>
      </c>
      <c r="P59" s="35">
        <f t="shared" si="318"/>
        <v>-0.18195157740278811</v>
      </c>
      <c r="Q59" s="36">
        <f t="shared" si="318"/>
        <v>-0.22885186620173059</v>
      </c>
      <c r="R59" s="35">
        <f t="shared" si="318"/>
        <v>-0.16190326633165819</v>
      </c>
      <c r="S59" s="35">
        <f t="shared" ref="S59" si="319">IFERROR(S58/P58-1, "-")</f>
        <v>-0.19121076233183854</v>
      </c>
      <c r="T59" s="36">
        <f t="shared" ref="T59" si="320">IFERROR(T58/Q58-1, "-")</f>
        <v>-0.17551498911405128</v>
      </c>
      <c r="U59" s="35">
        <f t="shared" si="318"/>
        <v>-8.2630691399662837E-2</v>
      </c>
      <c r="V59" s="35">
        <f t="shared" si="318"/>
        <v>7.8332224440008869E-2</v>
      </c>
      <c r="W59" s="36">
        <f t="shared" si="318"/>
        <v>-8.9173268332317646E-3</v>
      </c>
      <c r="X59" s="35">
        <f t="shared" si="318"/>
        <v>4.0547385620915088E-2</v>
      </c>
      <c r="Y59" s="35">
        <f t="shared" si="318"/>
        <v>4.1354448603512894E-2</v>
      </c>
      <c r="Z59" s="36">
        <f t="shared" si="318"/>
        <v>4.0949519378574051E-2</v>
      </c>
      <c r="AA59" s="35">
        <f t="shared" si="318"/>
        <v>4.0568139883639942E-2</v>
      </c>
      <c r="AB59" s="35">
        <f t="shared" si="318"/>
        <v>4.1430726556036968E-2</v>
      </c>
      <c r="AC59" s="36">
        <f t="shared" si="318"/>
        <v>4.0998106517935007E-2</v>
      </c>
      <c r="AD59" s="35">
        <f t="shared" si="318"/>
        <v>4.0589669288163321E-2</v>
      </c>
      <c r="AE59" s="35">
        <f t="shared" si="318"/>
        <v>4.151118953139088E-2</v>
      </c>
      <c r="AF59" s="36">
        <f t="shared" si="318"/>
        <v>4.104920295963721E-2</v>
      </c>
      <c r="AG59" s="35">
        <f t="shared" si="318"/>
        <v>5.55140256028126E-2</v>
      </c>
      <c r="AH59" s="35">
        <f t="shared" si="318"/>
        <v>6.2796001875852214E-2</v>
      </c>
      <c r="AI59" s="38">
        <f t="shared" si="318"/>
        <v>5.9146933627267195E-2</v>
      </c>
    </row>
    <row r="60" spans="2:35" s="22" customFormat="1" x14ac:dyDescent="0.3">
      <c r="B60" s="192"/>
      <c r="C60" s="35"/>
      <c r="D60" s="35"/>
      <c r="E60" s="36"/>
      <c r="F60" s="35"/>
      <c r="G60" s="35"/>
      <c r="H60" s="36"/>
      <c r="I60" s="35"/>
      <c r="J60" s="35"/>
      <c r="K60" s="36"/>
      <c r="L60" s="35"/>
      <c r="M60" s="35"/>
      <c r="N60" s="36"/>
      <c r="O60" s="35"/>
      <c r="P60" s="35"/>
      <c r="Q60" s="285">
        <f>Q5+Q20+Q41</f>
        <v>1251.3</v>
      </c>
      <c r="R60" s="218">
        <f>R5+R20+R41</f>
        <v>535.29999999999995</v>
      </c>
      <c r="S60" s="35">
        <f>S5+S20+S41</f>
        <v>443.5</v>
      </c>
      <c r="T60" s="285">
        <f>T5+T20+T41</f>
        <v>978.80000000000007</v>
      </c>
      <c r="U60" s="218">
        <f>U5+U20+U41</f>
        <v>511.29999999999995</v>
      </c>
      <c r="V60" s="35"/>
      <c r="W60" s="36"/>
      <c r="X60" s="35"/>
      <c r="Y60" s="35"/>
      <c r="Z60" s="36"/>
      <c r="AA60" s="35"/>
      <c r="AB60" s="35"/>
      <c r="AC60" s="36"/>
      <c r="AD60" s="35"/>
      <c r="AE60" s="35"/>
      <c r="AF60" s="36"/>
      <c r="AG60" s="35"/>
      <c r="AH60" s="35"/>
      <c r="AI60" s="38"/>
    </row>
    <row r="61" spans="2:35" s="201" customFormat="1" x14ac:dyDescent="0.3">
      <c r="B61" s="197" t="s">
        <v>208</v>
      </c>
      <c r="C61" s="206"/>
      <c r="D61" s="206"/>
      <c r="E61" s="208"/>
      <c r="F61" s="206"/>
      <c r="G61" s="206"/>
      <c r="H61" s="208"/>
      <c r="I61" s="206"/>
      <c r="J61" s="206"/>
      <c r="K61" s="208"/>
      <c r="L61" s="206"/>
      <c r="M61" s="206"/>
      <c r="N61" s="208"/>
      <c r="O61" s="206"/>
      <c r="P61" s="206"/>
      <c r="Q61" s="208"/>
      <c r="R61" s="206">
        <v>-0.159</v>
      </c>
      <c r="S61" s="206"/>
      <c r="T61" s="208">
        <f>T60/Q58-1</f>
        <v>-0.18037179701892481</v>
      </c>
      <c r="U61" s="206">
        <f>U60/R58-1</f>
        <v>-4.1971144837924079E-2</v>
      </c>
      <c r="V61" s="198"/>
      <c r="W61" s="199"/>
      <c r="X61" s="198"/>
      <c r="Y61" s="198"/>
      <c r="Z61" s="199"/>
      <c r="AA61" s="198"/>
      <c r="AB61" s="198"/>
      <c r="AC61" s="199"/>
      <c r="AD61" s="198"/>
      <c r="AE61" s="198"/>
      <c r="AF61" s="199"/>
      <c r="AG61" s="198"/>
      <c r="AH61" s="198"/>
      <c r="AI61" s="200"/>
    </row>
    <row r="62" spans="2:35" s="201" customFormat="1" x14ac:dyDescent="0.3">
      <c r="B62" s="197"/>
      <c r="C62" s="206"/>
      <c r="D62" s="206"/>
      <c r="E62" s="208"/>
      <c r="F62" s="206"/>
      <c r="G62" s="206"/>
      <c r="H62" s="208"/>
      <c r="I62" s="206"/>
      <c r="J62" s="206"/>
      <c r="K62" s="208"/>
      <c r="L62" s="206"/>
      <c r="M62" s="206"/>
      <c r="N62" s="208"/>
      <c r="O62" s="206"/>
      <c r="P62" s="206"/>
      <c r="Q62" s="285">
        <f>Q12+Q27+Q48</f>
        <v>-57.1</v>
      </c>
      <c r="R62" s="218">
        <f>R12+R27+R48</f>
        <v>-1.7000000000000002</v>
      </c>
      <c r="S62" s="206">
        <f>S12+S27+S48</f>
        <v>7.3999999999999995</v>
      </c>
      <c r="T62" s="285">
        <f>T12+T27+T48</f>
        <v>5.6999999999999993</v>
      </c>
      <c r="U62" s="218"/>
      <c r="V62" s="198"/>
      <c r="W62" s="199"/>
      <c r="X62" s="198"/>
      <c r="Y62" s="198"/>
      <c r="Z62" s="199"/>
      <c r="AA62" s="198"/>
      <c r="AB62" s="198"/>
      <c r="AC62" s="199"/>
      <c r="AD62" s="198"/>
      <c r="AE62" s="198"/>
      <c r="AF62" s="199"/>
      <c r="AG62" s="198"/>
      <c r="AH62" s="198"/>
      <c r="AI62" s="200"/>
    </row>
    <row r="63" spans="2:35" s="201" customFormat="1" x14ac:dyDescent="0.3">
      <c r="B63" s="197" t="s">
        <v>209</v>
      </c>
      <c r="C63" s="206"/>
      <c r="D63" s="206"/>
      <c r="E63" s="208"/>
      <c r="F63" s="206"/>
      <c r="G63" s="206"/>
      <c r="H63" s="208"/>
      <c r="I63" s="206"/>
      <c r="J63" s="206"/>
      <c r="K63" s="208"/>
      <c r="L63" s="206"/>
      <c r="M63" s="206"/>
      <c r="N63" s="208"/>
      <c r="O63" s="206"/>
      <c r="P63" s="206"/>
      <c r="Q63" s="208"/>
      <c r="R63" s="206">
        <v>-3.0000000000000001E-3</v>
      </c>
      <c r="S63" s="206"/>
      <c r="T63" s="208"/>
      <c r="U63" s="206"/>
      <c r="V63" s="198"/>
      <c r="W63" s="199"/>
      <c r="X63" s="198"/>
      <c r="Y63" s="198"/>
      <c r="Z63" s="199"/>
      <c r="AA63" s="198"/>
      <c r="AB63" s="198"/>
      <c r="AC63" s="199"/>
      <c r="AD63" s="198"/>
      <c r="AE63" s="198"/>
      <c r="AF63" s="199"/>
      <c r="AG63" s="198"/>
      <c r="AH63" s="198"/>
      <c r="AI63" s="200"/>
    </row>
    <row r="64" spans="2:35" s="201" customFormat="1" x14ac:dyDescent="0.3">
      <c r="B64" s="197"/>
      <c r="C64" s="206"/>
      <c r="D64" s="206"/>
      <c r="E64" s="208"/>
      <c r="F64" s="206"/>
      <c r="G64" s="206"/>
      <c r="H64" s="208"/>
      <c r="I64" s="206"/>
      <c r="J64" s="206"/>
      <c r="K64" s="208"/>
      <c r="L64" s="206"/>
      <c r="M64" s="206"/>
      <c r="N64" s="208"/>
      <c r="O64" s="206"/>
      <c r="P64" s="206"/>
      <c r="Q64" s="285">
        <f>Q14+Q29+Q50</f>
        <v>0</v>
      </c>
      <c r="R64" s="218">
        <f>R14+R29+R50</f>
        <v>0</v>
      </c>
      <c r="S64" s="206">
        <v>0</v>
      </c>
      <c r="T64" s="285">
        <v>0</v>
      </c>
      <c r="U64" s="218"/>
      <c r="V64" s="198"/>
      <c r="W64" s="199"/>
      <c r="X64" s="198"/>
      <c r="Y64" s="198"/>
      <c r="Z64" s="199"/>
      <c r="AA64" s="198"/>
      <c r="AB64" s="198"/>
      <c r="AC64" s="199"/>
      <c r="AD64" s="198"/>
      <c r="AE64" s="198"/>
      <c r="AF64" s="199"/>
      <c r="AG64" s="198"/>
      <c r="AH64" s="198"/>
      <c r="AI64" s="200"/>
    </row>
    <row r="65" spans="2:35" s="201" customFormat="1" ht="15" thickBot="1" x14ac:dyDescent="0.35">
      <c r="B65" s="202" t="s">
        <v>210</v>
      </c>
      <c r="C65" s="207"/>
      <c r="D65" s="207"/>
      <c r="E65" s="209"/>
      <c r="F65" s="207"/>
      <c r="G65" s="207"/>
      <c r="H65" s="209"/>
      <c r="I65" s="207"/>
      <c r="J65" s="207"/>
      <c r="K65" s="209"/>
      <c r="L65" s="207"/>
      <c r="M65" s="207"/>
      <c r="N65" s="209"/>
      <c r="O65" s="207"/>
      <c r="P65" s="207"/>
      <c r="Q65" s="209"/>
      <c r="R65" s="207">
        <v>0</v>
      </c>
      <c r="S65" s="207"/>
      <c r="T65" s="209"/>
      <c r="U65" s="207"/>
      <c r="V65" s="203"/>
      <c r="W65" s="204"/>
      <c r="X65" s="203"/>
      <c r="Y65" s="203"/>
      <c r="Z65" s="204"/>
      <c r="AA65" s="203"/>
      <c r="AB65" s="203"/>
      <c r="AC65" s="204"/>
      <c r="AD65" s="203"/>
      <c r="AE65" s="203"/>
      <c r="AF65" s="204"/>
      <c r="AG65" s="203"/>
      <c r="AH65" s="203"/>
      <c r="AI65" s="205"/>
    </row>
    <row r="66" spans="2:35" x14ac:dyDescent="0.3"/>
    <row r="67" spans="2:35" ht="15" thickBot="1" x14ac:dyDescent="0.35"/>
    <row r="68" spans="2:35" x14ac:dyDescent="0.3">
      <c r="B68" s="210" t="s">
        <v>325</v>
      </c>
      <c r="C68" s="28">
        <f>'Financial Statements'!C11</f>
        <v>138.29999999999995</v>
      </c>
      <c r="D68" s="28">
        <f>'Financial Statements'!D11</f>
        <v>76.800000000000011</v>
      </c>
      <c r="E68" s="29">
        <f>'Financial Statements'!E11</f>
        <v>215.09999999999997</v>
      </c>
      <c r="F68" s="28">
        <f>'Financial Statements'!F11</f>
        <v>106.20000000000005</v>
      </c>
      <c r="G68" s="28">
        <f>'Financial Statements'!G11</f>
        <v>129.80000000000001</v>
      </c>
      <c r="H68" s="29">
        <f>'Financial Statements'!H11</f>
        <v>236</v>
      </c>
      <c r="I68" s="28">
        <f>'Financial Statements'!I11</f>
        <v>212.89999999999998</v>
      </c>
      <c r="J68" s="28">
        <f>'Financial Statements'!J11</f>
        <v>121.50000000000011</v>
      </c>
      <c r="K68" s="29">
        <f>'Financial Statements'!K11</f>
        <v>334.40000000000009</v>
      </c>
      <c r="L68" s="28">
        <f>'Financial Statements'!L11</f>
        <v>319.30000000000007</v>
      </c>
      <c r="M68" s="28">
        <f>'Financial Statements'!M11</f>
        <v>110.29999999999995</v>
      </c>
      <c r="N68" s="29">
        <f>'Financial Statements'!N11</f>
        <v>429.59999999999991</v>
      </c>
      <c r="O68" s="28">
        <f>'Financial Statements'!O11</f>
        <v>169.10000000000002</v>
      </c>
      <c r="P68" s="28">
        <f>'Financial Statements'!P11</f>
        <v>135.30000000000007</v>
      </c>
      <c r="Q68" s="29">
        <f>'Financial Statements'!Q11</f>
        <v>304.40000000000009</v>
      </c>
      <c r="R68" s="28">
        <f>'Financial Statements'!R11</f>
        <v>147.30000000000004</v>
      </c>
      <c r="S68" s="28">
        <f>'Financial Statements'!S11</f>
        <v>69.69999999999996</v>
      </c>
      <c r="T68" s="29">
        <f>'Financial Statements'!T11</f>
        <v>216.99999999999994</v>
      </c>
      <c r="U68" s="211">
        <f>'Financial Statements'!U11</f>
        <v>108.70000000000005</v>
      </c>
      <c r="V68" s="211">
        <f>'Financial Statements'!V11</f>
        <v>121.55499999999998</v>
      </c>
      <c r="W68" s="212">
        <f>'Financial Statements'!W11</f>
        <v>230.25500000000002</v>
      </c>
      <c r="X68" s="211">
        <f>'Financial Statements'!X11</f>
        <v>127.363</v>
      </c>
      <c r="Y68" s="211">
        <f>'Financial Statements'!Y11</f>
        <v>126.58184</v>
      </c>
      <c r="Z68" s="212">
        <f>'Financial Statements'!Z11</f>
        <v>253.94484000000006</v>
      </c>
      <c r="AA68" s="211">
        <f>'Financial Statements'!AA11</f>
        <v>132.52988000000005</v>
      </c>
      <c r="AB68" s="211">
        <f>'Financial Statements'!AB11</f>
        <v>131.82621760000006</v>
      </c>
      <c r="AC68" s="212">
        <f>'Financial Statements'!AC11</f>
        <v>264.35609759999988</v>
      </c>
      <c r="AD68" s="211">
        <f>'Financial Statements'!AD11</f>
        <v>137.90922399999999</v>
      </c>
      <c r="AE68" s="211">
        <f>'Financial Statements'!AE11</f>
        <v>137.29848070399999</v>
      </c>
      <c r="AF68" s="212">
        <f>'Financial Statements'!AF11</f>
        <v>275.20770470400009</v>
      </c>
      <c r="AG68" s="211">
        <f>'Financial Statements'!AG11</f>
        <v>145.56512019200005</v>
      </c>
      <c r="AH68" s="211">
        <f>'Financial Statements'!AH11</f>
        <v>145.92027635584009</v>
      </c>
      <c r="AI68" s="213">
        <f>'Financial Statements'!AI11</f>
        <v>291.4853965478402</v>
      </c>
    </row>
    <row r="69" spans="2:35" s="22" customFormat="1" x14ac:dyDescent="0.3">
      <c r="B69" s="192" t="s">
        <v>49</v>
      </c>
      <c r="C69" s="35"/>
      <c r="D69" s="35"/>
      <c r="E69" s="36"/>
      <c r="F69" s="35">
        <f t="shared" ref="F69:AI69" si="321">IFERROR(F68/C68-1, "-")</f>
        <v>-0.23210412147505366</v>
      </c>
      <c r="G69" s="35">
        <f t="shared" si="321"/>
        <v>0.69010416666666652</v>
      </c>
      <c r="H69" s="36">
        <f t="shared" si="321"/>
        <v>9.7164109716411096E-2</v>
      </c>
      <c r="I69" s="35">
        <f t="shared" si="321"/>
        <v>1.004708097928436</v>
      </c>
      <c r="J69" s="35">
        <f t="shared" si="321"/>
        <v>-6.3944530046224135E-2</v>
      </c>
      <c r="K69" s="36">
        <f t="shared" si="321"/>
        <v>0.41694915254237319</v>
      </c>
      <c r="L69" s="35">
        <f t="shared" si="321"/>
        <v>0.49976514795678773</v>
      </c>
      <c r="M69" s="35">
        <f t="shared" si="321"/>
        <v>-9.2181069958849005E-2</v>
      </c>
      <c r="N69" s="36">
        <f t="shared" si="321"/>
        <v>0.28468899521531044</v>
      </c>
      <c r="O69" s="35">
        <f t="shared" si="321"/>
        <v>-0.47040400876918265</v>
      </c>
      <c r="P69" s="35">
        <f t="shared" si="321"/>
        <v>0.22665457842248515</v>
      </c>
      <c r="Q69" s="36">
        <f t="shared" si="321"/>
        <v>-0.29143389199255088</v>
      </c>
      <c r="R69" s="35">
        <f t="shared" si="321"/>
        <v>-0.12891780011827314</v>
      </c>
      <c r="S69" s="35">
        <f t="shared" ref="S69" si="322">IFERROR(S68/P68-1, "-")</f>
        <v>-0.48484848484848542</v>
      </c>
      <c r="T69" s="36">
        <f t="shared" ref="T69" si="323">IFERROR(T68/Q68-1, "-")</f>
        <v>-0.28712220762155094</v>
      </c>
      <c r="U69" s="35">
        <f t="shared" si="321"/>
        <v>-0.26205023761031898</v>
      </c>
      <c r="V69" s="35">
        <f t="shared" si="321"/>
        <v>0.7439741750358686</v>
      </c>
      <c r="W69" s="36">
        <f t="shared" si="321"/>
        <v>6.1082949308756129E-2</v>
      </c>
      <c r="X69" s="35">
        <f t="shared" si="321"/>
        <v>0.17169273229070781</v>
      </c>
      <c r="Y69" s="35">
        <f t="shared" si="321"/>
        <v>4.1354448603512894E-2</v>
      </c>
      <c r="Z69" s="36">
        <f t="shared" si="321"/>
        <v>0.10288523593407328</v>
      </c>
      <c r="AA69" s="35">
        <f t="shared" si="321"/>
        <v>4.0568139883640164E-2</v>
      </c>
      <c r="AB69" s="35">
        <f t="shared" si="321"/>
        <v>4.143072655603719E-2</v>
      </c>
      <c r="AC69" s="36">
        <f t="shared" si="321"/>
        <v>4.0998106517934563E-2</v>
      </c>
      <c r="AD69" s="35">
        <f t="shared" si="321"/>
        <v>4.0589669288163099E-2</v>
      </c>
      <c r="AE69" s="35">
        <f t="shared" si="321"/>
        <v>4.1511189531390436E-2</v>
      </c>
      <c r="AF69" s="36">
        <f t="shared" si="321"/>
        <v>4.1049202959637876E-2</v>
      </c>
      <c r="AG69" s="35">
        <f t="shared" si="321"/>
        <v>5.5514025602812822E-2</v>
      </c>
      <c r="AH69" s="35">
        <f t="shared" si="321"/>
        <v>6.2796001875852658E-2</v>
      </c>
      <c r="AI69" s="38">
        <f t="shared" si="321"/>
        <v>5.9146933627267417E-2</v>
      </c>
    </row>
    <row r="70" spans="2:35" s="201" customFormat="1" x14ac:dyDescent="0.3">
      <c r="B70" s="197" t="s">
        <v>208</v>
      </c>
      <c r="C70" s="206"/>
      <c r="D70" s="206"/>
      <c r="E70" s="208"/>
      <c r="F70" s="206"/>
      <c r="G70" s="206"/>
      <c r="H70" s="208"/>
      <c r="I70" s="206"/>
      <c r="J70" s="206"/>
      <c r="K70" s="208"/>
      <c r="L70" s="206"/>
      <c r="M70" s="206"/>
      <c r="N70" s="208"/>
      <c r="O70" s="206"/>
      <c r="P70" s="206"/>
      <c r="Q70" s="208"/>
      <c r="R70" s="206">
        <v>-0.17599999999999999</v>
      </c>
      <c r="S70" s="206"/>
      <c r="T70" s="208"/>
      <c r="U70" s="206"/>
      <c r="V70" s="198"/>
      <c r="W70" s="199"/>
      <c r="X70" s="198"/>
      <c r="Y70" s="198"/>
      <c r="Z70" s="199"/>
      <c r="AA70" s="198"/>
      <c r="AB70" s="198"/>
      <c r="AC70" s="199"/>
      <c r="AD70" s="198"/>
      <c r="AE70" s="198"/>
      <c r="AF70" s="199"/>
      <c r="AG70" s="198"/>
      <c r="AH70" s="198"/>
      <c r="AI70" s="200"/>
    </row>
    <row r="71" spans="2:35" s="201" customFormat="1" x14ac:dyDescent="0.3">
      <c r="B71" s="197" t="s">
        <v>209</v>
      </c>
      <c r="C71" s="206"/>
      <c r="D71" s="206"/>
      <c r="E71" s="208"/>
      <c r="F71" s="206"/>
      <c r="G71" s="206"/>
      <c r="H71" s="208"/>
      <c r="I71" s="206"/>
      <c r="J71" s="206"/>
      <c r="K71" s="208"/>
      <c r="L71" s="206"/>
      <c r="M71" s="206"/>
      <c r="N71" s="208"/>
      <c r="O71" s="206"/>
      <c r="P71" s="206"/>
      <c r="Q71" s="208"/>
      <c r="R71" s="206">
        <v>0.05</v>
      </c>
      <c r="S71" s="206"/>
      <c r="T71" s="208"/>
      <c r="U71" s="206"/>
      <c r="V71" s="198"/>
      <c r="W71" s="199"/>
      <c r="X71" s="198"/>
      <c r="Y71" s="198"/>
      <c r="Z71" s="199"/>
      <c r="AA71" s="198"/>
      <c r="AB71" s="198"/>
      <c r="AC71" s="199"/>
      <c r="AD71" s="198"/>
      <c r="AE71" s="198"/>
      <c r="AF71" s="199"/>
      <c r="AG71" s="198"/>
      <c r="AH71" s="198"/>
      <c r="AI71" s="200"/>
    </row>
    <row r="72" spans="2:35" s="201" customFormat="1" ht="15" thickBot="1" x14ac:dyDescent="0.35">
      <c r="B72" s="202" t="s">
        <v>210</v>
      </c>
      <c r="C72" s="207"/>
      <c r="D72" s="207"/>
      <c r="E72" s="209"/>
      <c r="F72" s="207"/>
      <c r="G72" s="207"/>
      <c r="H72" s="209"/>
      <c r="I72" s="207"/>
      <c r="J72" s="207"/>
      <c r="K72" s="209"/>
      <c r="L72" s="207"/>
      <c r="M72" s="207"/>
      <c r="N72" s="209"/>
      <c r="O72" s="207"/>
      <c r="P72" s="207"/>
      <c r="Q72" s="209"/>
      <c r="R72" s="207">
        <v>0</v>
      </c>
      <c r="S72" s="207"/>
      <c r="T72" s="209"/>
      <c r="U72" s="207"/>
      <c r="V72" s="203"/>
      <c r="W72" s="204"/>
      <c r="X72" s="203"/>
      <c r="Y72" s="203"/>
      <c r="Z72" s="204"/>
      <c r="AA72" s="203"/>
      <c r="AB72" s="203"/>
      <c r="AC72" s="204"/>
      <c r="AD72" s="203"/>
      <c r="AE72" s="203"/>
      <c r="AF72" s="204"/>
      <c r="AG72" s="203"/>
      <c r="AH72" s="203"/>
      <c r="AI72" s="205"/>
    </row>
    <row r="75" spans="2:35" x14ac:dyDescent="0.3">
      <c r="R75" s="10"/>
      <c r="U75" s="1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7DCD-CA7A-46A0-AA0C-BE9509166148}">
  <dimension ref="B1:AM132"/>
  <sheetViews>
    <sheetView showGridLines="0" zoomScale="69" zoomScaleNormal="99" workbookViewId="0">
      <pane xSplit="2" ySplit="3" topLeftCell="U43" activePane="bottomRight" state="frozen"/>
      <selection pane="topRight" activeCell="C1" sqref="C1"/>
      <selection pane="bottomLeft" activeCell="A4" sqref="A4"/>
      <selection pane="bottomRight" activeCell="W101" sqref="W101"/>
    </sheetView>
  </sheetViews>
  <sheetFormatPr defaultColWidth="8.88671875" defaultRowHeight="14.4" x14ac:dyDescent="0.3"/>
  <cols>
    <col min="1" max="1" width="1.5546875" customWidth="1"/>
    <col min="2" max="2" width="21.109375" customWidth="1"/>
    <col min="3" max="14" width="8.88671875" customWidth="1"/>
    <col min="15" max="15" width="9" bestFit="1" customWidth="1"/>
    <col min="16" max="17" width="8.88671875" customWidth="1"/>
    <col min="18" max="18" width="9" bestFit="1" customWidth="1"/>
    <col min="19" max="20" width="8.88671875" customWidth="1"/>
    <col min="21" max="21" width="9" bestFit="1" customWidth="1"/>
    <col min="22" max="22" width="8" customWidth="1"/>
    <col min="23" max="24" width="8.88671875" customWidth="1"/>
    <col min="25" max="25" width="8" customWidth="1"/>
    <col min="26" max="27" width="8.88671875" customWidth="1"/>
    <col min="28" max="28" width="8" customWidth="1"/>
    <col min="29" max="30" width="8.88671875" customWidth="1"/>
    <col min="31" max="31" width="8" customWidth="1"/>
    <col min="32" max="34" width="8.88671875" customWidth="1"/>
    <col min="35" max="35" width="9.88671875" customWidth="1"/>
    <col min="36" max="41" width="8.88671875" customWidth="1"/>
  </cols>
  <sheetData>
    <row r="1" spans="2:35" x14ac:dyDescent="0.3">
      <c r="B1" t="s">
        <v>115</v>
      </c>
    </row>
    <row r="2" spans="2:35" ht="15" thickBot="1" x14ac:dyDescent="0.35"/>
    <row r="3" spans="2:35" x14ac:dyDescent="0.3">
      <c r="B3" s="71" t="s">
        <v>78</v>
      </c>
      <c r="C3" s="77" t="s">
        <v>29</v>
      </c>
      <c r="D3" s="78" t="s">
        <v>30</v>
      </c>
      <c r="E3" s="79" t="s">
        <v>0</v>
      </c>
      <c r="F3" s="80" t="s">
        <v>31</v>
      </c>
      <c r="G3" s="78" t="s">
        <v>32</v>
      </c>
      <c r="H3" s="79" t="s">
        <v>1</v>
      </c>
      <c r="I3" s="80" t="s">
        <v>33</v>
      </c>
      <c r="J3" s="78" t="s">
        <v>34</v>
      </c>
      <c r="K3" s="79" t="s">
        <v>2</v>
      </c>
      <c r="L3" s="80" t="s">
        <v>35</v>
      </c>
      <c r="M3" s="78" t="s">
        <v>36</v>
      </c>
      <c r="N3" s="79" t="s">
        <v>3</v>
      </c>
      <c r="O3" s="80" t="s">
        <v>37</v>
      </c>
      <c r="P3" s="78" t="s">
        <v>38</v>
      </c>
      <c r="Q3" s="79" t="s">
        <v>39</v>
      </c>
      <c r="R3" s="80" t="s">
        <v>59</v>
      </c>
      <c r="S3" s="78" t="str">
        <f>'Revenue Model'!S2</f>
        <v>H2'25</v>
      </c>
      <c r="T3" s="79" t="str">
        <f>'Revenue Model'!T2</f>
        <v>FY25</v>
      </c>
      <c r="U3" s="80" t="s">
        <v>62</v>
      </c>
      <c r="V3" s="186" t="str">
        <f>'Revenue Model'!V2</f>
        <v>H2'26</v>
      </c>
      <c r="W3" s="187" t="str">
        <f>'Revenue Model'!W2</f>
        <v>FY26</v>
      </c>
      <c r="X3" s="185" t="str">
        <f>'Revenue Model'!X2</f>
        <v>H1'27</v>
      </c>
      <c r="Y3" s="186" t="str">
        <f>'Revenue Model'!Y2</f>
        <v>H2'27</v>
      </c>
      <c r="Z3" s="187" t="str">
        <f>'Revenue Model'!Z2</f>
        <v>FY27</v>
      </c>
      <c r="AA3" s="185" t="str">
        <f>'Revenue Model'!AA2</f>
        <v>H1'28</v>
      </c>
      <c r="AB3" s="186" t="str">
        <f>'Revenue Model'!AB2</f>
        <v>H2'28</v>
      </c>
      <c r="AC3" s="187" t="str">
        <f>'Revenue Model'!AC2</f>
        <v>FY28</v>
      </c>
      <c r="AD3" s="185" t="str">
        <f>'Revenue Model'!AD2</f>
        <v>H1'29</v>
      </c>
      <c r="AE3" s="186" t="str">
        <f>'Revenue Model'!AE2</f>
        <v>H2'29</v>
      </c>
      <c r="AF3" s="187" t="str">
        <f>'Revenue Model'!AF2</f>
        <v>FY29</v>
      </c>
      <c r="AG3" s="185" t="str">
        <f>'Revenue Model'!AG2</f>
        <v>H1'30</v>
      </c>
      <c r="AH3" s="186" t="str">
        <f>'Revenue Model'!AH2</f>
        <v>H2'30</v>
      </c>
      <c r="AI3" s="188" t="str">
        <f>'Revenue Model'!AI2</f>
        <v>FY30</v>
      </c>
    </row>
    <row r="4" spans="2:35" x14ac:dyDescent="0.3">
      <c r="B4" s="73" t="s">
        <v>4</v>
      </c>
      <c r="C4" s="25">
        <v>523.9</v>
      </c>
      <c r="D4" s="63">
        <f>E4-C4</f>
        <v>500.9</v>
      </c>
      <c r="E4" s="64">
        <v>1024.8</v>
      </c>
      <c r="F4" s="25">
        <v>430.8</v>
      </c>
      <c r="G4" s="63">
        <f>H4-F4</f>
        <v>579.40000000000009</v>
      </c>
      <c r="H4" s="64">
        <v>1010.2</v>
      </c>
      <c r="I4" s="25">
        <v>645.29999999999995</v>
      </c>
      <c r="J4" s="63">
        <f>K4-I4</f>
        <v>667.60000000000014</v>
      </c>
      <c r="K4" s="64">
        <v>1312.9</v>
      </c>
      <c r="L4" s="25">
        <v>867.1</v>
      </c>
      <c r="M4" s="63">
        <f>N4-L4</f>
        <v>681.4</v>
      </c>
      <c r="N4" s="64">
        <v>1548.5</v>
      </c>
      <c r="O4" s="25">
        <v>636.70000000000005</v>
      </c>
      <c r="P4" s="63">
        <f>Q4-O4</f>
        <v>557.5</v>
      </c>
      <c r="Q4" s="64">
        <f>'Revenue Model'!Q58</f>
        <v>1194.2</v>
      </c>
      <c r="R4" s="25">
        <f>'Revenue Model'!R58</f>
        <v>533.70000000000005</v>
      </c>
      <c r="S4" s="63">
        <f>T4-R4</f>
        <v>450.9</v>
      </c>
      <c r="T4" s="64">
        <f>'Revenue Model'!T58</f>
        <v>984.6</v>
      </c>
      <c r="U4" s="25">
        <f>'Revenue Model'!U58</f>
        <v>489.59999999999997</v>
      </c>
      <c r="V4" s="63">
        <f>'Revenue Model'!V58</f>
        <v>486.22</v>
      </c>
      <c r="W4" s="64">
        <f>'Revenue Model'!W58</f>
        <v>975.82</v>
      </c>
      <c r="X4" s="25">
        <f>'Revenue Model'!X58</f>
        <v>509.452</v>
      </c>
      <c r="Y4" s="63">
        <f>'Revenue Model'!Y58</f>
        <v>506.32736000000006</v>
      </c>
      <c r="Z4" s="64">
        <f>'Revenue Model'!Z58</f>
        <v>1015.7793600000001</v>
      </c>
      <c r="AA4" s="25">
        <f>'Revenue Model'!AA58</f>
        <v>530.11952000000008</v>
      </c>
      <c r="AB4" s="63">
        <f>'Revenue Model'!AB58</f>
        <v>527.30487040000014</v>
      </c>
      <c r="AC4" s="64">
        <f>'Revenue Model'!AC58</f>
        <v>1057.4243904</v>
      </c>
      <c r="AD4" s="25">
        <f>'Revenue Model'!AD58</f>
        <v>551.63689599999998</v>
      </c>
      <c r="AE4" s="63">
        <f>'Revenue Model'!AE58</f>
        <v>549.19392281600005</v>
      </c>
      <c r="AF4" s="64">
        <f>'Revenue Model'!AF58</f>
        <v>1100.8308188160001</v>
      </c>
      <c r="AG4" s="25">
        <f>'Revenue Model'!AG58</f>
        <v>582.26048076800009</v>
      </c>
      <c r="AH4" s="63">
        <f>'Revenue Model'!AH58</f>
        <v>583.68110542336024</v>
      </c>
      <c r="AI4" s="26">
        <f>'Revenue Model'!AI58</f>
        <v>1165.9415861913603</v>
      </c>
    </row>
    <row r="5" spans="2:35" x14ac:dyDescent="0.3">
      <c r="B5" s="72" t="s">
        <v>5</v>
      </c>
      <c r="C5" s="65">
        <v>175.6</v>
      </c>
      <c r="D5" s="15">
        <f>E5-C5</f>
        <v>172.29999999999998</v>
      </c>
      <c r="E5" s="16">
        <v>347.9</v>
      </c>
      <c r="F5" s="65">
        <v>152.19999999999999</v>
      </c>
      <c r="G5" s="15">
        <f>H5-F5</f>
        <v>177.90000000000003</v>
      </c>
      <c r="H5" s="16">
        <v>330.1</v>
      </c>
      <c r="I5" s="65">
        <v>199.4</v>
      </c>
      <c r="J5" s="15">
        <f>K5-I5</f>
        <v>212.4</v>
      </c>
      <c r="K5" s="16">
        <v>411.8</v>
      </c>
      <c r="L5" s="65">
        <v>243.4</v>
      </c>
      <c r="M5" s="15">
        <f>N5-L5</f>
        <v>201.29999999999998</v>
      </c>
      <c r="N5" s="16">
        <v>444.7</v>
      </c>
      <c r="O5" s="65">
        <v>176.8</v>
      </c>
      <c r="P5" s="15">
        <f>Q5-O5</f>
        <v>167.2</v>
      </c>
      <c r="Q5" s="16">
        <v>344</v>
      </c>
      <c r="R5" s="65">
        <v>146.80000000000001</v>
      </c>
      <c r="S5" s="15">
        <f>T5-R5</f>
        <v>143</v>
      </c>
      <c r="T5" s="16">
        <v>289.8</v>
      </c>
      <c r="U5" s="65">
        <v>156.6</v>
      </c>
      <c r="V5" s="15">
        <f>V4-V6</f>
        <v>170.17700000000002</v>
      </c>
      <c r="W5" s="16">
        <f>U5+V5</f>
        <v>326.77700000000004</v>
      </c>
      <c r="X5" s="66">
        <f t="shared" ref="X5:Y5" si="0">X4-X6</f>
        <v>178.3082</v>
      </c>
      <c r="Y5" s="15">
        <f t="shared" si="0"/>
        <v>177.21457600000002</v>
      </c>
      <c r="Z5" s="16">
        <f t="shared" ref="Z5" si="1">X5+Y5</f>
        <v>355.52277600000002</v>
      </c>
      <c r="AA5" s="66">
        <f t="shared" ref="AA5:AB5" si="2">AA4-AA6</f>
        <v>185.541832</v>
      </c>
      <c r="AB5" s="15">
        <f t="shared" si="2"/>
        <v>184.55670464000002</v>
      </c>
      <c r="AC5" s="16">
        <f t="shared" ref="AC5" si="3">AA5+AB5</f>
        <v>370.09853664000002</v>
      </c>
      <c r="AD5" s="66">
        <f t="shared" ref="AD5:AE5" si="4">AD4-AD6</f>
        <v>193.07291359999999</v>
      </c>
      <c r="AE5" s="15">
        <f t="shared" si="4"/>
        <v>192.21787298560002</v>
      </c>
      <c r="AF5" s="16">
        <f t="shared" ref="AF5" si="5">AD5+AE5</f>
        <v>385.29078658560002</v>
      </c>
      <c r="AG5" s="66">
        <f t="shared" ref="AG5:AH5" si="6">AG4-AG6</f>
        <v>203.79116826879999</v>
      </c>
      <c r="AH5" s="15">
        <f t="shared" si="6"/>
        <v>204.28838689817604</v>
      </c>
      <c r="AI5" s="67">
        <f t="shared" ref="AI5" si="7">AG5+AH5</f>
        <v>408.07955516697604</v>
      </c>
    </row>
    <row r="6" spans="2:35" x14ac:dyDescent="0.3">
      <c r="B6" s="73" t="s">
        <v>6</v>
      </c>
      <c r="C6" s="25">
        <f t="shared" ref="C6:R6" si="8">C4-C5</f>
        <v>348.29999999999995</v>
      </c>
      <c r="D6" s="63">
        <f t="shared" si="8"/>
        <v>328.6</v>
      </c>
      <c r="E6" s="64">
        <f t="shared" si="8"/>
        <v>676.9</v>
      </c>
      <c r="F6" s="25">
        <f t="shared" si="8"/>
        <v>278.60000000000002</v>
      </c>
      <c r="G6" s="63">
        <f t="shared" si="8"/>
        <v>401.50000000000006</v>
      </c>
      <c r="H6" s="64">
        <f t="shared" si="8"/>
        <v>680.1</v>
      </c>
      <c r="I6" s="25">
        <f t="shared" si="8"/>
        <v>445.9</v>
      </c>
      <c r="J6" s="63">
        <f t="shared" si="8"/>
        <v>455.20000000000016</v>
      </c>
      <c r="K6" s="64">
        <f t="shared" si="8"/>
        <v>901.10000000000014</v>
      </c>
      <c r="L6" s="25">
        <f t="shared" si="8"/>
        <v>623.70000000000005</v>
      </c>
      <c r="M6" s="63">
        <f t="shared" si="8"/>
        <v>480.1</v>
      </c>
      <c r="N6" s="64">
        <f t="shared" si="8"/>
        <v>1103.8</v>
      </c>
      <c r="O6" s="25">
        <f t="shared" si="8"/>
        <v>459.90000000000003</v>
      </c>
      <c r="P6" s="63">
        <f t="shared" si="8"/>
        <v>390.3</v>
      </c>
      <c r="Q6" s="64">
        <f t="shared" si="8"/>
        <v>850.2</v>
      </c>
      <c r="R6" s="25">
        <f t="shared" si="8"/>
        <v>386.90000000000003</v>
      </c>
      <c r="S6" s="63">
        <f t="shared" ref="S6:T6" si="9">S4-S5</f>
        <v>307.89999999999998</v>
      </c>
      <c r="T6" s="64">
        <f t="shared" si="9"/>
        <v>694.8</v>
      </c>
      <c r="U6" s="25">
        <f>U4-U5+0.1</f>
        <v>333.1</v>
      </c>
      <c r="V6" s="63">
        <f>V4*V7</f>
        <v>316.04300000000001</v>
      </c>
      <c r="W6" s="64">
        <f>W4-W5</f>
        <v>649.04300000000001</v>
      </c>
      <c r="X6" s="25">
        <f t="shared" ref="X6:Y6" si="10">X4*X7</f>
        <v>331.1438</v>
      </c>
      <c r="Y6" s="63">
        <f t="shared" si="10"/>
        <v>329.11278400000003</v>
      </c>
      <c r="Z6" s="64">
        <f t="shared" ref="Z6" si="11">Z4-Z5</f>
        <v>660.25658400000009</v>
      </c>
      <c r="AA6" s="25">
        <f t="shared" ref="AA6:AB6" si="12">AA4*AA7</f>
        <v>344.57768800000008</v>
      </c>
      <c r="AB6" s="63">
        <f t="shared" si="12"/>
        <v>342.74816576000012</v>
      </c>
      <c r="AC6" s="64">
        <f t="shared" ref="AC6" si="13">AC4-AC5</f>
        <v>687.32585375999997</v>
      </c>
      <c r="AD6" s="25">
        <f t="shared" ref="AD6:AE6" si="14">AD4*AD7</f>
        <v>358.56398239999999</v>
      </c>
      <c r="AE6" s="63">
        <f t="shared" si="14"/>
        <v>356.97604983040003</v>
      </c>
      <c r="AF6" s="64">
        <f t="shared" ref="AF6" si="15">AF4-AF5</f>
        <v>715.54003223040013</v>
      </c>
      <c r="AG6" s="25">
        <f t="shared" ref="AG6:AH6" si="16">AG4*AG7</f>
        <v>378.4693124992001</v>
      </c>
      <c r="AH6" s="63">
        <f t="shared" si="16"/>
        <v>379.39271852518419</v>
      </c>
      <c r="AI6" s="26">
        <f t="shared" ref="AI6" si="17">AI4-AI5</f>
        <v>757.86203102438435</v>
      </c>
    </row>
    <row r="7" spans="2:35" s="6" customFormat="1" ht="13.8" x14ac:dyDescent="0.3">
      <c r="B7" s="74" t="s">
        <v>7</v>
      </c>
      <c r="C7" s="7">
        <f t="shared" ref="C7:R7" si="18">C6/C4</f>
        <v>0.66482153082649353</v>
      </c>
      <c r="D7" s="8">
        <f t="shared" si="18"/>
        <v>0.65601916550209627</v>
      </c>
      <c r="E7" s="9">
        <f t="shared" si="18"/>
        <v>0.66051912568306015</v>
      </c>
      <c r="F7" s="7">
        <f t="shared" si="18"/>
        <v>0.64670380687093787</v>
      </c>
      <c r="G7" s="8">
        <f t="shared" si="18"/>
        <v>0.6929582326544701</v>
      </c>
      <c r="H7" s="9">
        <f t="shared" si="18"/>
        <v>0.6732330231637299</v>
      </c>
      <c r="I7" s="7">
        <f t="shared" si="18"/>
        <v>0.6909964357663102</v>
      </c>
      <c r="J7" s="8">
        <f t="shared" si="18"/>
        <v>0.68184541641701624</v>
      </c>
      <c r="K7" s="9">
        <f t="shared" si="18"/>
        <v>0.68634320968847595</v>
      </c>
      <c r="L7" s="7">
        <f t="shared" si="18"/>
        <v>0.71929419905431902</v>
      </c>
      <c r="M7" s="8">
        <f t="shared" si="18"/>
        <v>0.70457880833577935</v>
      </c>
      <c r="N7" s="9">
        <f t="shared" si="18"/>
        <v>0.71281885695834679</v>
      </c>
      <c r="O7" s="7">
        <f t="shared" si="18"/>
        <v>0.72231820323543272</v>
      </c>
      <c r="P7" s="8">
        <f t="shared" si="18"/>
        <v>0.70008968609865474</v>
      </c>
      <c r="Q7" s="9">
        <f t="shared" si="18"/>
        <v>0.7119410484006029</v>
      </c>
      <c r="R7" s="7">
        <f t="shared" si="18"/>
        <v>0.7249391043657486</v>
      </c>
      <c r="S7" s="8">
        <f t="shared" ref="S7:U7" si="19">S6/S4</f>
        <v>0.68285650920381458</v>
      </c>
      <c r="T7" s="9">
        <f t="shared" si="19"/>
        <v>0.70566727605118829</v>
      </c>
      <c r="U7" s="7">
        <f t="shared" si="19"/>
        <v>0.68035130718954262</v>
      </c>
      <c r="V7" s="55">
        <v>0.65</v>
      </c>
      <c r="W7" s="9">
        <f>W6/W4</f>
        <v>0.66512574040294314</v>
      </c>
      <c r="X7" s="62">
        <v>0.65</v>
      </c>
      <c r="Y7" s="55">
        <v>0.65</v>
      </c>
      <c r="Z7" s="9">
        <f t="shared" ref="Z7" si="20">Z6/Z4</f>
        <v>0.65</v>
      </c>
      <c r="AA7" s="62">
        <v>0.65</v>
      </c>
      <c r="AB7" s="55">
        <v>0.65</v>
      </c>
      <c r="AC7" s="9">
        <f t="shared" ref="AC7" si="21">AC6/AC4</f>
        <v>0.65</v>
      </c>
      <c r="AD7" s="62">
        <v>0.65</v>
      </c>
      <c r="AE7" s="55">
        <v>0.65</v>
      </c>
      <c r="AF7" s="9">
        <f t="shared" ref="AF7" si="22">AF6/AF4</f>
        <v>0.65</v>
      </c>
      <c r="AG7" s="62">
        <v>0.65</v>
      </c>
      <c r="AH7" s="55">
        <v>0.65</v>
      </c>
      <c r="AI7" s="58">
        <f t="shared" ref="AI7" si="23">AI6/AI4</f>
        <v>0.65000000000000013</v>
      </c>
    </row>
    <row r="8" spans="2:35" x14ac:dyDescent="0.3">
      <c r="B8" s="72" t="s">
        <v>212</v>
      </c>
      <c r="C8" s="65">
        <f>159.2+50.8</f>
        <v>210</v>
      </c>
      <c r="D8" s="15">
        <f t="shared" ref="D8" si="24">E8-C8</f>
        <v>251.8</v>
      </c>
      <c r="E8" s="16">
        <f>355+106.8</f>
        <v>461.8</v>
      </c>
      <c r="F8" s="65">
        <f>128.6+43.8</f>
        <v>172.39999999999998</v>
      </c>
      <c r="G8" s="15">
        <f t="shared" ref="G8" si="25">H8-F8</f>
        <v>271.70000000000005</v>
      </c>
      <c r="H8" s="16">
        <f>341.6+102.5</f>
        <v>444.1</v>
      </c>
      <c r="I8" s="65">
        <f>172.1+60.9</f>
        <v>233</v>
      </c>
      <c r="J8" s="15">
        <f t="shared" ref="J8" si="26">K8-I8</f>
        <v>333.70000000000005</v>
      </c>
      <c r="K8" s="16">
        <f>566.7</f>
        <v>566.70000000000005</v>
      </c>
      <c r="L8" s="65">
        <f>230.8+73.6</f>
        <v>304.39999999999998</v>
      </c>
      <c r="M8" s="15">
        <f t="shared" ref="M8" si="27">N8-L8</f>
        <v>369.80000000000007</v>
      </c>
      <c r="N8" s="16">
        <f>674.2</f>
        <v>674.2</v>
      </c>
      <c r="O8" s="65">
        <f>290.8</f>
        <v>290.8</v>
      </c>
      <c r="P8" s="15">
        <f>Q8-O8</f>
        <v>254.99999999999994</v>
      </c>
      <c r="Q8" s="16">
        <f>545.8</f>
        <v>545.79999999999995</v>
      </c>
      <c r="R8" s="65">
        <f>239.6</f>
        <v>239.6</v>
      </c>
      <c r="S8" s="15">
        <f>T8-R8</f>
        <v>238.20000000000002</v>
      </c>
      <c r="T8" s="16">
        <v>477.8</v>
      </c>
      <c r="U8" s="65">
        <v>231.2</v>
      </c>
      <c r="V8" s="15">
        <f>V9*V4</f>
        <v>194.48800000000003</v>
      </c>
      <c r="W8" s="16">
        <f>U8+V8</f>
        <v>425.68799999999999</v>
      </c>
      <c r="X8" s="65">
        <f t="shared" ref="X8:Y8" si="28">X9*X4</f>
        <v>203.7808</v>
      </c>
      <c r="Y8" s="15">
        <f t="shared" si="28"/>
        <v>202.53094400000003</v>
      </c>
      <c r="Z8" s="16">
        <f t="shared" ref="Z8" si="29">X8+Y8</f>
        <v>406.31174400000003</v>
      </c>
      <c r="AA8" s="65">
        <f t="shared" ref="AA8:AB8" si="30">AA9*AA4</f>
        <v>212.04780800000003</v>
      </c>
      <c r="AB8" s="15">
        <f t="shared" si="30"/>
        <v>210.92194816000006</v>
      </c>
      <c r="AC8" s="16">
        <f t="shared" ref="AC8" si="31">AA8+AB8</f>
        <v>422.96975616000009</v>
      </c>
      <c r="AD8" s="65">
        <f t="shared" ref="AD8:AE8" si="32">AD9*AD4</f>
        <v>220.65475839999999</v>
      </c>
      <c r="AE8" s="15">
        <f t="shared" si="32"/>
        <v>219.67756912640004</v>
      </c>
      <c r="AF8" s="16">
        <f t="shared" ref="AF8" si="33">AD8+AE8</f>
        <v>440.33232752640004</v>
      </c>
      <c r="AG8" s="65">
        <f t="shared" ref="AG8:AH8" si="34">AG9*AG4</f>
        <v>232.90419230720005</v>
      </c>
      <c r="AH8" s="15">
        <f t="shared" si="34"/>
        <v>233.47244216934411</v>
      </c>
      <c r="AI8" s="67">
        <f t="shared" ref="AI8" si="35">AG8+AH8</f>
        <v>466.37663447654415</v>
      </c>
    </row>
    <row r="9" spans="2:35" s="6" customFormat="1" ht="13.8" x14ac:dyDescent="0.3">
      <c r="B9" s="74" t="s">
        <v>77</v>
      </c>
      <c r="C9" s="7">
        <f t="shared" ref="C9:R9" si="36">C8/C4</f>
        <v>0.40083985493414775</v>
      </c>
      <c r="D9" s="8">
        <f t="shared" si="36"/>
        <v>0.50269514873228194</v>
      </c>
      <c r="E9" s="9">
        <f t="shared" si="36"/>
        <v>0.45062451209992199</v>
      </c>
      <c r="F9" s="7">
        <f t="shared" si="36"/>
        <v>0.40018570102135553</v>
      </c>
      <c r="G9" s="8">
        <f t="shared" si="36"/>
        <v>0.46893337935795654</v>
      </c>
      <c r="H9" s="9">
        <f t="shared" si="36"/>
        <v>0.4396159176400713</v>
      </c>
      <c r="I9" s="7">
        <f t="shared" si="36"/>
        <v>0.36107236944057031</v>
      </c>
      <c r="J9" s="8">
        <f t="shared" si="36"/>
        <v>0.49985020970641098</v>
      </c>
      <c r="K9" s="9">
        <f t="shared" si="36"/>
        <v>0.43163988117906926</v>
      </c>
      <c r="L9" s="7">
        <f t="shared" si="36"/>
        <v>0.35105524160996421</v>
      </c>
      <c r="M9" s="8">
        <f t="shared" si="36"/>
        <v>0.54270619313178758</v>
      </c>
      <c r="N9" s="9">
        <f t="shared" si="36"/>
        <v>0.43538908621246369</v>
      </c>
      <c r="O9" s="7">
        <f t="shared" si="36"/>
        <v>0.45673001413538555</v>
      </c>
      <c r="P9" s="8">
        <f t="shared" si="36"/>
        <v>0.45739910313901333</v>
      </c>
      <c r="Q9" s="9">
        <f t="shared" si="36"/>
        <v>0.45704237146206661</v>
      </c>
      <c r="R9" s="7">
        <f t="shared" si="36"/>
        <v>0.44894135281993625</v>
      </c>
      <c r="S9" s="8">
        <f t="shared" ref="S9:U9" si="37">S8/S4</f>
        <v>0.52827677977378584</v>
      </c>
      <c r="T9" s="9">
        <f t="shared" si="37"/>
        <v>0.48527320739386554</v>
      </c>
      <c r="U9" s="7">
        <f t="shared" si="37"/>
        <v>0.47222222222222221</v>
      </c>
      <c r="V9" s="55">
        <v>0.4</v>
      </c>
      <c r="W9" s="9">
        <f>W8/W4</f>
        <v>0.43623619110081774</v>
      </c>
      <c r="X9" s="62">
        <v>0.4</v>
      </c>
      <c r="Y9" s="55">
        <v>0.4</v>
      </c>
      <c r="Z9" s="9">
        <f t="shared" ref="Z9" si="38">Z8/Z4</f>
        <v>0.39999999999999997</v>
      </c>
      <c r="AA9" s="62">
        <v>0.4</v>
      </c>
      <c r="AB9" s="55">
        <v>0.4</v>
      </c>
      <c r="AC9" s="9">
        <f t="shared" ref="AC9" si="39">AC8/AC4</f>
        <v>0.40000000000000008</v>
      </c>
      <c r="AD9" s="62">
        <v>0.4</v>
      </c>
      <c r="AE9" s="55">
        <v>0.4</v>
      </c>
      <c r="AF9" s="9">
        <f t="shared" ref="AF9" si="40">AF8/AF4</f>
        <v>0.39999999999999997</v>
      </c>
      <c r="AG9" s="62">
        <v>0.4</v>
      </c>
      <c r="AH9" s="55">
        <v>0.4</v>
      </c>
      <c r="AI9" s="58">
        <f t="shared" ref="AI9" si="41">AI8/AI4</f>
        <v>0.4</v>
      </c>
    </row>
    <row r="10" spans="2:35" s="6" customFormat="1" x14ac:dyDescent="0.3">
      <c r="B10" s="292" t="s">
        <v>326</v>
      </c>
      <c r="C10" s="7"/>
      <c r="D10" s="8"/>
      <c r="E10" s="9"/>
      <c r="F10" s="7"/>
      <c r="G10" s="8"/>
      <c r="H10" s="9"/>
      <c r="I10" s="7"/>
      <c r="J10" s="8"/>
      <c r="K10" s="9"/>
      <c r="L10" s="7"/>
      <c r="M10" s="8"/>
      <c r="N10" s="9"/>
      <c r="O10" s="7"/>
      <c r="P10" s="8"/>
      <c r="Q10" s="9"/>
      <c r="R10" s="7"/>
      <c r="S10" s="8"/>
      <c r="T10" s="9"/>
      <c r="U10" s="279">
        <v>6.9</v>
      </c>
      <c r="V10" s="55"/>
      <c r="W10" s="16">
        <f>U10+V10</f>
        <v>6.9</v>
      </c>
      <c r="X10" s="291"/>
      <c r="Y10" s="55"/>
      <c r="Z10" s="9"/>
      <c r="AA10" s="291"/>
      <c r="AB10" s="55"/>
      <c r="AC10" s="9"/>
      <c r="AD10" s="291"/>
      <c r="AE10" s="55"/>
      <c r="AF10" s="9"/>
      <c r="AG10" s="291"/>
      <c r="AH10" s="55"/>
      <c r="AI10" s="58"/>
    </row>
    <row r="11" spans="2:35" x14ac:dyDescent="0.3">
      <c r="B11" s="73" t="s">
        <v>211</v>
      </c>
      <c r="C11" s="25">
        <f t="shared" ref="C11:Q11" si="42">C6-C8</f>
        <v>138.29999999999995</v>
      </c>
      <c r="D11" s="63">
        <f t="shared" si="42"/>
        <v>76.800000000000011</v>
      </c>
      <c r="E11" s="64">
        <f t="shared" si="42"/>
        <v>215.09999999999997</v>
      </c>
      <c r="F11" s="25">
        <f t="shared" si="42"/>
        <v>106.20000000000005</v>
      </c>
      <c r="G11" s="63">
        <f t="shared" si="42"/>
        <v>129.80000000000001</v>
      </c>
      <c r="H11" s="64">
        <f t="shared" si="42"/>
        <v>236</v>
      </c>
      <c r="I11" s="25">
        <f t="shared" si="42"/>
        <v>212.89999999999998</v>
      </c>
      <c r="J11" s="63">
        <f t="shared" si="42"/>
        <v>121.50000000000011</v>
      </c>
      <c r="K11" s="64">
        <f t="shared" si="42"/>
        <v>334.40000000000009</v>
      </c>
      <c r="L11" s="25">
        <f t="shared" si="42"/>
        <v>319.30000000000007</v>
      </c>
      <c r="M11" s="63">
        <f t="shared" si="42"/>
        <v>110.29999999999995</v>
      </c>
      <c r="N11" s="64">
        <f t="shared" si="42"/>
        <v>429.59999999999991</v>
      </c>
      <c r="O11" s="25">
        <f t="shared" si="42"/>
        <v>169.10000000000002</v>
      </c>
      <c r="P11" s="63">
        <f t="shared" si="42"/>
        <v>135.30000000000007</v>
      </c>
      <c r="Q11" s="64">
        <f t="shared" si="42"/>
        <v>304.40000000000009</v>
      </c>
      <c r="R11" s="25">
        <f>R6-R8</f>
        <v>147.30000000000004</v>
      </c>
      <c r="S11" s="63">
        <f t="shared" ref="S11:T11" si="43">S6-S8</f>
        <v>69.69999999999996</v>
      </c>
      <c r="T11" s="64">
        <f t="shared" si="43"/>
        <v>216.99999999999994</v>
      </c>
      <c r="U11" s="25">
        <f>U6-U8+U10-0.1</f>
        <v>108.70000000000005</v>
      </c>
      <c r="V11" s="63">
        <f t="shared" ref="V11" si="44">V6-V8</f>
        <v>121.55499999999998</v>
      </c>
      <c r="W11" s="64">
        <f>W6-W8+W10</f>
        <v>230.25500000000002</v>
      </c>
      <c r="X11" s="25">
        <f t="shared" ref="X11:AI11" si="45">X6-X8</f>
        <v>127.363</v>
      </c>
      <c r="Y11" s="63">
        <f t="shared" si="45"/>
        <v>126.58184</v>
      </c>
      <c r="Z11" s="64">
        <f t="shared" si="45"/>
        <v>253.94484000000006</v>
      </c>
      <c r="AA11" s="25">
        <f t="shared" si="45"/>
        <v>132.52988000000005</v>
      </c>
      <c r="AB11" s="63">
        <f t="shared" si="45"/>
        <v>131.82621760000006</v>
      </c>
      <c r="AC11" s="64">
        <f t="shared" si="45"/>
        <v>264.35609759999988</v>
      </c>
      <c r="AD11" s="25">
        <f t="shared" si="45"/>
        <v>137.90922399999999</v>
      </c>
      <c r="AE11" s="63">
        <f t="shared" si="45"/>
        <v>137.29848070399999</v>
      </c>
      <c r="AF11" s="64">
        <f t="shared" si="45"/>
        <v>275.20770470400009</v>
      </c>
      <c r="AG11" s="25">
        <f t="shared" si="45"/>
        <v>145.56512019200005</v>
      </c>
      <c r="AH11" s="63">
        <f t="shared" si="45"/>
        <v>145.92027635584009</v>
      </c>
      <c r="AI11" s="26">
        <f t="shared" si="45"/>
        <v>291.4853965478402</v>
      </c>
    </row>
    <row r="12" spans="2:35" s="7" customFormat="1" x14ac:dyDescent="0.3">
      <c r="B12" s="74" t="s">
        <v>214</v>
      </c>
      <c r="C12" s="7">
        <f t="shared" ref="C12:Q12" si="46">C11/C4</f>
        <v>0.26398167589234578</v>
      </c>
      <c r="D12" s="8">
        <f t="shared" si="46"/>
        <v>0.15332401676981436</v>
      </c>
      <c r="E12" s="9">
        <f t="shared" si="46"/>
        <v>0.20989461358313816</v>
      </c>
      <c r="F12" s="7">
        <f t="shared" si="46"/>
        <v>0.24651810584958228</v>
      </c>
      <c r="G12" s="8">
        <f t="shared" si="46"/>
        <v>0.22402485329651362</v>
      </c>
      <c r="H12" s="9">
        <f t="shared" si="46"/>
        <v>0.23361710552365866</v>
      </c>
      <c r="I12" s="7">
        <f t="shared" si="46"/>
        <v>0.32992406632573995</v>
      </c>
      <c r="J12" s="8">
        <f t="shared" si="46"/>
        <v>0.18199520671060529</v>
      </c>
      <c r="K12" s="9">
        <f t="shared" si="46"/>
        <v>0.25470332850940669</v>
      </c>
      <c r="L12" s="7">
        <f t="shared" si="46"/>
        <v>0.36823895744435481</v>
      </c>
      <c r="M12" s="8">
        <f t="shared" si="46"/>
        <v>0.16187261520399171</v>
      </c>
      <c r="N12" s="9">
        <f t="shared" si="46"/>
        <v>0.27742977074588304</v>
      </c>
      <c r="O12" s="7">
        <f t="shared" si="46"/>
        <v>0.26558818910004711</v>
      </c>
      <c r="P12" s="8">
        <f t="shared" si="46"/>
        <v>0.24269058295964138</v>
      </c>
      <c r="Q12" s="9">
        <f t="shared" si="46"/>
        <v>0.25489867693853635</v>
      </c>
      <c r="R12" s="7">
        <f>R11/R4</f>
        <v>0.2759977515458123</v>
      </c>
      <c r="S12" s="8">
        <f t="shared" ref="S12:U12" si="47">S11/S4</f>
        <v>0.15457972943002876</v>
      </c>
      <c r="T12" s="9">
        <f t="shared" si="47"/>
        <v>0.22039406865732269</v>
      </c>
      <c r="U12" s="7">
        <f t="shared" si="47"/>
        <v>0.22201797385620925</v>
      </c>
      <c r="V12" s="56">
        <f t="shared" ref="V12:W12" si="48">V11/V4</f>
        <v>0.24999999999999994</v>
      </c>
      <c r="W12" s="12">
        <f t="shared" si="48"/>
        <v>0.23596052550675331</v>
      </c>
      <c r="X12" s="57">
        <f t="shared" ref="X12:AI12" si="49">X11/X4</f>
        <v>0.25</v>
      </c>
      <c r="Y12" s="56">
        <f t="shared" si="49"/>
        <v>0.24999999999999997</v>
      </c>
      <c r="Z12" s="12">
        <f t="shared" si="49"/>
        <v>0.25000000000000006</v>
      </c>
      <c r="AA12" s="57">
        <f t="shared" si="49"/>
        <v>0.25000000000000006</v>
      </c>
      <c r="AB12" s="56">
        <f t="shared" si="49"/>
        <v>0.25000000000000006</v>
      </c>
      <c r="AC12" s="12">
        <f t="shared" si="49"/>
        <v>0.24999999999999989</v>
      </c>
      <c r="AD12" s="57">
        <f t="shared" si="49"/>
        <v>0.25</v>
      </c>
      <c r="AE12" s="56">
        <f t="shared" si="49"/>
        <v>0.24999999999999994</v>
      </c>
      <c r="AF12" s="12">
        <f t="shared" si="49"/>
        <v>0.25000000000000006</v>
      </c>
      <c r="AG12" s="57">
        <f t="shared" si="49"/>
        <v>0.25000000000000006</v>
      </c>
      <c r="AH12" s="56">
        <f t="shared" si="49"/>
        <v>0.25000000000000006</v>
      </c>
      <c r="AI12" s="59">
        <f t="shared" si="49"/>
        <v>0.25000000000000011</v>
      </c>
    </row>
    <row r="13" spans="2:35" x14ac:dyDescent="0.3">
      <c r="B13" s="72" t="s">
        <v>9</v>
      </c>
      <c r="C13" s="65">
        <v>0.6</v>
      </c>
      <c r="D13" s="15">
        <f>E13-C13</f>
        <v>19.099999999999998</v>
      </c>
      <c r="E13" s="16">
        <v>19.7</v>
      </c>
      <c r="F13" s="65">
        <v>0.2</v>
      </c>
      <c r="G13" s="15">
        <f>H13-F13</f>
        <v>0</v>
      </c>
      <c r="H13" s="16">
        <v>0.2</v>
      </c>
      <c r="I13" s="65">
        <v>13.6</v>
      </c>
      <c r="J13" s="15">
        <f>K13-I13</f>
        <v>0.5</v>
      </c>
      <c r="K13" s="16">
        <v>14.1</v>
      </c>
      <c r="L13" s="65">
        <v>4</v>
      </c>
      <c r="M13" s="15">
        <f>N13-L13</f>
        <v>-0.89999999999999991</v>
      </c>
      <c r="N13" s="16">
        <v>3.1</v>
      </c>
      <c r="O13" s="65">
        <v>0</v>
      </c>
      <c r="P13" s="15">
        <f>Q13-O13</f>
        <v>12.8</v>
      </c>
      <c r="Q13" s="16">
        <v>12.8</v>
      </c>
      <c r="R13" s="65">
        <v>-0.2</v>
      </c>
      <c r="S13" s="15">
        <f>T13-R13</f>
        <v>6.2</v>
      </c>
      <c r="T13" s="16">
        <v>6</v>
      </c>
      <c r="U13" s="65">
        <v>-0.7</v>
      </c>
      <c r="V13" s="219">
        <v>0</v>
      </c>
      <c r="W13" s="16">
        <f>U13+V13</f>
        <v>-0.7</v>
      </c>
      <c r="X13" s="220">
        <v>0</v>
      </c>
      <c r="Y13" s="219">
        <v>0</v>
      </c>
      <c r="Z13" s="16">
        <f t="shared" ref="Z13" si="50">X13+Y13</f>
        <v>0</v>
      </c>
      <c r="AA13" s="220">
        <v>0</v>
      </c>
      <c r="AB13" s="219">
        <v>0</v>
      </c>
      <c r="AC13" s="16">
        <f t="shared" ref="AC13" si="51">AA13+AB13</f>
        <v>0</v>
      </c>
      <c r="AD13" s="220">
        <v>0</v>
      </c>
      <c r="AE13" s="219">
        <v>0</v>
      </c>
      <c r="AF13" s="16">
        <f t="shared" ref="AF13" si="52">AD13+AE13</f>
        <v>0</v>
      </c>
      <c r="AG13" s="220">
        <v>0</v>
      </c>
      <c r="AH13" s="219">
        <v>0</v>
      </c>
      <c r="AI13" s="67">
        <f t="shared" ref="AI13" si="53">AG13+AH13</f>
        <v>0</v>
      </c>
    </row>
    <row r="14" spans="2:35" x14ac:dyDescent="0.3">
      <c r="B14" s="73" t="s">
        <v>10</v>
      </c>
      <c r="C14" s="25">
        <f t="shared" ref="C14:Q14" si="54">C11-C13</f>
        <v>137.69999999999996</v>
      </c>
      <c r="D14" s="63">
        <f t="shared" si="54"/>
        <v>57.700000000000017</v>
      </c>
      <c r="E14" s="64">
        <f t="shared" si="54"/>
        <v>195.39999999999998</v>
      </c>
      <c r="F14" s="25">
        <f t="shared" si="54"/>
        <v>106.00000000000004</v>
      </c>
      <c r="G14" s="63">
        <f t="shared" si="54"/>
        <v>129.80000000000001</v>
      </c>
      <c r="H14" s="64">
        <f t="shared" si="54"/>
        <v>235.8</v>
      </c>
      <c r="I14" s="25">
        <f t="shared" si="54"/>
        <v>199.29999999999998</v>
      </c>
      <c r="J14" s="63">
        <f t="shared" si="54"/>
        <v>121.00000000000011</v>
      </c>
      <c r="K14" s="64">
        <f t="shared" si="54"/>
        <v>320.30000000000007</v>
      </c>
      <c r="L14" s="25">
        <f t="shared" si="54"/>
        <v>315.30000000000007</v>
      </c>
      <c r="M14" s="63">
        <f t="shared" si="54"/>
        <v>111.19999999999996</v>
      </c>
      <c r="N14" s="64">
        <f t="shared" si="54"/>
        <v>426.49999999999989</v>
      </c>
      <c r="O14" s="25">
        <f t="shared" si="54"/>
        <v>169.10000000000002</v>
      </c>
      <c r="P14" s="63">
        <f t="shared" si="54"/>
        <v>122.50000000000007</v>
      </c>
      <c r="Q14" s="64">
        <f t="shared" si="54"/>
        <v>291.60000000000008</v>
      </c>
      <c r="R14" s="25">
        <f>R11-R13</f>
        <v>147.50000000000003</v>
      </c>
      <c r="S14" s="63">
        <f t="shared" ref="S14:U14" si="55">S11-S13</f>
        <v>63.499999999999957</v>
      </c>
      <c r="T14" s="64">
        <f t="shared" si="55"/>
        <v>210.99999999999994</v>
      </c>
      <c r="U14" s="25">
        <f t="shared" si="55"/>
        <v>109.40000000000005</v>
      </c>
      <c r="V14" s="63">
        <f t="shared" ref="V14:W14" si="56">V6-V8-V13</f>
        <v>121.55499999999998</v>
      </c>
      <c r="W14" s="64">
        <f t="shared" si="56"/>
        <v>224.05500000000001</v>
      </c>
      <c r="X14" s="25">
        <f t="shared" ref="X14:AI14" si="57">X6-X8-X13</f>
        <v>127.363</v>
      </c>
      <c r="Y14" s="63">
        <f t="shared" si="57"/>
        <v>126.58184</v>
      </c>
      <c r="Z14" s="64">
        <f t="shared" si="57"/>
        <v>253.94484000000006</v>
      </c>
      <c r="AA14" s="25">
        <f t="shared" si="57"/>
        <v>132.52988000000005</v>
      </c>
      <c r="AB14" s="63">
        <f t="shared" si="57"/>
        <v>131.82621760000006</v>
      </c>
      <c r="AC14" s="64">
        <f t="shared" si="57"/>
        <v>264.35609759999988</v>
      </c>
      <c r="AD14" s="25">
        <f t="shared" si="57"/>
        <v>137.90922399999999</v>
      </c>
      <c r="AE14" s="63">
        <f t="shared" si="57"/>
        <v>137.29848070399999</v>
      </c>
      <c r="AF14" s="64">
        <f t="shared" si="57"/>
        <v>275.20770470400009</v>
      </c>
      <c r="AG14" s="25">
        <f t="shared" si="57"/>
        <v>145.56512019200005</v>
      </c>
      <c r="AH14" s="63">
        <f t="shared" si="57"/>
        <v>145.92027635584009</v>
      </c>
      <c r="AI14" s="26">
        <f t="shared" si="57"/>
        <v>291.4853965478402</v>
      </c>
    </row>
    <row r="15" spans="2:35" s="196" customFormat="1" ht="13.8" x14ac:dyDescent="0.3">
      <c r="B15" s="216" t="s">
        <v>12</v>
      </c>
      <c r="C15" s="196">
        <f t="shared" ref="C15:W15" si="58">C14/C4</f>
        <v>0.2628364191639625</v>
      </c>
      <c r="D15" s="214">
        <f t="shared" si="58"/>
        <v>0.11519265322419649</v>
      </c>
      <c r="E15" s="215">
        <f t="shared" si="58"/>
        <v>0.19067135050741607</v>
      </c>
      <c r="F15" s="196">
        <f t="shared" si="58"/>
        <v>0.24605385329619323</v>
      </c>
      <c r="G15" s="214">
        <f t="shared" si="58"/>
        <v>0.22402485329651362</v>
      </c>
      <c r="H15" s="215">
        <f t="shared" si="58"/>
        <v>0.23341912492575728</v>
      </c>
      <c r="I15" s="196">
        <f t="shared" si="58"/>
        <v>0.30884859755152644</v>
      </c>
      <c r="J15" s="214">
        <f t="shared" si="58"/>
        <v>0.18124625524266041</v>
      </c>
      <c r="K15" s="215">
        <f t="shared" si="58"/>
        <v>0.24396374438266435</v>
      </c>
      <c r="L15" s="196">
        <f t="shared" si="58"/>
        <v>0.36362587936800839</v>
      </c>
      <c r="M15" s="214">
        <f t="shared" si="58"/>
        <v>0.16319342530085112</v>
      </c>
      <c r="N15" s="215">
        <f t="shared" si="58"/>
        <v>0.27542783338714877</v>
      </c>
      <c r="O15" s="196">
        <f t="shared" si="58"/>
        <v>0.26558818910004711</v>
      </c>
      <c r="P15" s="214">
        <f t="shared" si="58"/>
        <v>0.21973094170403601</v>
      </c>
      <c r="Q15" s="215">
        <f t="shared" si="58"/>
        <v>0.24418020432088433</v>
      </c>
      <c r="R15" s="196">
        <f t="shared" si="58"/>
        <v>0.27637249391043661</v>
      </c>
      <c r="S15" s="214">
        <f t="shared" ref="S15:U15" si="59">S14/S4</f>
        <v>0.14082945220669763</v>
      </c>
      <c r="T15" s="215">
        <f t="shared" si="59"/>
        <v>0.2143002234409912</v>
      </c>
      <c r="U15" s="196">
        <f t="shared" si="59"/>
        <v>0.22344771241830078</v>
      </c>
      <c r="V15" s="214">
        <f t="shared" si="58"/>
        <v>0.24999999999999994</v>
      </c>
      <c r="W15" s="215">
        <f t="shared" si="58"/>
        <v>0.22960689471418907</v>
      </c>
      <c r="X15" s="196">
        <f t="shared" ref="X15:AI15" si="60">X14/X4</f>
        <v>0.25</v>
      </c>
      <c r="Y15" s="214">
        <f t="shared" si="60"/>
        <v>0.24999999999999997</v>
      </c>
      <c r="Z15" s="215">
        <f t="shared" si="60"/>
        <v>0.25000000000000006</v>
      </c>
      <c r="AA15" s="196">
        <f t="shared" si="60"/>
        <v>0.25000000000000006</v>
      </c>
      <c r="AB15" s="214">
        <f t="shared" si="60"/>
        <v>0.25000000000000006</v>
      </c>
      <c r="AC15" s="215">
        <f t="shared" si="60"/>
        <v>0.24999999999999989</v>
      </c>
      <c r="AD15" s="196">
        <f t="shared" si="60"/>
        <v>0.25</v>
      </c>
      <c r="AE15" s="214">
        <f t="shared" si="60"/>
        <v>0.24999999999999994</v>
      </c>
      <c r="AF15" s="215">
        <f t="shared" si="60"/>
        <v>0.25000000000000006</v>
      </c>
      <c r="AG15" s="196">
        <f t="shared" si="60"/>
        <v>0.25000000000000006</v>
      </c>
      <c r="AH15" s="214">
        <f t="shared" si="60"/>
        <v>0.25000000000000006</v>
      </c>
      <c r="AI15" s="217">
        <f t="shared" si="60"/>
        <v>0.25000000000000011</v>
      </c>
    </row>
    <row r="16" spans="2:35" x14ac:dyDescent="0.3">
      <c r="B16" s="72" t="s">
        <v>8</v>
      </c>
      <c r="C16" s="65">
        <v>15.4</v>
      </c>
      <c r="D16" s="15">
        <f>E16-C16</f>
        <v>18</v>
      </c>
      <c r="E16" s="16">
        <v>33.4</v>
      </c>
      <c r="F16" s="65">
        <v>16.399999999999999</v>
      </c>
      <c r="G16" s="15">
        <f>H16-F16</f>
        <v>17.600000000000001</v>
      </c>
      <c r="H16" s="16">
        <v>34</v>
      </c>
      <c r="I16" s="65">
        <v>18</v>
      </c>
      <c r="J16" s="15">
        <f>K16-I16</f>
        <v>22</v>
      </c>
      <c r="K16" s="16">
        <v>40</v>
      </c>
      <c r="L16" s="65">
        <v>19.100000000000001</v>
      </c>
      <c r="M16" s="15">
        <f>N16-L16</f>
        <v>21.1</v>
      </c>
      <c r="N16" s="16">
        <v>40.200000000000003</v>
      </c>
      <c r="O16" s="65">
        <v>21.6</v>
      </c>
      <c r="P16" s="15">
        <f t="shared" ref="P16" si="61">Q16-O16</f>
        <v>23.5</v>
      </c>
      <c r="Q16" s="16">
        <v>45.1</v>
      </c>
      <c r="R16" s="65">
        <v>22.9</v>
      </c>
      <c r="S16" s="15">
        <f t="shared" ref="S16" si="62">T16-R16</f>
        <v>23.9</v>
      </c>
      <c r="T16" s="16">
        <v>46.8</v>
      </c>
      <c r="U16" s="65">
        <v>23.2</v>
      </c>
      <c r="V16" s="15">
        <f>Schedules!V11+Schedules!V25+Schedules!V39</f>
        <v>16.038</v>
      </c>
      <c r="W16" s="16">
        <f>U16+V16</f>
        <v>39.238</v>
      </c>
      <c r="X16" s="65">
        <f>Schedules!X11+Schedules!X25+Schedules!X39</f>
        <v>16.52422</v>
      </c>
      <c r="Y16" s="15">
        <f>Schedules!Y11+Schedules!Y25+Schedules!Y39</f>
        <v>17.033672000000003</v>
      </c>
      <c r="Z16" s="16">
        <f>Schedules!Z11+Schedules!Z25+Schedules!Z39</f>
        <v>33.557892000000002</v>
      </c>
      <c r="AA16" s="65">
        <f>Schedules!AA11+Schedules!AA25+Schedules!AA39</f>
        <v>17.539999359999999</v>
      </c>
      <c r="AB16" s="15">
        <f>Schedules!AB11+Schedules!AB25+Schedules!AB39</f>
        <v>18.070118879999999</v>
      </c>
      <c r="AC16" s="16">
        <f>Schedules!AC11+Schedules!AC25+Schedules!AC39</f>
        <v>35.610118239999998</v>
      </c>
      <c r="AD16" s="65">
        <f>Schedules!AD11+Schedules!AD25+Schedules!AD39</f>
        <v>18.597423750399997</v>
      </c>
      <c r="AE16" s="15">
        <f>Schedules!AE11+Schedules!AE25+Schedules!AE39</f>
        <v>19.149060646399999</v>
      </c>
      <c r="AF16" s="16">
        <f>Schedules!AF11+Schedules!AF25+Schedules!AF39</f>
        <v>37.7464843968</v>
      </c>
      <c r="AG16" s="65">
        <f>Schedules!AG11+Schedules!AG25+Schedules!AG39</f>
        <v>19.698254569216001</v>
      </c>
      <c r="AH16" s="15">
        <f>Schedules!AH11+Schedules!AH25+Schedules!AH39</f>
        <v>20.280515049984</v>
      </c>
      <c r="AI16" s="67">
        <f>Schedules!AI11+Schedules!AI25+Schedules!AI39</f>
        <v>39.978769619200001</v>
      </c>
    </row>
    <row r="17" spans="2:39" x14ac:dyDescent="0.3">
      <c r="B17" s="72" t="s">
        <v>226</v>
      </c>
      <c r="C17" s="65"/>
      <c r="D17" s="15"/>
      <c r="E17" s="16"/>
      <c r="F17" s="65"/>
      <c r="G17" s="15"/>
      <c r="H17" s="16"/>
      <c r="I17" s="65"/>
      <c r="J17" s="15"/>
      <c r="K17" s="16"/>
      <c r="L17" s="65"/>
      <c r="M17" s="15"/>
      <c r="N17" s="16"/>
      <c r="O17" s="65"/>
      <c r="P17" s="15"/>
      <c r="Q17" s="16">
        <v>6.2</v>
      </c>
      <c r="R17" s="65">
        <v>4.0999999999999996</v>
      </c>
      <c r="S17" s="15">
        <f>T17-R17</f>
        <v>0</v>
      </c>
      <c r="T17" s="16">
        <v>4.0999999999999996</v>
      </c>
      <c r="U17" s="65">
        <v>0.8</v>
      </c>
      <c r="V17" s="15"/>
      <c r="W17" s="16">
        <f t="shared" ref="W17:W18" si="63">U17+V17</f>
        <v>0.8</v>
      </c>
      <c r="X17" s="65"/>
      <c r="Y17" s="15"/>
      <c r="Z17" s="16"/>
      <c r="AA17" s="65"/>
      <c r="AB17" s="15"/>
      <c r="AC17" s="16"/>
      <c r="AD17" s="65"/>
      <c r="AE17" s="15"/>
      <c r="AF17" s="16"/>
      <c r="AG17" s="65"/>
      <c r="AH17" s="15"/>
      <c r="AI17" s="67"/>
    </row>
    <row r="18" spans="2:39" x14ac:dyDescent="0.3">
      <c r="B18" s="72" t="s">
        <v>295</v>
      </c>
      <c r="C18" s="65"/>
      <c r="D18" s="15"/>
      <c r="E18" s="16"/>
      <c r="F18" s="65"/>
      <c r="G18" s="15"/>
      <c r="H18" s="16"/>
      <c r="I18" s="65"/>
      <c r="J18" s="15"/>
      <c r="K18" s="16"/>
      <c r="L18" s="65"/>
      <c r="M18" s="15"/>
      <c r="N18" s="16"/>
      <c r="O18" s="65"/>
      <c r="P18" s="15"/>
      <c r="Q18" s="16">
        <v>0.6</v>
      </c>
      <c r="R18" s="65"/>
      <c r="S18" s="15">
        <f>T18-R18</f>
        <v>0</v>
      </c>
      <c r="T18" s="16">
        <v>0</v>
      </c>
      <c r="U18" s="65">
        <v>0.5</v>
      </c>
      <c r="V18" s="15"/>
      <c r="W18" s="16">
        <f t="shared" si="63"/>
        <v>0.5</v>
      </c>
      <c r="X18" s="65"/>
      <c r="Y18" s="15"/>
      <c r="Z18" s="16"/>
      <c r="AA18" s="65"/>
      <c r="AB18" s="15"/>
      <c r="AC18" s="16"/>
      <c r="AD18" s="65"/>
      <c r="AE18" s="15"/>
      <c r="AF18" s="16"/>
      <c r="AG18" s="65"/>
      <c r="AH18" s="15"/>
      <c r="AI18" s="67"/>
    </row>
    <row r="19" spans="2:39" x14ac:dyDescent="0.3">
      <c r="B19" s="73" t="s">
        <v>119</v>
      </c>
      <c r="C19" s="25">
        <f t="shared" ref="C19:P19" si="64">C14+C16</f>
        <v>153.09999999999997</v>
      </c>
      <c r="D19" s="63">
        <f t="shared" si="64"/>
        <v>75.700000000000017</v>
      </c>
      <c r="E19" s="64">
        <f t="shared" si="64"/>
        <v>228.79999999999998</v>
      </c>
      <c r="F19" s="25">
        <f t="shared" si="64"/>
        <v>122.40000000000003</v>
      </c>
      <c r="G19" s="63">
        <f t="shared" si="64"/>
        <v>147.4</v>
      </c>
      <c r="H19" s="64">
        <f t="shared" si="64"/>
        <v>269.8</v>
      </c>
      <c r="I19" s="25">
        <f t="shared" si="64"/>
        <v>217.29999999999998</v>
      </c>
      <c r="J19" s="63">
        <f t="shared" si="64"/>
        <v>143.00000000000011</v>
      </c>
      <c r="K19" s="64">
        <f t="shared" si="64"/>
        <v>360.30000000000007</v>
      </c>
      <c r="L19" s="25">
        <f t="shared" si="64"/>
        <v>334.40000000000009</v>
      </c>
      <c r="M19" s="63">
        <f t="shared" si="64"/>
        <v>132.29999999999995</v>
      </c>
      <c r="N19" s="64">
        <f t="shared" si="64"/>
        <v>466.69999999999987</v>
      </c>
      <c r="O19" s="25">
        <f t="shared" si="64"/>
        <v>190.70000000000002</v>
      </c>
      <c r="P19" s="63">
        <f t="shared" si="64"/>
        <v>146.00000000000006</v>
      </c>
      <c r="Q19" s="64">
        <f>Q11+Q16+Q17+Q18</f>
        <v>356.30000000000013</v>
      </c>
      <c r="R19" s="25">
        <f t="shared" ref="R19:U19" si="65">R11+R16+R17+R18</f>
        <v>174.30000000000004</v>
      </c>
      <c r="S19" s="63">
        <f t="shared" si="65"/>
        <v>93.599999999999966</v>
      </c>
      <c r="T19" s="64">
        <f>T11+T16+T17+T18-0.1</f>
        <v>267.79999999999995</v>
      </c>
      <c r="U19" s="25">
        <f t="shared" si="65"/>
        <v>133.20000000000005</v>
      </c>
      <c r="V19" s="63">
        <f t="shared" ref="V19:W19" si="66">V6-V8</f>
        <v>121.55499999999998</v>
      </c>
      <c r="W19" s="64">
        <f t="shared" si="66"/>
        <v>223.35500000000002</v>
      </c>
      <c r="X19" s="25">
        <f t="shared" ref="X19:AI19" si="67">X6-X8</f>
        <v>127.363</v>
      </c>
      <c r="Y19" s="63">
        <f t="shared" si="67"/>
        <v>126.58184</v>
      </c>
      <c r="Z19" s="64">
        <f t="shared" si="67"/>
        <v>253.94484000000006</v>
      </c>
      <c r="AA19" s="25">
        <f t="shared" si="67"/>
        <v>132.52988000000005</v>
      </c>
      <c r="AB19" s="63">
        <f t="shared" si="67"/>
        <v>131.82621760000006</v>
      </c>
      <c r="AC19" s="64">
        <f t="shared" si="67"/>
        <v>264.35609759999988</v>
      </c>
      <c r="AD19" s="25">
        <f t="shared" si="67"/>
        <v>137.90922399999999</v>
      </c>
      <c r="AE19" s="63">
        <f t="shared" si="67"/>
        <v>137.29848070399999</v>
      </c>
      <c r="AF19" s="64">
        <f t="shared" si="67"/>
        <v>275.20770470400009</v>
      </c>
      <c r="AG19" s="25">
        <f t="shared" si="67"/>
        <v>145.56512019200005</v>
      </c>
      <c r="AH19" s="63">
        <f t="shared" si="67"/>
        <v>145.92027635584009</v>
      </c>
      <c r="AI19" s="26">
        <f t="shared" si="67"/>
        <v>291.4853965478402</v>
      </c>
      <c r="AL19" t="s">
        <v>202</v>
      </c>
    </row>
    <row r="20" spans="2:39" s="7" customFormat="1" x14ac:dyDescent="0.3">
      <c r="B20" s="74" t="s">
        <v>201</v>
      </c>
      <c r="C20" s="7">
        <f t="shared" ref="C20:R20" si="68">C19/C4</f>
        <v>0.29223134185913335</v>
      </c>
      <c r="D20" s="8">
        <f t="shared" si="68"/>
        <v>0.15112796965462172</v>
      </c>
      <c r="E20" s="9">
        <f t="shared" si="68"/>
        <v>0.22326307572209211</v>
      </c>
      <c r="F20" s="7">
        <f t="shared" si="68"/>
        <v>0.2841225626740948</v>
      </c>
      <c r="G20" s="8">
        <f t="shared" si="68"/>
        <v>0.25440110459095611</v>
      </c>
      <c r="H20" s="9">
        <f t="shared" si="68"/>
        <v>0.26707582656899626</v>
      </c>
      <c r="I20" s="7">
        <f t="shared" si="68"/>
        <v>0.33674260034092668</v>
      </c>
      <c r="J20" s="8">
        <f t="shared" si="68"/>
        <v>0.214200119832235</v>
      </c>
      <c r="K20" s="9">
        <f t="shared" si="68"/>
        <v>0.27443064970675607</v>
      </c>
      <c r="L20" s="7">
        <f t="shared" si="68"/>
        <v>0.38565332718256268</v>
      </c>
      <c r="M20" s="8">
        <f t="shared" si="68"/>
        <v>0.19415908423833278</v>
      </c>
      <c r="N20" s="9">
        <f t="shared" si="68"/>
        <v>0.30138844042621882</v>
      </c>
      <c r="O20" s="7">
        <f t="shared" si="68"/>
        <v>0.29951311449662321</v>
      </c>
      <c r="P20" s="8">
        <f t="shared" si="68"/>
        <v>0.26188340807174898</v>
      </c>
      <c r="Q20" s="9">
        <f t="shared" si="68"/>
        <v>0.29835873388042211</v>
      </c>
      <c r="R20" s="7">
        <f t="shared" si="68"/>
        <v>0.3265879707700956</v>
      </c>
      <c r="S20" s="8">
        <f t="shared" ref="S20:U20" si="69">S19/S4</f>
        <v>0.20758483033932129</v>
      </c>
      <c r="T20" s="9">
        <f t="shared" si="69"/>
        <v>0.27198862482226277</v>
      </c>
      <c r="U20" s="7">
        <f t="shared" si="69"/>
        <v>0.27205882352941185</v>
      </c>
      <c r="V20" s="221">
        <f>V19/V4</f>
        <v>0.24999999999999994</v>
      </c>
      <c r="W20" s="222">
        <f>W19/W4</f>
        <v>0.22888954930212541</v>
      </c>
      <c r="X20" s="223">
        <f t="shared" ref="X20:AI20" si="70">X19/X4</f>
        <v>0.25</v>
      </c>
      <c r="Y20" s="221">
        <f t="shared" si="70"/>
        <v>0.24999999999999997</v>
      </c>
      <c r="Z20" s="222">
        <f t="shared" si="70"/>
        <v>0.25000000000000006</v>
      </c>
      <c r="AA20" s="223">
        <f t="shared" si="70"/>
        <v>0.25000000000000006</v>
      </c>
      <c r="AB20" s="221">
        <f t="shared" si="70"/>
        <v>0.25000000000000006</v>
      </c>
      <c r="AC20" s="222">
        <f t="shared" si="70"/>
        <v>0.24999999999999989</v>
      </c>
      <c r="AD20" s="223">
        <f t="shared" si="70"/>
        <v>0.25</v>
      </c>
      <c r="AE20" s="221">
        <f t="shared" si="70"/>
        <v>0.24999999999999994</v>
      </c>
      <c r="AF20" s="222">
        <f t="shared" si="70"/>
        <v>0.25000000000000006</v>
      </c>
      <c r="AG20" s="223">
        <f t="shared" si="70"/>
        <v>0.25000000000000006</v>
      </c>
      <c r="AH20" s="221">
        <f t="shared" si="70"/>
        <v>0.25000000000000006</v>
      </c>
      <c r="AI20" s="224">
        <f t="shared" si="70"/>
        <v>0.25000000000000011</v>
      </c>
    </row>
    <row r="21" spans="2:39" x14ac:dyDescent="0.3">
      <c r="B21" s="72" t="s">
        <v>11</v>
      </c>
      <c r="C21" s="65">
        <v>6.3</v>
      </c>
      <c r="D21" s="15">
        <f t="shared" ref="D21:D22" si="71">E21-C21</f>
        <v>6.3999999999999995</v>
      </c>
      <c r="E21" s="16">
        <v>12.7</v>
      </c>
      <c r="F21" s="65">
        <v>6.1</v>
      </c>
      <c r="G21" s="15">
        <f t="shared" ref="G21:G22" si="72">H21-F21</f>
        <v>5.9</v>
      </c>
      <c r="H21" s="16">
        <v>12</v>
      </c>
      <c r="I21" s="65">
        <v>5.5</v>
      </c>
      <c r="J21" s="15">
        <f t="shared" ref="J21:J22" si="73">K21-I21</f>
        <v>4.9000000000000004</v>
      </c>
      <c r="K21" s="16">
        <v>10.4</v>
      </c>
      <c r="L21" s="65">
        <v>4.5</v>
      </c>
      <c r="M21" s="15">
        <f t="shared" ref="M21:M22" si="74">N21-L21</f>
        <v>7.1999999999999993</v>
      </c>
      <c r="N21" s="16">
        <v>11.7</v>
      </c>
      <c r="O21" s="65">
        <v>11.7</v>
      </c>
      <c r="P21" s="15">
        <f t="shared" ref="P21:P22" si="75">Q21-O21</f>
        <v>20</v>
      </c>
      <c r="Q21" s="16">
        <v>31.7</v>
      </c>
      <c r="R21" s="65">
        <v>16.7</v>
      </c>
      <c r="S21" s="15">
        <f t="shared" ref="S21:S22" si="76">T21-R21</f>
        <v>17.000000000000004</v>
      </c>
      <c r="T21" s="16">
        <v>33.700000000000003</v>
      </c>
      <c r="U21" s="65">
        <v>16</v>
      </c>
      <c r="V21" s="15">
        <f>Schedules!V71</f>
        <v>17.318999999999999</v>
      </c>
      <c r="W21" s="16">
        <f>U21+V21</f>
        <v>33.319000000000003</v>
      </c>
      <c r="X21" s="65">
        <f>Schedules!X71</f>
        <v>16.718999999999998</v>
      </c>
      <c r="Y21" s="15">
        <f>Schedules!Y71</f>
        <v>16.418999999999997</v>
      </c>
      <c r="Z21" s="16">
        <f t="shared" ref="Z21:Z22" si="77">X21+Y21</f>
        <v>33.137999999999991</v>
      </c>
      <c r="AA21" s="65">
        <f>Schedules!AA71</f>
        <v>15.818999999999997</v>
      </c>
      <c r="AB21" s="15">
        <f>Schedules!AB71</f>
        <v>15.518999999999998</v>
      </c>
      <c r="AC21" s="16">
        <f t="shared" ref="AC21:AC22" si="78">AA21+AB21</f>
        <v>31.337999999999994</v>
      </c>
      <c r="AD21" s="65">
        <f>Schedules!AD71</f>
        <v>14.918999999999999</v>
      </c>
      <c r="AE21" s="15">
        <f>Schedules!AE71</f>
        <v>14.618999999999998</v>
      </c>
      <c r="AF21" s="16">
        <f t="shared" ref="AF21:AF22" si="79">AD21+AE21</f>
        <v>29.537999999999997</v>
      </c>
      <c r="AG21" s="65">
        <f>Schedules!AG71</f>
        <v>14.018999999999998</v>
      </c>
      <c r="AH21" s="15">
        <f>Schedules!AH71</f>
        <v>13.718999999999998</v>
      </c>
      <c r="AI21" s="67">
        <f t="shared" ref="AI21:AI22" si="80">AG21+AH21</f>
        <v>27.737999999999996</v>
      </c>
    </row>
    <row r="22" spans="2:39" x14ac:dyDescent="0.3">
      <c r="B22" s="72" t="s">
        <v>166</v>
      </c>
      <c r="C22" s="65">
        <v>8</v>
      </c>
      <c r="D22" s="15">
        <f t="shared" si="71"/>
        <v>7.3000000000000007</v>
      </c>
      <c r="E22" s="16">
        <v>15.3</v>
      </c>
      <c r="F22" s="65">
        <v>1.9</v>
      </c>
      <c r="G22" s="15">
        <f t="shared" si="72"/>
        <v>0.70000000000000018</v>
      </c>
      <c r="H22" s="16">
        <v>2.6</v>
      </c>
      <c r="I22" s="65">
        <v>1.9</v>
      </c>
      <c r="J22" s="15">
        <f t="shared" si="73"/>
        <v>0.89999999999999991</v>
      </c>
      <c r="K22" s="16">
        <v>2.8</v>
      </c>
      <c r="L22" s="65">
        <v>0.7</v>
      </c>
      <c r="M22" s="15">
        <f t="shared" si="74"/>
        <v>5.2</v>
      </c>
      <c r="N22" s="16">
        <v>5.9</v>
      </c>
      <c r="O22" s="65">
        <v>4</v>
      </c>
      <c r="P22" s="15">
        <f t="shared" si="75"/>
        <v>2.8</v>
      </c>
      <c r="Q22" s="16">
        <v>6.8</v>
      </c>
      <c r="R22" s="65">
        <v>4.4000000000000004</v>
      </c>
      <c r="S22" s="15">
        <f t="shared" si="76"/>
        <v>4.5</v>
      </c>
      <c r="T22" s="16">
        <v>8.9</v>
      </c>
      <c r="U22" s="65">
        <v>6</v>
      </c>
      <c r="V22" s="219">
        <v>0</v>
      </c>
      <c r="W22" s="16">
        <f>U22+V22</f>
        <v>6</v>
      </c>
      <c r="X22" s="220">
        <v>0</v>
      </c>
      <c r="Y22" s="219">
        <v>0</v>
      </c>
      <c r="Z22" s="16">
        <f t="shared" si="77"/>
        <v>0</v>
      </c>
      <c r="AA22" s="220">
        <v>0</v>
      </c>
      <c r="AB22" s="219">
        <v>0</v>
      </c>
      <c r="AC22" s="16">
        <f t="shared" si="78"/>
        <v>0</v>
      </c>
      <c r="AD22" s="220">
        <v>0</v>
      </c>
      <c r="AE22" s="219">
        <v>0</v>
      </c>
      <c r="AF22" s="16">
        <f t="shared" si="79"/>
        <v>0</v>
      </c>
      <c r="AG22" s="220">
        <v>0</v>
      </c>
      <c r="AH22" s="219">
        <v>0</v>
      </c>
      <c r="AI22" s="67">
        <f t="shared" si="80"/>
        <v>0</v>
      </c>
    </row>
    <row r="23" spans="2:39" x14ac:dyDescent="0.3">
      <c r="B23" s="73" t="s">
        <v>13</v>
      </c>
      <c r="C23" s="25">
        <f t="shared" ref="C23:R23" si="81">C14-C21-C22</f>
        <v>123.39999999999995</v>
      </c>
      <c r="D23" s="63">
        <f t="shared" si="81"/>
        <v>44.000000000000014</v>
      </c>
      <c r="E23" s="64">
        <f t="shared" si="81"/>
        <v>167.39999999999998</v>
      </c>
      <c r="F23" s="25">
        <f t="shared" si="81"/>
        <v>98.000000000000043</v>
      </c>
      <c r="G23" s="63">
        <f t="shared" si="81"/>
        <v>123.2</v>
      </c>
      <c r="H23" s="64">
        <f t="shared" si="81"/>
        <v>221.20000000000002</v>
      </c>
      <c r="I23" s="25">
        <f t="shared" si="81"/>
        <v>191.89999999999998</v>
      </c>
      <c r="J23" s="63">
        <f t="shared" si="81"/>
        <v>115.2000000000001</v>
      </c>
      <c r="K23" s="64">
        <f t="shared" si="81"/>
        <v>307.10000000000008</v>
      </c>
      <c r="L23" s="25">
        <f t="shared" si="81"/>
        <v>310.10000000000008</v>
      </c>
      <c r="M23" s="63">
        <f t="shared" si="81"/>
        <v>98.799999999999955</v>
      </c>
      <c r="N23" s="64">
        <f t="shared" si="81"/>
        <v>408.89999999999992</v>
      </c>
      <c r="O23" s="25">
        <f t="shared" si="81"/>
        <v>153.40000000000003</v>
      </c>
      <c r="P23" s="63">
        <f t="shared" si="81"/>
        <v>99.700000000000074</v>
      </c>
      <c r="Q23" s="64">
        <f t="shared" si="81"/>
        <v>253.10000000000008</v>
      </c>
      <c r="R23" s="25">
        <f t="shared" si="81"/>
        <v>126.40000000000003</v>
      </c>
      <c r="S23" s="63">
        <f t="shared" ref="S23:U23" si="82">S14-S21-S22</f>
        <v>41.999999999999957</v>
      </c>
      <c r="T23" s="64">
        <f t="shared" si="82"/>
        <v>168.39999999999995</v>
      </c>
      <c r="U23" s="25">
        <f t="shared" si="82"/>
        <v>87.400000000000048</v>
      </c>
      <c r="V23" s="63">
        <f>V14-V21-V22</f>
        <v>104.23599999999998</v>
      </c>
      <c r="W23" s="64">
        <f>W14-W21-W22</f>
        <v>184.73599999999999</v>
      </c>
      <c r="X23" s="25">
        <f t="shared" ref="X23:AI23" si="83">X14-X21-X22</f>
        <v>110.64400000000001</v>
      </c>
      <c r="Y23" s="63">
        <f t="shared" si="83"/>
        <v>110.16284</v>
      </c>
      <c r="Z23" s="64">
        <f t="shared" si="83"/>
        <v>220.80684000000008</v>
      </c>
      <c r="AA23" s="25">
        <f t="shared" si="83"/>
        <v>116.71088000000005</v>
      </c>
      <c r="AB23" s="63">
        <f t="shared" si="83"/>
        <v>116.30721760000006</v>
      </c>
      <c r="AC23" s="64">
        <f t="shared" si="83"/>
        <v>233.01809759999989</v>
      </c>
      <c r="AD23" s="25">
        <f t="shared" si="83"/>
        <v>122.990224</v>
      </c>
      <c r="AE23" s="63">
        <f t="shared" si="83"/>
        <v>122.67948070399999</v>
      </c>
      <c r="AF23" s="64">
        <f t="shared" si="83"/>
        <v>245.66970470400008</v>
      </c>
      <c r="AG23" s="25">
        <f t="shared" si="83"/>
        <v>131.54612019200005</v>
      </c>
      <c r="AH23" s="63">
        <f t="shared" si="83"/>
        <v>132.20127635584009</v>
      </c>
      <c r="AI23" s="26">
        <f t="shared" si="83"/>
        <v>263.7473965478402</v>
      </c>
      <c r="AM23" s="10"/>
    </row>
    <row r="24" spans="2:39" s="7" customFormat="1" ht="13.8" x14ac:dyDescent="0.3">
      <c r="B24" s="74" t="s">
        <v>14</v>
      </c>
      <c r="C24" s="7">
        <f t="shared" ref="C24:R24" si="84">C23/C4</f>
        <v>0.235541133804161</v>
      </c>
      <c r="D24" s="8">
        <f t="shared" si="84"/>
        <v>8.7841884607706158E-2</v>
      </c>
      <c r="E24" s="9">
        <f t="shared" si="84"/>
        <v>0.16334894613583137</v>
      </c>
      <c r="F24" s="7">
        <f t="shared" si="84"/>
        <v>0.22748375116063146</v>
      </c>
      <c r="G24" s="8">
        <f t="shared" si="84"/>
        <v>0.21263375906109766</v>
      </c>
      <c r="H24" s="9">
        <f t="shared" si="84"/>
        <v>0.21896654127895468</v>
      </c>
      <c r="I24" s="7">
        <f t="shared" si="84"/>
        <v>0.29738106307143963</v>
      </c>
      <c r="J24" s="8">
        <f t="shared" si="84"/>
        <v>0.17255841821449983</v>
      </c>
      <c r="K24" s="9">
        <f t="shared" si="84"/>
        <v>0.23390966562571411</v>
      </c>
      <c r="L24" s="7">
        <f t="shared" si="84"/>
        <v>0.35762887786875802</v>
      </c>
      <c r="M24" s="8">
        <f t="shared" si="84"/>
        <v>0.14499559729967706</v>
      </c>
      <c r="N24" s="9">
        <f t="shared" si="84"/>
        <v>0.26406199547949621</v>
      </c>
      <c r="O24" s="7">
        <f t="shared" si="84"/>
        <v>0.2409297942516099</v>
      </c>
      <c r="P24" s="8">
        <f t="shared" si="84"/>
        <v>0.17883408071748891</v>
      </c>
      <c r="Q24" s="9">
        <f t="shared" si="84"/>
        <v>0.21194104840060296</v>
      </c>
      <c r="R24" s="7">
        <f t="shared" si="84"/>
        <v>0.23683717444257077</v>
      </c>
      <c r="S24" s="8">
        <f t="shared" ref="S24:U24" si="85">S23/S4</f>
        <v>9.3147039254823594E-2</v>
      </c>
      <c r="T24" s="9">
        <f t="shared" si="85"/>
        <v>0.17103392240503754</v>
      </c>
      <c r="U24" s="7">
        <f t="shared" si="85"/>
        <v>0.17851307189542495</v>
      </c>
      <c r="V24" s="8">
        <f>V23/V4</f>
        <v>0.2143803216650898</v>
      </c>
      <c r="W24" s="9">
        <f>W23/W4</f>
        <v>0.18931360291857102</v>
      </c>
      <c r="X24" s="7">
        <f t="shared" ref="X24:AI24" si="86">X23/X4</f>
        <v>0.2171823842089147</v>
      </c>
      <c r="Y24" s="8">
        <f t="shared" si="86"/>
        <v>0.21757236267066427</v>
      </c>
      <c r="Z24" s="9">
        <f t="shared" si="86"/>
        <v>0.21737677363320324</v>
      </c>
      <c r="AA24" s="7">
        <f t="shared" si="86"/>
        <v>0.22015955948952801</v>
      </c>
      <c r="AB24" s="8">
        <f t="shared" si="86"/>
        <v>0.22056920792666365</v>
      </c>
      <c r="AC24" s="9">
        <f t="shared" si="86"/>
        <v>0.22036383850750252</v>
      </c>
      <c r="AD24" s="7">
        <f t="shared" si="86"/>
        <v>0.22295503598802063</v>
      </c>
      <c r="AE24" s="8">
        <f t="shared" si="86"/>
        <v>0.22338098731129272</v>
      </c>
      <c r="AF24" s="9">
        <f t="shared" si="86"/>
        <v>0.22316753901224387</v>
      </c>
      <c r="AG24" s="7">
        <f t="shared" si="86"/>
        <v>0.22592314700542795</v>
      </c>
      <c r="AH24" s="8">
        <f t="shared" si="86"/>
        <v>0.22649572708020213</v>
      </c>
      <c r="AI24" s="58">
        <f t="shared" si="86"/>
        <v>0.22620978586876875</v>
      </c>
    </row>
    <row r="25" spans="2:39" x14ac:dyDescent="0.3">
      <c r="B25" s="72" t="s">
        <v>15</v>
      </c>
      <c r="C25" s="65">
        <v>39.1</v>
      </c>
      <c r="D25" s="15">
        <f>E25-C25</f>
        <v>21.799999999999997</v>
      </c>
      <c r="E25" s="16">
        <v>60.9</v>
      </c>
      <c r="F25" s="65">
        <v>33.1</v>
      </c>
      <c r="G25" s="15">
        <f>H25-F25</f>
        <v>44.499999999999993</v>
      </c>
      <c r="H25" s="16">
        <v>77.599999999999994</v>
      </c>
      <c r="I25" s="65">
        <v>58.1</v>
      </c>
      <c r="J25" s="15">
        <f>K25-I25</f>
        <v>37.499999999999993</v>
      </c>
      <c r="K25" s="16">
        <v>95.6</v>
      </c>
      <c r="L25" s="65">
        <v>86.9</v>
      </c>
      <c r="M25" s="15">
        <f>N25-L25</f>
        <v>29.399999999999991</v>
      </c>
      <c r="N25" s="16">
        <v>116.3</v>
      </c>
      <c r="O25" s="65">
        <v>40.799999999999997</v>
      </c>
      <c r="P25" s="15">
        <f>Q25-O25</f>
        <v>28.600000000000009</v>
      </c>
      <c r="Q25" s="16">
        <v>69.400000000000006</v>
      </c>
      <c r="R25" s="65">
        <v>34.799999999999997</v>
      </c>
      <c r="S25" s="15">
        <f>T25-R25</f>
        <v>13.400000000000006</v>
      </c>
      <c r="T25" s="16">
        <v>48.2</v>
      </c>
      <c r="U25" s="65">
        <v>24.5</v>
      </c>
      <c r="V25" s="15">
        <f t="shared" ref="V25" si="87">V26*V23</f>
        <v>27.101359999999996</v>
      </c>
      <c r="W25" s="16">
        <f>U25+V25</f>
        <v>51.60136</v>
      </c>
      <c r="X25" s="65">
        <f t="shared" ref="X25:AH25" si="88">X26*X23</f>
        <v>28.767440000000004</v>
      </c>
      <c r="Y25" s="15">
        <f t="shared" si="88"/>
        <v>28.642338400000003</v>
      </c>
      <c r="Z25" s="16">
        <f t="shared" ref="Z25" si="89">X25+Y25</f>
        <v>57.409778400000008</v>
      </c>
      <c r="AA25" s="65">
        <f t="shared" si="88"/>
        <v>30.344828800000013</v>
      </c>
      <c r="AB25" s="15">
        <f t="shared" si="88"/>
        <v>30.239876576000015</v>
      </c>
      <c r="AC25" s="16">
        <f t="shared" ref="AC25" si="90">AA25+AB25</f>
        <v>60.584705376000031</v>
      </c>
      <c r="AD25" s="65">
        <f t="shared" si="88"/>
        <v>31.977458240000001</v>
      </c>
      <c r="AE25" s="15">
        <f t="shared" si="88"/>
        <v>31.896664983039997</v>
      </c>
      <c r="AF25" s="16">
        <f t="shared" ref="AF25" si="91">AD25+AE25</f>
        <v>63.874123223040002</v>
      </c>
      <c r="AG25" s="65">
        <f t="shared" si="88"/>
        <v>34.201991249920013</v>
      </c>
      <c r="AH25" s="15">
        <f t="shared" si="88"/>
        <v>34.372331852518428</v>
      </c>
      <c r="AI25" s="67">
        <f t="shared" ref="AI25" si="92">AG25+AH25</f>
        <v>68.574323102438441</v>
      </c>
    </row>
    <row r="26" spans="2:39" s="10" customFormat="1" x14ac:dyDescent="0.3">
      <c r="B26" s="74" t="s">
        <v>18</v>
      </c>
      <c r="C26" s="10">
        <f t="shared" ref="C26:M26" si="93">C25/C23</f>
        <v>0.31685575364667762</v>
      </c>
      <c r="D26" s="11">
        <f t="shared" si="93"/>
        <v>0.4954545454545452</v>
      </c>
      <c r="E26" s="12">
        <f t="shared" si="93"/>
        <v>0.36379928315412191</v>
      </c>
      <c r="F26" s="10">
        <f t="shared" si="93"/>
        <v>0.33775510204081621</v>
      </c>
      <c r="G26" s="11">
        <f t="shared" si="93"/>
        <v>0.36120129870129863</v>
      </c>
      <c r="H26" s="12">
        <f t="shared" si="93"/>
        <v>0.35081374321880648</v>
      </c>
      <c r="I26" s="10">
        <f t="shared" si="93"/>
        <v>0.30276185513288173</v>
      </c>
      <c r="J26" s="11">
        <f t="shared" si="93"/>
        <v>0.32552083333333298</v>
      </c>
      <c r="K26" s="12">
        <f t="shared" si="93"/>
        <v>0.3112992510582871</v>
      </c>
      <c r="L26" s="10">
        <f t="shared" si="93"/>
        <v>0.28023218316672038</v>
      </c>
      <c r="M26" s="11">
        <f t="shared" si="93"/>
        <v>0.29757085020242918</v>
      </c>
      <c r="N26" s="12">
        <f>N25/N23</f>
        <v>0.28442161897774521</v>
      </c>
      <c r="O26" s="10">
        <f t="shared" ref="O26:P26" si="94">O25/O23</f>
        <v>0.26597131681877439</v>
      </c>
      <c r="P26" s="11">
        <f t="shared" si="94"/>
        <v>0.2868605817452356</v>
      </c>
      <c r="Q26" s="12">
        <f>Q25/Q23</f>
        <v>0.2741999209798498</v>
      </c>
      <c r="R26" s="10">
        <f t="shared" ref="R26:S26" si="95">R25/R23</f>
        <v>0.27531645569620244</v>
      </c>
      <c r="S26" s="11">
        <f t="shared" si="95"/>
        <v>0.31904761904761952</v>
      </c>
      <c r="T26" s="12">
        <f>T25/T23</f>
        <v>0.28622327790973884</v>
      </c>
      <c r="U26" s="10">
        <f t="shared" ref="U26" si="96">U25/U23</f>
        <v>0.28032036613272293</v>
      </c>
      <c r="V26" s="56">
        <v>0.26</v>
      </c>
      <c r="W26" s="12">
        <f>W25/W23</f>
        <v>0.27932487441538195</v>
      </c>
      <c r="X26" s="57">
        <v>0.26</v>
      </c>
      <c r="Y26" s="56">
        <v>0.26</v>
      </c>
      <c r="Z26" s="12">
        <f t="shared" ref="Z26" si="97">Z25/Z23</f>
        <v>0.25999999999999995</v>
      </c>
      <c r="AA26" s="57">
        <v>0.26</v>
      </c>
      <c r="AB26" s="56">
        <v>0.26</v>
      </c>
      <c r="AC26" s="12">
        <f t="shared" ref="AC26" si="98">AC25/AC23</f>
        <v>0.26000000000000023</v>
      </c>
      <c r="AD26" s="57">
        <v>0.26</v>
      </c>
      <c r="AE26" s="56">
        <v>0.26</v>
      </c>
      <c r="AF26" s="12">
        <f t="shared" ref="AF26" si="99">AF25/AF23</f>
        <v>0.2599999999999999</v>
      </c>
      <c r="AG26" s="57">
        <v>0.26</v>
      </c>
      <c r="AH26" s="56">
        <v>0.26</v>
      </c>
      <c r="AI26" s="12">
        <f t="shared" ref="AI26" si="100">AI25/AI23</f>
        <v>0.25999999999999995</v>
      </c>
    </row>
    <row r="27" spans="2:39" x14ac:dyDescent="0.3">
      <c r="B27" s="72" t="s">
        <v>16</v>
      </c>
      <c r="C27" s="65">
        <v>0</v>
      </c>
      <c r="D27" s="15">
        <f>E27-C27</f>
        <v>0.3</v>
      </c>
      <c r="E27" s="16">
        <v>0.3</v>
      </c>
      <c r="F27" s="65">
        <v>0</v>
      </c>
      <c r="G27" s="15">
        <f>H27-F27</f>
        <v>0.6</v>
      </c>
      <c r="H27" s="16">
        <v>0.6</v>
      </c>
      <c r="I27" s="65">
        <v>0.2</v>
      </c>
      <c r="J27" s="15">
        <f>K27-I27</f>
        <v>0.60000000000000009</v>
      </c>
      <c r="K27" s="16">
        <v>0.8</v>
      </c>
      <c r="L27" s="65">
        <v>0.3</v>
      </c>
      <c r="M27" s="15">
        <f>N27-L27</f>
        <v>0.60000000000000009</v>
      </c>
      <c r="N27" s="16">
        <v>0.9</v>
      </c>
      <c r="O27" s="65">
        <v>0.2</v>
      </c>
      <c r="P27" s="15">
        <f>Q27-O27</f>
        <v>0.39999999999999997</v>
      </c>
      <c r="Q27" s="16">
        <v>0.6</v>
      </c>
      <c r="R27" s="65">
        <v>0.1</v>
      </c>
      <c r="S27" s="15">
        <f>T27-R27</f>
        <v>0.4</v>
      </c>
      <c r="T27" s="16">
        <v>0.5</v>
      </c>
      <c r="U27" s="65">
        <v>0.1</v>
      </c>
      <c r="V27" s="15">
        <f>U27</f>
        <v>0.1</v>
      </c>
      <c r="W27" s="16">
        <f>U27+V27</f>
        <v>0.2</v>
      </c>
      <c r="X27" s="65"/>
      <c r="Y27" s="15">
        <f t="shared" ref="Y27" si="101">X27</f>
        <v>0</v>
      </c>
      <c r="Z27" s="16">
        <f t="shared" ref="Z27" si="102">X27+Y27</f>
        <v>0</v>
      </c>
      <c r="AA27" s="65"/>
      <c r="AB27" s="15">
        <f t="shared" ref="AB27" si="103">AA27</f>
        <v>0</v>
      </c>
      <c r="AC27" s="16">
        <f t="shared" ref="AC27" si="104">AA27+AB27</f>
        <v>0</v>
      </c>
      <c r="AD27" s="65"/>
      <c r="AE27" s="15">
        <f t="shared" ref="AE27" si="105">AD27</f>
        <v>0</v>
      </c>
      <c r="AF27" s="16">
        <f t="shared" ref="AF27" si="106">AD27+AE27</f>
        <v>0</v>
      </c>
      <c r="AG27" s="65"/>
      <c r="AH27" s="15">
        <f t="shared" ref="AH27" si="107">AG27</f>
        <v>0</v>
      </c>
      <c r="AI27" s="67">
        <f t="shared" ref="AI27" si="108">AG27+AH27</f>
        <v>0</v>
      </c>
    </row>
    <row r="28" spans="2:39" x14ac:dyDescent="0.3">
      <c r="B28" s="73" t="s">
        <v>17</v>
      </c>
      <c r="C28" s="3">
        <f t="shared" ref="C28:M28" si="109">C23-C25+C27</f>
        <v>84.299999999999955</v>
      </c>
      <c r="D28" s="4">
        <f t="shared" si="109"/>
        <v>22.500000000000018</v>
      </c>
      <c r="E28" s="5">
        <f t="shared" si="109"/>
        <v>106.79999999999997</v>
      </c>
      <c r="F28" s="3">
        <f t="shared" si="109"/>
        <v>64.900000000000034</v>
      </c>
      <c r="G28" s="4">
        <f t="shared" si="109"/>
        <v>79.300000000000011</v>
      </c>
      <c r="H28" s="5">
        <f t="shared" si="109"/>
        <v>144.20000000000002</v>
      </c>
      <c r="I28" s="3">
        <f t="shared" si="109"/>
        <v>133.99999999999997</v>
      </c>
      <c r="J28" s="4">
        <f t="shared" si="109"/>
        <v>78.300000000000097</v>
      </c>
      <c r="K28" s="5">
        <f t="shared" si="109"/>
        <v>212.3000000000001</v>
      </c>
      <c r="L28" s="3">
        <f t="shared" si="109"/>
        <v>223.50000000000009</v>
      </c>
      <c r="M28" s="4">
        <f t="shared" si="109"/>
        <v>69.999999999999957</v>
      </c>
      <c r="N28" s="5">
        <f>N23-N25+N27</f>
        <v>293.49999999999989</v>
      </c>
      <c r="O28" s="3">
        <f t="shared" ref="O28:P28" si="110">O23-O25+O27</f>
        <v>112.80000000000004</v>
      </c>
      <c r="P28" s="4">
        <f t="shared" si="110"/>
        <v>71.500000000000071</v>
      </c>
      <c r="Q28" s="5">
        <f>Q23-Q25+Q27</f>
        <v>184.30000000000007</v>
      </c>
      <c r="R28" s="3">
        <f t="shared" ref="R28:S28" si="111">R23-R25+R27</f>
        <v>91.700000000000031</v>
      </c>
      <c r="S28" s="4">
        <f t="shared" si="111"/>
        <v>28.99999999999995</v>
      </c>
      <c r="T28" s="5">
        <f>T23-T25+T27</f>
        <v>120.69999999999995</v>
      </c>
      <c r="U28" s="3">
        <f>U23-U25+U27+0.1</f>
        <v>63.100000000000051</v>
      </c>
      <c r="V28" s="63">
        <f t="shared" ref="V28" si="112">V23-V25+V27</f>
        <v>77.23463999999997</v>
      </c>
      <c r="W28" s="64">
        <f>W23-W25+W27</f>
        <v>133.33463999999998</v>
      </c>
      <c r="X28" s="25">
        <f t="shared" ref="X28:AI28" si="113">X23-X25+X27</f>
        <v>81.876559999999998</v>
      </c>
      <c r="Y28" s="63">
        <f t="shared" si="113"/>
        <v>81.520501600000003</v>
      </c>
      <c r="Z28" s="64">
        <f t="shared" si="113"/>
        <v>163.39706160000009</v>
      </c>
      <c r="AA28" s="25">
        <f t="shared" si="113"/>
        <v>86.36605120000003</v>
      </c>
      <c r="AB28" s="63">
        <f t="shared" si="113"/>
        <v>86.067341024000044</v>
      </c>
      <c r="AC28" s="64">
        <f t="shared" si="113"/>
        <v>172.43339222399987</v>
      </c>
      <c r="AD28" s="25">
        <f t="shared" si="113"/>
        <v>91.012765759999994</v>
      </c>
      <c r="AE28" s="63">
        <f t="shared" si="113"/>
        <v>90.782815720959988</v>
      </c>
      <c r="AF28" s="64">
        <f t="shared" si="113"/>
        <v>181.7955814809601</v>
      </c>
      <c r="AG28" s="25">
        <f t="shared" si="113"/>
        <v>97.344128942080033</v>
      </c>
      <c r="AH28" s="63">
        <f t="shared" si="113"/>
        <v>97.828944503321665</v>
      </c>
      <c r="AI28" s="26">
        <f t="shared" si="113"/>
        <v>195.17307344540177</v>
      </c>
    </row>
    <row r="29" spans="2:39" s="7" customFormat="1" ht="13.8" x14ac:dyDescent="0.3">
      <c r="B29" s="74" t="s">
        <v>24</v>
      </c>
      <c r="C29" s="7">
        <f t="shared" ref="C29:R29" si="114">C28/C4</f>
        <v>0.16090857033785066</v>
      </c>
      <c r="D29" s="8">
        <f t="shared" si="114"/>
        <v>4.4919145538031578E-2</v>
      </c>
      <c r="E29" s="9">
        <f t="shared" si="114"/>
        <v>0.10421545667447304</v>
      </c>
      <c r="F29" s="7">
        <f t="shared" si="114"/>
        <v>0.15064995357474473</v>
      </c>
      <c r="G29" s="8">
        <f t="shared" si="114"/>
        <v>0.13686572316189161</v>
      </c>
      <c r="H29" s="9">
        <f t="shared" si="114"/>
        <v>0.14274401108691348</v>
      </c>
      <c r="I29" s="7">
        <f t="shared" si="114"/>
        <v>0.20765535409886871</v>
      </c>
      <c r="J29" s="8">
        <f t="shared" si="114"/>
        <v>0.11728579988016788</v>
      </c>
      <c r="K29" s="9">
        <f t="shared" si="114"/>
        <v>0.16170310000761678</v>
      </c>
      <c r="L29" s="7">
        <f t="shared" si="114"/>
        <v>0.25775573751585756</v>
      </c>
      <c r="M29" s="8">
        <f t="shared" si="114"/>
        <v>0.10272967420017605</v>
      </c>
      <c r="N29" s="9">
        <f t="shared" si="114"/>
        <v>0.18953826283500155</v>
      </c>
      <c r="O29" s="7">
        <f t="shared" si="114"/>
        <v>0.17716349929323078</v>
      </c>
      <c r="P29" s="8">
        <f t="shared" si="114"/>
        <v>0.12825112107623332</v>
      </c>
      <c r="Q29" s="9">
        <f t="shared" si="114"/>
        <v>0.15432925808072354</v>
      </c>
      <c r="R29" s="7">
        <f t="shared" si="114"/>
        <v>0.17181937418025112</v>
      </c>
      <c r="S29" s="8">
        <f t="shared" ref="S29:U29" si="115">S28/S4</f>
        <v>6.4315812818806717E-2</v>
      </c>
      <c r="T29" s="9">
        <f t="shared" si="115"/>
        <v>0.12258785293520205</v>
      </c>
      <c r="U29" s="7">
        <f t="shared" si="115"/>
        <v>0.12888071895424849</v>
      </c>
      <c r="V29" s="8">
        <f>V28/V4</f>
        <v>0.15884710624820034</v>
      </c>
      <c r="W29" s="9">
        <f>W28/W4</f>
        <v>0.13663856039023586</v>
      </c>
      <c r="X29" s="7">
        <f t="shared" ref="X29:AI29" si="116">X28/X4</f>
        <v>0.16071496431459686</v>
      </c>
      <c r="Y29" s="8">
        <f t="shared" si="116"/>
        <v>0.16100354837629155</v>
      </c>
      <c r="Z29" s="9">
        <f t="shared" si="116"/>
        <v>0.16085881248857042</v>
      </c>
      <c r="AA29" s="7">
        <f t="shared" si="116"/>
        <v>0.16291807402225073</v>
      </c>
      <c r="AB29" s="8">
        <f t="shared" si="116"/>
        <v>0.1632212138657311</v>
      </c>
      <c r="AC29" s="9">
        <f t="shared" si="116"/>
        <v>0.16306924049555183</v>
      </c>
      <c r="AD29" s="7">
        <f t="shared" si="116"/>
        <v>0.16498672663113528</v>
      </c>
      <c r="AE29" s="8">
        <f t="shared" si="116"/>
        <v>0.16530193061035661</v>
      </c>
      <c r="AF29" s="9">
        <f t="shared" si="116"/>
        <v>0.16514397886906049</v>
      </c>
      <c r="AG29" s="7">
        <f t="shared" si="116"/>
        <v>0.1671831287840167</v>
      </c>
      <c r="AH29" s="8">
        <f t="shared" si="116"/>
        <v>0.16760683803934959</v>
      </c>
      <c r="AI29" s="58">
        <f t="shared" si="116"/>
        <v>0.1673952415428889</v>
      </c>
    </row>
    <row r="30" spans="2:39" x14ac:dyDescent="0.3">
      <c r="B30" s="72" t="s">
        <v>19</v>
      </c>
      <c r="C30" s="65">
        <v>0</v>
      </c>
      <c r="D30" s="15">
        <f>E30-C30</f>
        <v>0.1</v>
      </c>
      <c r="E30" s="16">
        <v>0.1</v>
      </c>
      <c r="F30" s="65">
        <v>0.1</v>
      </c>
      <c r="G30" s="15">
        <f>H30-F30</f>
        <v>-0.1</v>
      </c>
      <c r="H30" s="16">
        <v>0</v>
      </c>
      <c r="I30" s="65">
        <v>0</v>
      </c>
      <c r="J30" s="15">
        <f>K30-I30</f>
        <v>0.2</v>
      </c>
      <c r="K30" s="16">
        <v>0.2</v>
      </c>
      <c r="L30" s="65">
        <v>0.1</v>
      </c>
      <c r="M30" s="15">
        <f>N30-L30</f>
        <v>0.19999999999999998</v>
      </c>
      <c r="N30" s="16">
        <v>0.3</v>
      </c>
      <c r="O30" s="65">
        <v>0.2</v>
      </c>
      <c r="P30" s="15">
        <f>Q30-O30</f>
        <v>0.2</v>
      </c>
      <c r="Q30" s="16">
        <v>0.4</v>
      </c>
      <c r="R30" s="65">
        <v>0.2</v>
      </c>
      <c r="S30" s="15">
        <f>T30-R30</f>
        <v>0.3</v>
      </c>
      <c r="T30" s="16">
        <v>0.5</v>
      </c>
      <c r="U30" s="65"/>
      <c r="V30" s="15"/>
      <c r="W30" s="16">
        <f>U30+V30</f>
        <v>0</v>
      </c>
      <c r="X30" s="65"/>
      <c r="Y30" s="15"/>
      <c r="Z30" s="16">
        <f t="shared" ref="Z30" si="117">X30+Y30</f>
        <v>0</v>
      </c>
      <c r="AA30" s="65"/>
      <c r="AB30" s="15"/>
      <c r="AC30" s="16">
        <f t="shared" ref="AC30" si="118">AA30+AB30</f>
        <v>0</v>
      </c>
      <c r="AD30" s="65"/>
      <c r="AE30" s="15"/>
      <c r="AF30" s="16">
        <f t="shared" ref="AF30" si="119">AD30+AE30</f>
        <v>0</v>
      </c>
      <c r="AG30" s="65"/>
      <c r="AH30" s="15"/>
      <c r="AI30" s="67">
        <f t="shared" ref="AI30" si="120">AG30+AH30</f>
        <v>0</v>
      </c>
    </row>
    <row r="31" spans="2:39" x14ac:dyDescent="0.3">
      <c r="B31" s="73" t="s">
        <v>27</v>
      </c>
      <c r="C31" s="25">
        <f t="shared" ref="C31:W31" si="121">C28+C30</f>
        <v>84.299999999999955</v>
      </c>
      <c r="D31" s="63">
        <f t="shared" si="121"/>
        <v>22.600000000000019</v>
      </c>
      <c r="E31" s="64">
        <f t="shared" si="121"/>
        <v>106.89999999999996</v>
      </c>
      <c r="F31" s="25">
        <f t="shared" si="121"/>
        <v>65.000000000000028</v>
      </c>
      <c r="G31" s="63">
        <f t="shared" si="121"/>
        <v>79.200000000000017</v>
      </c>
      <c r="H31" s="64">
        <f t="shared" si="121"/>
        <v>144.20000000000002</v>
      </c>
      <c r="I31" s="25">
        <f t="shared" si="121"/>
        <v>133.99999999999997</v>
      </c>
      <c r="J31" s="63">
        <f t="shared" si="121"/>
        <v>78.500000000000099</v>
      </c>
      <c r="K31" s="64">
        <f t="shared" si="121"/>
        <v>212.50000000000009</v>
      </c>
      <c r="L31" s="25">
        <f t="shared" si="121"/>
        <v>223.60000000000008</v>
      </c>
      <c r="M31" s="63">
        <f t="shared" si="121"/>
        <v>70.19999999999996</v>
      </c>
      <c r="N31" s="64">
        <f t="shared" si="121"/>
        <v>293.7999999999999</v>
      </c>
      <c r="O31" s="25">
        <f t="shared" si="121"/>
        <v>113.00000000000004</v>
      </c>
      <c r="P31" s="63">
        <f t="shared" ref="P31:R31" si="122">P28+P30</f>
        <v>71.700000000000074</v>
      </c>
      <c r="Q31" s="64">
        <f t="shared" si="122"/>
        <v>184.70000000000007</v>
      </c>
      <c r="R31" s="25">
        <f t="shared" si="122"/>
        <v>91.900000000000034</v>
      </c>
      <c r="S31" s="63">
        <f t="shared" ref="S31:U31" si="123">S28+S30</f>
        <v>29.299999999999951</v>
      </c>
      <c r="T31" s="64">
        <f t="shared" si="123"/>
        <v>121.19999999999995</v>
      </c>
      <c r="U31" s="25">
        <f t="shared" si="123"/>
        <v>63.100000000000051</v>
      </c>
      <c r="V31" s="63">
        <f t="shared" si="121"/>
        <v>77.23463999999997</v>
      </c>
      <c r="W31" s="64">
        <f t="shared" si="121"/>
        <v>133.33463999999998</v>
      </c>
      <c r="X31" s="25">
        <f t="shared" ref="X31:AI31" si="124">X28+X30</f>
        <v>81.876559999999998</v>
      </c>
      <c r="Y31" s="63">
        <f t="shared" si="124"/>
        <v>81.520501600000003</v>
      </c>
      <c r="Z31" s="64">
        <f t="shared" si="124"/>
        <v>163.39706160000009</v>
      </c>
      <c r="AA31" s="25">
        <f t="shared" si="124"/>
        <v>86.36605120000003</v>
      </c>
      <c r="AB31" s="63">
        <f t="shared" si="124"/>
        <v>86.067341024000044</v>
      </c>
      <c r="AC31" s="64">
        <f t="shared" si="124"/>
        <v>172.43339222399987</v>
      </c>
      <c r="AD31" s="25">
        <f t="shared" si="124"/>
        <v>91.012765759999994</v>
      </c>
      <c r="AE31" s="63">
        <f t="shared" si="124"/>
        <v>90.782815720959988</v>
      </c>
      <c r="AF31" s="64">
        <f t="shared" si="124"/>
        <v>181.7955814809601</v>
      </c>
      <c r="AG31" s="25">
        <f t="shared" si="124"/>
        <v>97.344128942080033</v>
      </c>
      <c r="AH31" s="63">
        <f t="shared" si="124"/>
        <v>97.828944503321665</v>
      </c>
      <c r="AI31" s="26">
        <f t="shared" si="124"/>
        <v>195.17307344540177</v>
      </c>
    </row>
    <row r="32" spans="2:39" s="17" customFormat="1" x14ac:dyDescent="0.3">
      <c r="B32" s="75" t="s">
        <v>26</v>
      </c>
      <c r="C32" s="69">
        <v>6.3</v>
      </c>
      <c r="D32" s="15">
        <f>E32-C32</f>
        <v>0.10000000000000053</v>
      </c>
      <c r="E32" s="70">
        <v>6.4</v>
      </c>
      <c r="F32" s="69">
        <v>0</v>
      </c>
      <c r="G32" s="15">
        <f>H32-F32</f>
        <v>0</v>
      </c>
      <c r="H32" s="70">
        <v>0</v>
      </c>
      <c r="I32" s="69">
        <v>0</v>
      </c>
      <c r="J32" s="15">
        <f>K32-I32</f>
        <v>0</v>
      </c>
      <c r="K32" s="70">
        <v>0</v>
      </c>
      <c r="L32" s="69">
        <v>0</v>
      </c>
      <c r="M32" s="15">
        <f>N32-L32</f>
        <v>0</v>
      </c>
      <c r="N32" s="70">
        <v>0</v>
      </c>
      <c r="O32" s="69">
        <v>0</v>
      </c>
      <c r="P32" s="15">
        <f>Q32-O32</f>
        <v>0</v>
      </c>
      <c r="Q32" s="70">
        <v>0</v>
      </c>
      <c r="R32" s="69">
        <v>0</v>
      </c>
      <c r="S32" s="15">
        <f>T32-R32</f>
        <v>0</v>
      </c>
      <c r="T32" s="70">
        <v>0</v>
      </c>
      <c r="U32" s="69">
        <v>-0.1</v>
      </c>
      <c r="V32" s="15"/>
      <c r="W32" s="16">
        <f>U32+V32</f>
        <v>-0.1</v>
      </c>
      <c r="X32" s="65"/>
      <c r="Y32" s="15"/>
      <c r="Z32" s="16">
        <f t="shared" ref="Z32" si="125">X32+Y32</f>
        <v>0</v>
      </c>
      <c r="AA32" s="65"/>
      <c r="AB32" s="15"/>
      <c r="AC32" s="16">
        <f t="shared" ref="AC32" si="126">AA32+AB32</f>
        <v>0</v>
      </c>
      <c r="AD32" s="65"/>
      <c r="AE32" s="15"/>
      <c r="AF32" s="16">
        <f t="shared" ref="AF32" si="127">AD32+AE32</f>
        <v>0</v>
      </c>
      <c r="AG32" s="65"/>
      <c r="AH32" s="15"/>
      <c r="AI32" s="67">
        <f t="shared" ref="AI32" si="128">AG32+AH32</f>
        <v>0</v>
      </c>
    </row>
    <row r="33" spans="2:35" x14ac:dyDescent="0.3">
      <c r="B33" s="73" t="s">
        <v>40</v>
      </c>
      <c r="C33" s="25">
        <f t="shared" ref="C33" si="129">C28+C32</f>
        <v>90.599999999999952</v>
      </c>
      <c r="D33" s="63">
        <f t="shared" ref="D33:N33" si="130">D28+D32</f>
        <v>22.600000000000019</v>
      </c>
      <c r="E33" s="64">
        <f>E28+E32</f>
        <v>113.19999999999997</v>
      </c>
      <c r="F33" s="25">
        <f t="shared" si="130"/>
        <v>64.900000000000034</v>
      </c>
      <c r="G33" s="63">
        <f t="shared" si="130"/>
        <v>79.300000000000011</v>
      </c>
      <c r="H33" s="64">
        <f t="shared" si="130"/>
        <v>144.20000000000002</v>
      </c>
      <c r="I33" s="25">
        <f t="shared" si="130"/>
        <v>133.99999999999997</v>
      </c>
      <c r="J33" s="63">
        <f t="shared" si="130"/>
        <v>78.300000000000097</v>
      </c>
      <c r="K33" s="64">
        <f t="shared" si="130"/>
        <v>212.3000000000001</v>
      </c>
      <c r="L33" s="25">
        <f t="shared" si="130"/>
        <v>223.50000000000009</v>
      </c>
      <c r="M33" s="63">
        <f t="shared" si="130"/>
        <v>69.999999999999957</v>
      </c>
      <c r="N33" s="64">
        <f t="shared" si="130"/>
        <v>293.49999999999989</v>
      </c>
      <c r="O33" s="25">
        <f t="shared" ref="O33:Q33" si="131">O28+O32</f>
        <v>112.80000000000004</v>
      </c>
      <c r="P33" s="63">
        <f t="shared" si="131"/>
        <v>71.500000000000071</v>
      </c>
      <c r="Q33" s="64">
        <f t="shared" si="131"/>
        <v>184.30000000000007</v>
      </c>
      <c r="R33" s="25">
        <f t="shared" ref="R33:U33" si="132">R28+R32</f>
        <v>91.700000000000031</v>
      </c>
      <c r="S33" s="63">
        <f t="shared" si="132"/>
        <v>28.99999999999995</v>
      </c>
      <c r="T33" s="64">
        <f t="shared" si="132"/>
        <v>120.69999999999995</v>
      </c>
      <c r="U33" s="25">
        <f t="shared" si="132"/>
        <v>63.00000000000005</v>
      </c>
      <c r="V33" s="63">
        <f t="shared" ref="V33" si="133">V28+V32</f>
        <v>77.23463999999997</v>
      </c>
      <c r="W33" s="64">
        <f t="shared" ref="W33:AH33" si="134">W28+W32</f>
        <v>133.23463999999998</v>
      </c>
      <c r="X33" s="25">
        <f t="shared" si="134"/>
        <v>81.876559999999998</v>
      </c>
      <c r="Y33" s="63">
        <f t="shared" si="134"/>
        <v>81.520501600000003</v>
      </c>
      <c r="Z33" s="64">
        <f t="shared" ref="Z33" si="135">Z28+Z32</f>
        <v>163.39706160000009</v>
      </c>
      <c r="AA33" s="25">
        <f t="shared" si="134"/>
        <v>86.36605120000003</v>
      </c>
      <c r="AB33" s="63">
        <f t="shared" si="134"/>
        <v>86.067341024000044</v>
      </c>
      <c r="AC33" s="64">
        <f t="shared" ref="AC33" si="136">AC28+AC32</f>
        <v>172.43339222399987</v>
      </c>
      <c r="AD33" s="25">
        <f t="shared" si="134"/>
        <v>91.012765759999994</v>
      </c>
      <c r="AE33" s="63">
        <f t="shared" si="134"/>
        <v>90.782815720959988</v>
      </c>
      <c r="AF33" s="64">
        <f t="shared" ref="AF33" si="137">AF28+AF32</f>
        <v>181.7955814809601</v>
      </c>
      <c r="AG33" s="25">
        <f t="shared" si="134"/>
        <v>97.344128942080033</v>
      </c>
      <c r="AH33" s="63">
        <f t="shared" si="134"/>
        <v>97.828944503321665</v>
      </c>
      <c r="AI33" s="26">
        <f t="shared" ref="AI33" si="138">AI28+AI32</f>
        <v>195.17307344540177</v>
      </c>
    </row>
    <row r="34" spans="2:35" x14ac:dyDescent="0.3">
      <c r="B34" s="72"/>
      <c r="D34" s="1"/>
      <c r="E34" s="2"/>
      <c r="G34" s="1"/>
      <c r="H34" s="2"/>
      <c r="J34" s="1"/>
      <c r="K34" s="2"/>
      <c r="M34" s="1"/>
      <c r="N34" s="2"/>
      <c r="P34" s="1"/>
      <c r="Q34" s="2"/>
      <c r="S34" s="1"/>
      <c r="T34" s="2"/>
      <c r="V34" s="1"/>
      <c r="W34" s="2"/>
      <c r="Y34" s="1"/>
      <c r="Z34" s="2"/>
      <c r="AB34" s="1"/>
      <c r="AC34" s="2"/>
      <c r="AE34" s="1"/>
      <c r="AF34" s="2"/>
      <c r="AH34" s="1"/>
      <c r="AI34" s="23"/>
    </row>
    <row r="35" spans="2:35" x14ac:dyDescent="0.3">
      <c r="B35" s="73" t="s">
        <v>28</v>
      </c>
      <c r="C35" s="3"/>
      <c r="D35" s="4"/>
      <c r="E35" s="5"/>
      <c r="F35" s="3"/>
      <c r="G35" s="4"/>
      <c r="H35" s="5"/>
      <c r="I35" s="3"/>
      <c r="J35" s="4"/>
      <c r="K35" s="5"/>
      <c r="L35" s="3"/>
      <c r="M35" s="4"/>
      <c r="N35" s="5"/>
      <c r="O35" s="3"/>
      <c r="P35" s="4"/>
      <c r="Q35" s="5"/>
      <c r="R35" s="3"/>
      <c r="S35" s="4"/>
      <c r="T35" s="5"/>
      <c r="U35" s="3"/>
      <c r="V35" s="4"/>
      <c r="W35" s="5"/>
      <c r="X35" s="3"/>
      <c r="Y35" s="4"/>
      <c r="Z35" s="5"/>
      <c r="AA35" s="3"/>
      <c r="AB35" s="4"/>
      <c r="AC35" s="5"/>
      <c r="AD35" s="3"/>
      <c r="AE35" s="4"/>
      <c r="AF35" s="5"/>
      <c r="AG35" s="3"/>
      <c r="AH35" s="4"/>
      <c r="AI35" s="24"/>
    </row>
    <row r="36" spans="2:35" x14ac:dyDescent="0.3">
      <c r="B36" s="72" t="s">
        <v>21</v>
      </c>
      <c r="C36" s="51">
        <f>C33/C44*1000</f>
        <v>1.8191564888609182</v>
      </c>
      <c r="D36" s="13">
        <f t="shared" ref="D36" si="139">D33/D44*1000</f>
        <v>0.4537541044668843</v>
      </c>
      <c r="E36" s="14">
        <f t="shared" ref="E36:O36" si="140">E33/E44*1000</f>
        <v>2.2727860453827984</v>
      </c>
      <c r="F36" s="51">
        <f t="shared" si="140"/>
        <v>1.3007354987833621</v>
      </c>
      <c r="G36" s="13">
        <f t="shared" ref="G36" si="141">G33/G44*1000</f>
        <v>1.5837669835791723</v>
      </c>
      <c r="H36" s="14">
        <f t="shared" si="140"/>
        <v>2.8799394581603615</v>
      </c>
      <c r="I36" s="51">
        <f t="shared" si="140"/>
        <v>2.6693889653117679</v>
      </c>
      <c r="J36" s="13">
        <f t="shared" ref="J36" si="142">J33/J44*1000</f>
        <v>1.5523698819623954</v>
      </c>
      <c r="K36" s="14">
        <f t="shared" si="140"/>
        <v>4.2090437540308603</v>
      </c>
      <c r="L36" s="51">
        <f t="shared" si="140"/>
        <v>4.3912748924132758</v>
      </c>
      <c r="M36" s="13">
        <f t="shared" si="140"/>
        <v>1.3801170402341174</v>
      </c>
      <c r="N36" s="14">
        <f t="shared" si="140"/>
        <v>5.7866335901244792</v>
      </c>
      <c r="O36" s="51">
        <f t="shared" si="140"/>
        <v>2.2332779600510535</v>
      </c>
      <c r="P36" s="13">
        <f t="shared" ref="P36:R36" si="143">P33/P44*1000</f>
        <v>1.4097070415832833</v>
      </c>
      <c r="Q36" s="14">
        <f t="shared" si="143"/>
        <v>3.6336924162769084</v>
      </c>
      <c r="R36" s="51">
        <f t="shared" si="143"/>
        <v>1.7991735416874401</v>
      </c>
      <c r="S36" s="13">
        <f t="shared" ref="S36:U36" si="144">S33/S44*1000</f>
        <v>0.56403462760284617</v>
      </c>
      <c r="T36" s="14">
        <f t="shared" si="144"/>
        <v>2.3475510190228834</v>
      </c>
      <c r="U36" s="51">
        <f t="shared" si="144"/>
        <v>1.2138170996888533</v>
      </c>
      <c r="V36" s="13">
        <f t="shared" ref="V36:W36" si="145">V33/V44*1000</f>
        <v>1.5021728072565499</v>
      </c>
      <c r="W36" s="14">
        <f t="shared" si="145"/>
        <v>2.5913431226275656</v>
      </c>
      <c r="X36" s="51">
        <f t="shared" ref="X36:AI36" si="146">X33/X44*1000</f>
        <v>1.5775106125666716</v>
      </c>
      <c r="Y36" s="13">
        <f t="shared" si="146"/>
        <v>1.5855305435156313</v>
      </c>
      <c r="Z36" s="14">
        <f t="shared" si="146"/>
        <v>3.1779862341708802</v>
      </c>
      <c r="AA36" s="51">
        <f t="shared" si="146"/>
        <v>1.6640093615740152</v>
      </c>
      <c r="AB36" s="13">
        <f t="shared" si="146"/>
        <v>1.6739641601116937</v>
      </c>
      <c r="AC36" s="14">
        <f t="shared" si="146"/>
        <v>3.3537380748054986</v>
      </c>
      <c r="AD36" s="51">
        <f t="shared" si="146"/>
        <v>1.7535373233248266</v>
      </c>
      <c r="AE36" s="13">
        <f t="shared" si="146"/>
        <v>1.765677643376192</v>
      </c>
      <c r="AF36" s="14">
        <f t="shared" si="146"/>
        <v>3.5358276931191859</v>
      </c>
      <c r="AG36" s="51">
        <f t="shared" si="146"/>
        <v>1.8755233057811629</v>
      </c>
      <c r="AH36" s="13">
        <f t="shared" si="146"/>
        <v>1.9027211131624358</v>
      </c>
      <c r="AI36" s="60">
        <f t="shared" si="146"/>
        <v>3.7960128206510455</v>
      </c>
    </row>
    <row r="37" spans="2:35" x14ac:dyDescent="0.3">
      <c r="B37" s="72" t="s">
        <v>22</v>
      </c>
      <c r="C37" s="51">
        <f>C33/C45*1000</f>
        <v>1.7266071553840279</v>
      </c>
      <c r="D37" s="13">
        <f t="shared" ref="D37" si="147">D33/D45*1000</f>
        <v>0.43128959443625775</v>
      </c>
      <c r="E37" s="14">
        <f t="shared" ref="E37:O37" si="148">E33/E45*1000</f>
        <v>2.1602646942559436</v>
      </c>
      <c r="F37" s="51">
        <f t="shared" si="148"/>
        <v>1.2364702246348236</v>
      </c>
      <c r="G37" s="13">
        <f t="shared" ref="G37" si="149">G33/G45*1000</f>
        <v>1.5062830713898212</v>
      </c>
      <c r="H37" s="14">
        <f t="shared" si="148"/>
        <v>2.7390418523885525</v>
      </c>
      <c r="I37" s="51">
        <f t="shared" si="148"/>
        <v>2.5977944066345802</v>
      </c>
      <c r="J37" s="13">
        <f t="shared" ref="J37" si="150">J33/J45*1000</f>
        <v>1.513713314684181</v>
      </c>
      <c r="K37" s="14">
        <f t="shared" si="148"/>
        <v>4.1042316310019329</v>
      </c>
      <c r="L37" s="51">
        <f t="shared" si="148"/>
        <v>4.3132438644974478</v>
      </c>
      <c r="M37" s="13">
        <f t="shared" si="148"/>
        <v>1.3565605701290742</v>
      </c>
      <c r="N37" s="14">
        <f t="shared" si="148"/>
        <v>5.6878646761840477</v>
      </c>
      <c r="O37" s="51">
        <f t="shared" si="148"/>
        <v>2.2133043411394242</v>
      </c>
      <c r="P37" s="13">
        <f t="shared" ref="P37:R37" si="151">P33/P45*1000</f>
        <v>1.3986908644750726</v>
      </c>
      <c r="Q37" s="14">
        <f t="shared" si="151"/>
        <v>3.6052968716469329</v>
      </c>
      <c r="R37" s="51">
        <f t="shared" si="151"/>
        <v>1.7833063429172862</v>
      </c>
      <c r="S37" s="13">
        <f t="shared" ref="S37:U37" si="152">S33/S45*1000</f>
        <v>0.55981159289890869</v>
      </c>
      <c r="T37" s="14">
        <f t="shared" si="152"/>
        <v>2.329974457341323</v>
      </c>
      <c r="U37" s="51">
        <f t="shared" si="152"/>
        <v>1.2044970182963108</v>
      </c>
      <c r="V37" s="13">
        <f t="shared" ref="V37:W37" si="153">V33/V45*1000</f>
        <v>1.4909257532887528</v>
      </c>
      <c r="W37" s="14">
        <f t="shared" si="153"/>
        <v>2.5719412430245785</v>
      </c>
      <c r="X37" s="51">
        <f t="shared" ref="X37:AI37" si="154">X33/X45*1000</f>
        <v>1.5653979744183952</v>
      </c>
      <c r="Y37" s="13">
        <f t="shared" si="154"/>
        <v>1.5736593742970384</v>
      </c>
      <c r="Z37" s="14">
        <f t="shared" si="154"/>
        <v>3.1541920458378385</v>
      </c>
      <c r="AA37" s="51">
        <f t="shared" si="154"/>
        <v>1.6512325579750233</v>
      </c>
      <c r="AB37" s="13">
        <f t="shared" si="154"/>
        <v>1.6614308715592807</v>
      </c>
      <c r="AC37" s="14">
        <f t="shared" si="154"/>
        <v>3.3286279989613736</v>
      </c>
      <c r="AD37" s="51">
        <f t="shared" si="154"/>
        <v>1.7400730949971503</v>
      </c>
      <c r="AE37" s="13">
        <f t="shared" si="154"/>
        <v>1.7524576785034065</v>
      </c>
      <c r="AF37" s="14">
        <f t="shared" si="154"/>
        <v>3.5093542776151652</v>
      </c>
      <c r="AG37" s="51">
        <f t="shared" si="154"/>
        <v>1.861122429514078</v>
      </c>
      <c r="AH37" s="13">
        <f t="shared" si="154"/>
        <v>1.8884750777249495</v>
      </c>
      <c r="AI37" s="60">
        <f t="shared" si="154"/>
        <v>3.7675913495326294</v>
      </c>
    </row>
    <row r="38" spans="2:35" x14ac:dyDescent="0.3">
      <c r="B38" s="72"/>
      <c r="C38" s="51"/>
      <c r="D38" s="13"/>
      <c r="E38" s="14"/>
      <c r="F38" s="51"/>
      <c r="G38" s="13"/>
      <c r="H38" s="14"/>
      <c r="I38" s="51"/>
      <c r="J38" s="13"/>
      <c r="K38" s="14"/>
      <c r="L38" s="51"/>
      <c r="M38" s="13"/>
      <c r="N38" s="14"/>
      <c r="O38" s="51"/>
      <c r="P38" s="13"/>
      <c r="Q38" s="14"/>
      <c r="R38" s="51"/>
      <c r="S38" s="13"/>
      <c r="T38" s="14"/>
      <c r="U38" s="51"/>
      <c r="V38" s="13"/>
      <c r="W38" s="14"/>
      <c r="X38" s="51"/>
      <c r="Y38" s="13"/>
      <c r="Z38" s="14"/>
      <c r="AA38" s="51"/>
      <c r="AB38" s="13"/>
      <c r="AC38" s="14"/>
      <c r="AD38" s="51"/>
      <c r="AE38" s="13"/>
      <c r="AF38" s="14"/>
      <c r="AG38" s="51"/>
      <c r="AH38" s="13"/>
      <c r="AI38" s="60"/>
    </row>
    <row r="39" spans="2:35" x14ac:dyDescent="0.3">
      <c r="B39" s="73" t="s">
        <v>20</v>
      </c>
      <c r="C39" s="3"/>
      <c r="D39" s="4"/>
      <c r="E39" s="5"/>
      <c r="F39" s="3"/>
      <c r="G39" s="4"/>
      <c r="H39" s="5"/>
      <c r="I39" s="3"/>
      <c r="J39" s="4"/>
      <c r="K39" s="5"/>
      <c r="L39" s="3"/>
      <c r="M39" s="4"/>
      <c r="N39" s="5"/>
      <c r="O39" s="3"/>
      <c r="P39" s="4"/>
      <c r="Q39" s="5"/>
      <c r="R39" s="3"/>
      <c r="S39" s="4"/>
      <c r="T39" s="5"/>
      <c r="U39" s="3"/>
      <c r="V39" s="4"/>
      <c r="W39" s="5"/>
      <c r="X39" s="3"/>
      <c r="Y39" s="4"/>
      <c r="Z39" s="5"/>
      <c r="AA39" s="3"/>
      <c r="AB39" s="4"/>
      <c r="AC39" s="5"/>
      <c r="AD39" s="3"/>
      <c r="AE39" s="4"/>
      <c r="AF39" s="5"/>
      <c r="AG39" s="3"/>
      <c r="AH39" s="4"/>
      <c r="AI39" s="24"/>
    </row>
    <row r="40" spans="2:35" x14ac:dyDescent="0.3">
      <c r="B40" s="72" t="s">
        <v>21</v>
      </c>
      <c r="C40" s="51">
        <f>C31/C44*1000</f>
        <v>1.6926588522182715</v>
      </c>
      <c r="D40" s="13">
        <f>D31/D44*1000</f>
        <v>0.4537541044668843</v>
      </c>
      <c r="E40" s="14">
        <f>E33/E44*1000</f>
        <v>2.2727860453827984</v>
      </c>
      <c r="F40" s="51">
        <f t="shared" ref="F40:W40" si="155">F31/F44*1000</f>
        <v>1.3027397137275583</v>
      </c>
      <c r="G40" s="13">
        <f t="shared" si="155"/>
        <v>1.5817697994889088</v>
      </c>
      <c r="H40" s="14">
        <f t="shared" si="155"/>
        <v>2.8799394581603615</v>
      </c>
      <c r="I40" s="51">
        <f t="shared" si="155"/>
        <v>2.6693889653117679</v>
      </c>
      <c r="J40" s="13">
        <f t="shared" si="155"/>
        <v>1.55633506684608</v>
      </c>
      <c r="K40" s="14">
        <f t="shared" si="155"/>
        <v>4.2130089389145438</v>
      </c>
      <c r="L40" s="51">
        <f t="shared" si="155"/>
        <v>4.3932396686514918</v>
      </c>
      <c r="M40" s="13">
        <f t="shared" si="155"/>
        <v>1.3840602317776434</v>
      </c>
      <c r="N40" s="14">
        <f t="shared" si="155"/>
        <v>5.7925483774397684</v>
      </c>
      <c r="O40" s="51">
        <f t="shared" si="155"/>
        <v>2.2372376727461796</v>
      </c>
      <c r="P40" s="13">
        <f t="shared" ref="P40:R40" si="156">P31/P44*1000</f>
        <v>1.4136502780632367</v>
      </c>
      <c r="Q40" s="14">
        <f t="shared" si="156"/>
        <v>3.6415788892368153</v>
      </c>
      <c r="R40" s="51">
        <f t="shared" si="156"/>
        <v>1.8030975843083508</v>
      </c>
      <c r="S40" s="13">
        <f t="shared" ref="S40:U40" si="157">S31/S44*1000</f>
        <v>0.5698694685780481</v>
      </c>
      <c r="T40" s="14">
        <f t="shared" si="157"/>
        <v>2.3572757539815532</v>
      </c>
      <c r="U40" s="51">
        <f t="shared" si="157"/>
        <v>1.2157437934978834</v>
      </c>
      <c r="V40" s="13">
        <f t="shared" si="155"/>
        <v>1.5021728072565499</v>
      </c>
      <c r="W40" s="14">
        <f t="shared" si="155"/>
        <v>2.593288069619299</v>
      </c>
      <c r="X40" s="51">
        <f t="shared" ref="X40:AI40" si="158">X31/X44*1000</f>
        <v>1.5775106125666716</v>
      </c>
      <c r="Y40" s="13">
        <f t="shared" si="158"/>
        <v>1.5855305435156313</v>
      </c>
      <c r="Z40" s="14">
        <f t="shared" si="158"/>
        <v>3.1779862341708802</v>
      </c>
      <c r="AA40" s="51">
        <f t="shared" si="158"/>
        <v>1.6640093615740152</v>
      </c>
      <c r="AB40" s="13">
        <f t="shared" si="158"/>
        <v>1.6739641601116937</v>
      </c>
      <c r="AC40" s="14">
        <f t="shared" si="158"/>
        <v>3.3537380748054986</v>
      </c>
      <c r="AD40" s="51">
        <f t="shared" si="158"/>
        <v>1.7535373233248266</v>
      </c>
      <c r="AE40" s="13">
        <f t="shared" si="158"/>
        <v>1.765677643376192</v>
      </c>
      <c r="AF40" s="14">
        <f t="shared" si="158"/>
        <v>3.5358276931191859</v>
      </c>
      <c r="AG40" s="51">
        <f t="shared" si="158"/>
        <v>1.8755233057811629</v>
      </c>
      <c r="AH40" s="13">
        <f t="shared" si="158"/>
        <v>1.9027211131624358</v>
      </c>
      <c r="AI40" s="60">
        <f t="shared" si="158"/>
        <v>3.7960128206510455</v>
      </c>
    </row>
    <row r="41" spans="2:35" x14ac:dyDescent="0.3">
      <c r="B41" s="72" t="s">
        <v>22</v>
      </c>
      <c r="C41" s="51">
        <f>C31/C45*1000</f>
        <v>1.606545068420238</v>
      </c>
      <c r="D41" s="13">
        <f>D31/D45*1000</f>
        <v>0.43128959443625775</v>
      </c>
      <c r="E41" s="14">
        <f>E33/E45*1000</f>
        <v>2.1602646942559436</v>
      </c>
      <c r="F41" s="51">
        <f t="shared" ref="F41:W41" si="159">F31/F45*1000</f>
        <v>1.2383754175849544</v>
      </c>
      <c r="G41" s="13">
        <f t="shared" si="159"/>
        <v>1.5043835971509942</v>
      </c>
      <c r="H41" s="14">
        <f t="shared" si="159"/>
        <v>2.7390418523885525</v>
      </c>
      <c r="I41" s="51">
        <f t="shared" si="159"/>
        <v>2.5977944066345802</v>
      </c>
      <c r="J41" s="13">
        <f t="shared" si="159"/>
        <v>1.5175797599324166</v>
      </c>
      <c r="K41" s="14">
        <f t="shared" si="159"/>
        <v>4.1080980762501689</v>
      </c>
      <c r="L41" s="51">
        <f t="shared" si="159"/>
        <v>4.3151737275240691</v>
      </c>
      <c r="M41" s="13">
        <f t="shared" si="159"/>
        <v>1.3604364574723</v>
      </c>
      <c r="N41" s="14">
        <f t="shared" si="159"/>
        <v>5.6936785071988867</v>
      </c>
      <c r="O41" s="51">
        <f t="shared" si="159"/>
        <v>2.2172286396166223</v>
      </c>
      <c r="P41" s="13">
        <f t="shared" ref="P41:R41" si="160">P31/P45*1000</f>
        <v>1.4026032864736042</v>
      </c>
      <c r="Q41" s="14">
        <f t="shared" si="160"/>
        <v>3.6131217156439965</v>
      </c>
      <c r="R41" s="51">
        <f t="shared" si="160"/>
        <v>1.7871957787797015</v>
      </c>
      <c r="S41" s="13">
        <f t="shared" ref="S41:U41" si="161">S31/S45*1000</f>
        <v>0.56560274730820781</v>
      </c>
      <c r="T41" s="14">
        <f t="shared" si="161"/>
        <v>2.3396263813568217</v>
      </c>
      <c r="U41" s="51">
        <f t="shared" si="161"/>
        <v>1.2064089183253526</v>
      </c>
      <c r="V41" s="13">
        <f t="shared" si="159"/>
        <v>1.4909257532887528</v>
      </c>
      <c r="W41" s="14">
        <f t="shared" si="159"/>
        <v>2.5738716278276779</v>
      </c>
      <c r="X41" s="51">
        <f t="shared" ref="X41:AI41" si="162">X31/X45*1000</f>
        <v>1.5653979744183952</v>
      </c>
      <c r="Y41" s="13">
        <f t="shared" si="162"/>
        <v>1.5736593742970384</v>
      </c>
      <c r="Z41" s="14">
        <f t="shared" si="162"/>
        <v>3.1541920458378385</v>
      </c>
      <c r="AA41" s="51">
        <f t="shared" si="162"/>
        <v>1.6512325579750233</v>
      </c>
      <c r="AB41" s="13">
        <f t="shared" si="162"/>
        <v>1.6614308715592807</v>
      </c>
      <c r="AC41" s="14">
        <f t="shared" si="162"/>
        <v>3.3286279989613736</v>
      </c>
      <c r="AD41" s="51">
        <f t="shared" si="162"/>
        <v>1.7400730949971503</v>
      </c>
      <c r="AE41" s="13">
        <f t="shared" si="162"/>
        <v>1.7524576785034065</v>
      </c>
      <c r="AF41" s="14">
        <f t="shared" si="162"/>
        <v>3.5093542776151652</v>
      </c>
      <c r="AG41" s="51">
        <f t="shared" si="162"/>
        <v>1.861122429514078</v>
      </c>
      <c r="AH41" s="13">
        <f t="shared" si="162"/>
        <v>1.8884750777249495</v>
      </c>
      <c r="AI41" s="60">
        <f t="shared" si="162"/>
        <v>3.7675913495326294</v>
      </c>
    </row>
    <row r="42" spans="2:35" x14ac:dyDescent="0.3">
      <c r="B42" s="72"/>
      <c r="D42" s="1"/>
      <c r="E42" s="2"/>
      <c r="G42" s="1"/>
      <c r="H42" s="2"/>
      <c r="J42" s="1"/>
      <c r="K42" s="2"/>
      <c r="M42" s="1"/>
      <c r="N42" s="2"/>
      <c r="P42" s="1"/>
      <c r="Q42" s="2"/>
      <c r="S42" s="1"/>
      <c r="T42" s="2"/>
      <c r="V42" s="1"/>
      <c r="W42" s="2"/>
      <c r="Y42" s="1"/>
      <c r="Z42" s="2"/>
      <c r="AB42" s="1"/>
      <c r="AC42" s="2"/>
      <c r="AE42" s="1"/>
      <c r="AF42" s="2"/>
      <c r="AH42" s="1"/>
      <c r="AI42" s="23"/>
    </row>
    <row r="43" spans="2:35" x14ac:dyDescent="0.3">
      <c r="B43" s="73" t="s">
        <v>23</v>
      </c>
      <c r="C43" s="3"/>
      <c r="D43" s="4"/>
      <c r="E43" s="5"/>
      <c r="F43" s="3"/>
      <c r="G43" s="4"/>
      <c r="H43" s="5"/>
      <c r="I43" s="3"/>
      <c r="J43" s="4"/>
      <c r="K43" s="5"/>
      <c r="L43" s="3"/>
      <c r="M43" s="4"/>
      <c r="N43" s="5"/>
      <c r="O43" s="25"/>
      <c r="P43" s="4"/>
      <c r="Q43" s="5"/>
      <c r="R43" s="25"/>
      <c r="S43" s="4"/>
      <c r="T43" s="5"/>
      <c r="U43" s="25"/>
      <c r="V43" s="4"/>
      <c r="W43" s="5"/>
      <c r="X43" s="3"/>
      <c r="Y43" s="4"/>
      <c r="Z43" s="5"/>
      <c r="AA43" s="3"/>
      <c r="AB43" s="4"/>
      <c r="AC43" s="5"/>
      <c r="AD43" s="3"/>
      <c r="AE43" s="4"/>
      <c r="AF43" s="5"/>
      <c r="AG43" s="3"/>
      <c r="AH43" s="4"/>
      <c r="AI43" s="24"/>
    </row>
    <row r="44" spans="2:35" x14ac:dyDescent="0.3">
      <c r="B44" s="72" t="s">
        <v>21</v>
      </c>
      <c r="C44" s="51">
        <v>49803.302000000003</v>
      </c>
      <c r="D44" s="13">
        <f>E44</f>
        <v>49806.712</v>
      </c>
      <c r="E44" s="14">
        <v>49806.712</v>
      </c>
      <c r="F44" s="51">
        <v>49894.847999999998</v>
      </c>
      <c r="G44" s="13">
        <f>H44</f>
        <v>50070.497000000003</v>
      </c>
      <c r="H44" s="14">
        <v>50070.497000000003</v>
      </c>
      <c r="I44" s="51">
        <v>50198.754000000001</v>
      </c>
      <c r="J44" s="13">
        <f>K44</f>
        <v>50439.01</v>
      </c>
      <c r="K44" s="14">
        <v>50439.01</v>
      </c>
      <c r="L44" s="51">
        <v>50896.381000000001</v>
      </c>
      <c r="M44" s="13">
        <f>N44</f>
        <v>50720.336000000003</v>
      </c>
      <c r="N44" s="14">
        <v>50720.336000000003</v>
      </c>
      <c r="O44" s="51">
        <v>50508.714999999997</v>
      </c>
      <c r="P44" s="13">
        <f>Q44</f>
        <v>50719.758000000002</v>
      </c>
      <c r="Q44" s="14">
        <v>50719.758000000002</v>
      </c>
      <c r="R44" s="51">
        <v>50967.845999999998</v>
      </c>
      <c r="S44" s="13">
        <f>T44</f>
        <v>51415.283000000003</v>
      </c>
      <c r="T44" s="14">
        <v>51415.283000000003</v>
      </c>
      <c r="U44" s="51">
        <v>51902.383000000002</v>
      </c>
      <c r="V44" s="13">
        <f t="shared" ref="V44:W45" si="163">S44</f>
        <v>51415.283000000003</v>
      </c>
      <c r="W44" s="14">
        <f t="shared" si="163"/>
        <v>51415.283000000003</v>
      </c>
      <c r="X44" s="51">
        <f t="shared" ref="X44:X45" si="164">U44</f>
        <v>51902.383000000002</v>
      </c>
      <c r="Y44" s="13">
        <f t="shared" ref="Y44:Y45" si="165">V44</f>
        <v>51415.283000000003</v>
      </c>
      <c r="Z44" s="14">
        <f t="shared" ref="Z44:Z45" si="166">W44</f>
        <v>51415.283000000003</v>
      </c>
      <c r="AA44" s="51">
        <f t="shared" ref="AA44:AA45" si="167">X44</f>
        <v>51902.383000000002</v>
      </c>
      <c r="AB44" s="13">
        <f t="shared" ref="AB44:AB45" si="168">Y44</f>
        <v>51415.283000000003</v>
      </c>
      <c r="AC44" s="14">
        <f t="shared" ref="AC44:AC45" si="169">Z44</f>
        <v>51415.283000000003</v>
      </c>
      <c r="AD44" s="51">
        <f t="shared" ref="AD44:AD45" si="170">AA44</f>
        <v>51902.383000000002</v>
      </c>
      <c r="AE44" s="13">
        <f t="shared" ref="AE44:AE45" si="171">AB44</f>
        <v>51415.283000000003</v>
      </c>
      <c r="AF44" s="14">
        <f t="shared" ref="AF44:AF45" si="172">AC44</f>
        <v>51415.283000000003</v>
      </c>
      <c r="AG44" s="51">
        <f t="shared" ref="AG44:AG45" si="173">AD44</f>
        <v>51902.383000000002</v>
      </c>
      <c r="AH44" s="13">
        <f t="shared" ref="AH44:AH45" si="174">AE44</f>
        <v>51415.283000000003</v>
      </c>
      <c r="AI44" s="60">
        <f t="shared" ref="AI44:AI45" si="175">AF44</f>
        <v>51415.283000000003</v>
      </c>
    </row>
    <row r="45" spans="2:35" ht="15" thickBot="1" x14ac:dyDescent="0.35">
      <c r="B45" s="76" t="s">
        <v>22</v>
      </c>
      <c r="C45" s="52">
        <v>52472.851000000002</v>
      </c>
      <c r="D45" s="53">
        <f>E45</f>
        <v>52400.985999999997</v>
      </c>
      <c r="E45" s="54">
        <v>52400.985999999997</v>
      </c>
      <c r="F45" s="52">
        <v>52488.122000000003</v>
      </c>
      <c r="G45" s="53">
        <f>H45</f>
        <v>52646.146999999997</v>
      </c>
      <c r="H45" s="54">
        <v>52646.146999999997</v>
      </c>
      <c r="I45" s="52">
        <v>51582.218999999997</v>
      </c>
      <c r="J45" s="53">
        <f>K45</f>
        <v>51727.1</v>
      </c>
      <c r="K45" s="54">
        <v>51727.1</v>
      </c>
      <c r="L45" s="52">
        <v>51817.148999999998</v>
      </c>
      <c r="M45" s="53">
        <f>N45</f>
        <v>51601.087</v>
      </c>
      <c r="N45" s="54">
        <v>51601.087</v>
      </c>
      <c r="O45" s="52">
        <v>50964.523000000001</v>
      </c>
      <c r="P45" s="53">
        <f>Q45</f>
        <v>51119.23</v>
      </c>
      <c r="Q45" s="54">
        <v>51119.23</v>
      </c>
      <c r="R45" s="52">
        <v>51421.339</v>
      </c>
      <c r="S45" s="53">
        <f>T45</f>
        <v>51803.142999999996</v>
      </c>
      <c r="T45" s="54">
        <v>51803.142999999996</v>
      </c>
      <c r="U45" s="52">
        <v>52303.99</v>
      </c>
      <c r="V45" s="53">
        <f t="shared" si="163"/>
        <v>51803.142999999996</v>
      </c>
      <c r="W45" s="54">
        <f t="shared" si="163"/>
        <v>51803.142999999996</v>
      </c>
      <c r="X45" s="52">
        <f t="shared" si="164"/>
        <v>52303.99</v>
      </c>
      <c r="Y45" s="53">
        <f t="shared" si="165"/>
        <v>51803.142999999996</v>
      </c>
      <c r="Z45" s="54">
        <f t="shared" si="166"/>
        <v>51803.142999999996</v>
      </c>
      <c r="AA45" s="52">
        <f t="shared" si="167"/>
        <v>52303.99</v>
      </c>
      <c r="AB45" s="53">
        <f t="shared" si="168"/>
        <v>51803.142999999996</v>
      </c>
      <c r="AC45" s="54">
        <f t="shared" si="169"/>
        <v>51803.142999999996</v>
      </c>
      <c r="AD45" s="52">
        <f t="shared" si="170"/>
        <v>52303.99</v>
      </c>
      <c r="AE45" s="53">
        <f t="shared" si="171"/>
        <v>51803.142999999996</v>
      </c>
      <c r="AF45" s="54">
        <f t="shared" si="172"/>
        <v>51803.142999999996</v>
      </c>
      <c r="AG45" s="52">
        <f t="shared" si="173"/>
        <v>52303.99</v>
      </c>
      <c r="AH45" s="53">
        <f t="shared" si="174"/>
        <v>51803.142999999996</v>
      </c>
      <c r="AI45" s="61">
        <f t="shared" si="175"/>
        <v>51803.142999999996</v>
      </c>
    </row>
    <row r="46" spans="2:35" ht="15" thickBot="1" x14ac:dyDescent="0.35"/>
    <row r="47" spans="2:35" x14ac:dyDescent="0.3">
      <c r="B47" s="81" t="s">
        <v>79</v>
      </c>
      <c r="C47" s="77" t="str">
        <f t="shared" ref="C47:R47" si="176">C3</f>
        <v>H1'20</v>
      </c>
      <c r="D47" s="78" t="str">
        <f t="shared" si="176"/>
        <v>H2'20</v>
      </c>
      <c r="E47" s="79" t="str">
        <f t="shared" si="176"/>
        <v>FY20</v>
      </c>
      <c r="F47" s="80" t="str">
        <f t="shared" si="176"/>
        <v>H1'21</v>
      </c>
      <c r="G47" s="78" t="str">
        <f t="shared" si="176"/>
        <v>H2'21</v>
      </c>
      <c r="H47" s="79" t="str">
        <f t="shared" si="176"/>
        <v>FY21</v>
      </c>
      <c r="I47" s="80" t="str">
        <f t="shared" si="176"/>
        <v>H1'22</v>
      </c>
      <c r="J47" s="78" t="str">
        <f t="shared" si="176"/>
        <v>H2'22</v>
      </c>
      <c r="K47" s="79" t="str">
        <f t="shared" si="176"/>
        <v>FY22</v>
      </c>
      <c r="L47" s="80" t="str">
        <f t="shared" si="176"/>
        <v>H1'23</v>
      </c>
      <c r="M47" s="78" t="str">
        <f t="shared" si="176"/>
        <v>H2'23</v>
      </c>
      <c r="N47" s="79" t="str">
        <f t="shared" si="176"/>
        <v>FY23</v>
      </c>
      <c r="O47" s="80" t="str">
        <f t="shared" si="176"/>
        <v>H1'24</v>
      </c>
      <c r="P47" s="78" t="str">
        <f t="shared" si="176"/>
        <v>H2'24</v>
      </c>
      <c r="Q47" s="79" t="str">
        <f t="shared" si="176"/>
        <v>FY24</v>
      </c>
      <c r="R47" s="80" t="str">
        <f t="shared" si="176"/>
        <v>H1'25</v>
      </c>
      <c r="S47" s="78" t="str">
        <f t="shared" ref="S47:U47" si="177">S3</f>
        <v>H2'25</v>
      </c>
      <c r="T47" s="79" t="str">
        <f t="shared" si="177"/>
        <v>FY25</v>
      </c>
      <c r="U47" s="80" t="str">
        <f t="shared" si="177"/>
        <v>H1'26</v>
      </c>
      <c r="V47" s="186" t="str">
        <f>V3</f>
        <v>H2'26</v>
      </c>
      <c r="W47" s="187" t="str">
        <f>W3</f>
        <v>FY26</v>
      </c>
      <c r="X47" s="185" t="str">
        <f t="shared" ref="X47:AI47" si="178">X3</f>
        <v>H1'27</v>
      </c>
      <c r="Y47" s="186" t="str">
        <f t="shared" si="178"/>
        <v>H2'27</v>
      </c>
      <c r="Z47" s="187" t="str">
        <f t="shared" si="178"/>
        <v>FY27</v>
      </c>
      <c r="AA47" s="185" t="str">
        <f t="shared" si="178"/>
        <v>H1'28</v>
      </c>
      <c r="AB47" s="186" t="str">
        <f t="shared" si="178"/>
        <v>H2'28</v>
      </c>
      <c r="AC47" s="187" t="str">
        <f t="shared" si="178"/>
        <v>FY28</v>
      </c>
      <c r="AD47" s="185" t="str">
        <f t="shared" si="178"/>
        <v>H1'29</v>
      </c>
      <c r="AE47" s="186" t="str">
        <f t="shared" si="178"/>
        <v>H2'29</v>
      </c>
      <c r="AF47" s="187" t="str">
        <f t="shared" si="178"/>
        <v>FY29</v>
      </c>
      <c r="AG47" s="185" t="str">
        <f t="shared" si="178"/>
        <v>H1'30</v>
      </c>
      <c r="AH47" s="186" t="str">
        <f t="shared" si="178"/>
        <v>H2'30</v>
      </c>
      <c r="AI47" s="188" t="str">
        <f t="shared" si="178"/>
        <v>FY30</v>
      </c>
    </row>
    <row r="48" spans="2:35" s="65" customFormat="1" x14ac:dyDescent="0.3">
      <c r="B48" s="271" t="s">
        <v>80</v>
      </c>
      <c r="C48" s="65">
        <v>515.9</v>
      </c>
      <c r="D48" s="15">
        <f>E48</f>
        <v>498.2</v>
      </c>
      <c r="E48" s="16">
        <v>498.2</v>
      </c>
      <c r="F48" s="65">
        <v>500.1</v>
      </c>
      <c r="G48" s="15">
        <f>H48</f>
        <v>508.1</v>
      </c>
      <c r="H48" s="16">
        <v>508.1</v>
      </c>
      <c r="I48" s="65">
        <v>507</v>
      </c>
      <c r="J48" s="15">
        <f>K48</f>
        <v>511.9</v>
      </c>
      <c r="K48" s="16">
        <v>511.9</v>
      </c>
      <c r="L48" s="272">
        <v>512.9</v>
      </c>
      <c r="M48" s="15">
        <f>N48</f>
        <v>506.4</v>
      </c>
      <c r="N48" s="16">
        <v>506.4</v>
      </c>
      <c r="O48" s="272">
        <v>505.7</v>
      </c>
      <c r="P48" s="15">
        <f>Q48</f>
        <v>504.8</v>
      </c>
      <c r="Q48" s="16">
        <v>504.8</v>
      </c>
      <c r="R48" s="272">
        <v>503.8</v>
      </c>
      <c r="S48" s="15">
        <f>T48</f>
        <v>503.5</v>
      </c>
      <c r="T48" s="16">
        <v>503.5</v>
      </c>
      <c r="U48" s="272">
        <v>499</v>
      </c>
      <c r="V48" s="15">
        <f>U48</f>
        <v>499</v>
      </c>
      <c r="W48" s="16">
        <f>V48</f>
        <v>499</v>
      </c>
      <c r="X48" s="65">
        <f t="shared" ref="X48:AI48" si="179">W48</f>
        <v>499</v>
      </c>
      <c r="Y48" s="15">
        <f t="shared" si="179"/>
        <v>499</v>
      </c>
      <c r="Z48" s="16">
        <f t="shared" si="179"/>
        <v>499</v>
      </c>
      <c r="AA48" s="65">
        <f t="shared" si="179"/>
        <v>499</v>
      </c>
      <c r="AB48" s="15">
        <f t="shared" si="179"/>
        <v>499</v>
      </c>
      <c r="AC48" s="16">
        <f t="shared" si="179"/>
        <v>499</v>
      </c>
      <c r="AD48" s="65">
        <f t="shared" si="179"/>
        <v>499</v>
      </c>
      <c r="AE48" s="15">
        <f t="shared" si="179"/>
        <v>499</v>
      </c>
      <c r="AF48" s="16">
        <f t="shared" si="179"/>
        <v>499</v>
      </c>
      <c r="AG48" s="65">
        <f t="shared" si="179"/>
        <v>499</v>
      </c>
      <c r="AH48" s="15">
        <f t="shared" si="179"/>
        <v>499</v>
      </c>
      <c r="AI48" s="243">
        <f t="shared" si="179"/>
        <v>499</v>
      </c>
    </row>
    <row r="49" spans="2:38" s="65" customFormat="1" x14ac:dyDescent="0.3">
      <c r="B49" s="264" t="s">
        <v>81</v>
      </c>
      <c r="D49" s="15">
        <f t="shared" ref="D49:D54" si="180">E49</f>
        <v>0</v>
      </c>
      <c r="E49" s="16"/>
      <c r="G49" s="15">
        <f t="shared" ref="G49:G54" si="181">H49</f>
        <v>0</v>
      </c>
      <c r="H49" s="16"/>
      <c r="J49" s="15">
        <f t="shared" ref="J49:J54" si="182">K49</f>
        <v>0</v>
      </c>
      <c r="K49" s="16"/>
      <c r="L49" s="66"/>
      <c r="M49" s="15">
        <f t="shared" ref="M49:M54" si="183">N49</f>
        <v>0</v>
      </c>
      <c r="N49" s="16"/>
      <c r="O49" s="66"/>
      <c r="P49" s="15">
        <f t="shared" ref="P49:P54" si="184">Q49</f>
        <v>0</v>
      </c>
      <c r="Q49" s="16"/>
      <c r="R49" s="66"/>
      <c r="S49" s="15">
        <f t="shared" ref="S49:S54" si="185">T49</f>
        <v>0</v>
      </c>
      <c r="T49" s="16">
        <v>0</v>
      </c>
      <c r="U49" s="66"/>
      <c r="V49" s="15"/>
      <c r="W49" s="16"/>
      <c r="Y49" s="15"/>
      <c r="Z49" s="16"/>
      <c r="AB49" s="15"/>
      <c r="AC49" s="16"/>
      <c r="AE49" s="15"/>
      <c r="AF49" s="16"/>
      <c r="AH49" s="15"/>
      <c r="AI49" s="243"/>
    </row>
    <row r="50" spans="2:38" s="65" customFormat="1" x14ac:dyDescent="0.3">
      <c r="B50" s="264" t="s">
        <v>113</v>
      </c>
      <c r="C50" s="65">
        <v>22.2</v>
      </c>
      <c r="D50" s="15">
        <f t="shared" si="180"/>
        <v>20.8</v>
      </c>
      <c r="E50" s="16">
        <v>20.8</v>
      </c>
      <c r="F50" s="65">
        <v>16.7</v>
      </c>
      <c r="G50" s="15">
        <f t="shared" si="181"/>
        <v>17.399999999999999</v>
      </c>
      <c r="H50" s="16">
        <v>17.399999999999999</v>
      </c>
      <c r="I50" s="65">
        <v>13.7</v>
      </c>
      <c r="J50" s="15">
        <f t="shared" si="182"/>
        <v>23.4</v>
      </c>
      <c r="K50" s="16">
        <v>23.4</v>
      </c>
      <c r="L50" s="66">
        <v>20</v>
      </c>
      <c r="M50" s="15">
        <f t="shared" si="183"/>
        <v>36.6</v>
      </c>
      <c r="N50" s="16">
        <v>36.6</v>
      </c>
      <c r="O50" s="66">
        <v>33.200000000000003</v>
      </c>
      <c r="P50" s="15">
        <f t="shared" si="184"/>
        <v>36.4</v>
      </c>
      <c r="Q50" s="16">
        <v>36.4</v>
      </c>
      <c r="R50" s="66">
        <v>31.6</v>
      </c>
      <c r="S50" s="15">
        <f t="shared" si="185"/>
        <v>32.299999999999997</v>
      </c>
      <c r="T50" s="16">
        <v>32.299999999999997</v>
      </c>
      <c r="U50" s="66">
        <v>26.6</v>
      </c>
      <c r="V50" s="15">
        <f>U50</f>
        <v>26.6</v>
      </c>
      <c r="W50" s="16">
        <f>V50</f>
        <v>26.6</v>
      </c>
      <c r="X50" s="65">
        <f t="shared" ref="X50:Y50" si="186">W50</f>
        <v>26.6</v>
      </c>
      <c r="Y50" s="15">
        <f t="shared" si="186"/>
        <v>26.6</v>
      </c>
      <c r="Z50" s="16">
        <f t="shared" ref="Z50" si="187">W50</f>
        <v>26.6</v>
      </c>
      <c r="AA50" s="65">
        <f t="shared" ref="AA50:AB50" si="188">Z50</f>
        <v>26.6</v>
      </c>
      <c r="AB50" s="15">
        <f t="shared" si="188"/>
        <v>26.6</v>
      </c>
      <c r="AC50" s="16">
        <f t="shared" ref="AC50" si="189">Z50</f>
        <v>26.6</v>
      </c>
      <c r="AD50" s="65">
        <f t="shared" ref="AD50:AE50" si="190">AC50</f>
        <v>26.6</v>
      </c>
      <c r="AE50" s="15">
        <f t="shared" si="190"/>
        <v>26.6</v>
      </c>
      <c r="AF50" s="16">
        <f t="shared" ref="AF50" si="191">AC50</f>
        <v>26.6</v>
      </c>
      <c r="AG50" s="65">
        <f t="shared" ref="AG50:AH50" si="192">AF50</f>
        <v>26.6</v>
      </c>
      <c r="AH50" s="15">
        <f t="shared" si="192"/>
        <v>26.6</v>
      </c>
      <c r="AI50" s="243">
        <f t="shared" ref="AI50" si="193">AF50</f>
        <v>26.6</v>
      </c>
    </row>
    <row r="51" spans="2:38" s="65" customFormat="1" x14ac:dyDescent="0.3">
      <c r="B51" s="273" t="s">
        <v>82</v>
      </c>
      <c r="C51" s="65">
        <v>276.7</v>
      </c>
      <c r="D51" s="15">
        <f t="shared" si="180"/>
        <v>310.10000000000002</v>
      </c>
      <c r="E51" s="16">
        <v>310.10000000000002</v>
      </c>
      <c r="F51" s="65">
        <v>309.3</v>
      </c>
      <c r="G51" s="15">
        <f t="shared" si="181"/>
        <v>336.6</v>
      </c>
      <c r="H51" s="16">
        <v>336.6</v>
      </c>
      <c r="I51" s="65">
        <v>340.3</v>
      </c>
      <c r="J51" s="15">
        <f t="shared" si="182"/>
        <v>368.9</v>
      </c>
      <c r="K51" s="16">
        <v>368.9</v>
      </c>
      <c r="L51" s="66">
        <v>381.7</v>
      </c>
      <c r="M51" s="15">
        <f t="shared" si="183"/>
        <v>412.5</v>
      </c>
      <c r="N51" s="16">
        <v>412.5</v>
      </c>
      <c r="O51" s="66">
        <v>430.2</v>
      </c>
      <c r="P51" s="15">
        <f t="shared" si="184"/>
        <v>450.6</v>
      </c>
      <c r="Q51" s="16">
        <v>450.6</v>
      </c>
      <c r="R51" s="66">
        <v>450.4</v>
      </c>
      <c r="S51" s="15">
        <f t="shared" si="185"/>
        <v>464.4</v>
      </c>
      <c r="T51" s="16">
        <v>464.4</v>
      </c>
      <c r="U51" s="66">
        <v>450.2</v>
      </c>
      <c r="V51" s="15">
        <f>Schedules!V15</f>
        <v>458.47300000000001</v>
      </c>
      <c r="W51" s="16">
        <f>Schedules!W15</f>
        <v>458.47300000000001</v>
      </c>
      <c r="X51" s="65">
        <f>Schedules!X15</f>
        <v>467.42138000000006</v>
      </c>
      <c r="Y51" s="15">
        <f>Schedules!Y15</f>
        <v>475.70407600000004</v>
      </c>
      <c r="Z51" s="16">
        <f>Schedules!Z15</f>
        <v>475.70407599999999</v>
      </c>
      <c r="AA51" s="65">
        <f>Schedules!AA15</f>
        <v>484.67005263999999</v>
      </c>
      <c r="AB51" s="15">
        <f>Schedules!AB15</f>
        <v>492.96517728000003</v>
      </c>
      <c r="AC51" s="16">
        <f>Schedules!AC15</f>
        <v>492.96517727999992</v>
      </c>
      <c r="AD51" s="65">
        <f>Schedules!AD15</f>
        <v>501.94959832959989</v>
      </c>
      <c r="AE51" s="15">
        <f>Schedules!AE15</f>
        <v>510.2602338239999</v>
      </c>
      <c r="AF51" s="16">
        <f>Schedules!AF15</f>
        <v>510.26023382399995</v>
      </c>
      <c r="AG51" s="65">
        <f>Schedules!AG15</f>
        <v>519.67500329318398</v>
      </c>
      <c r="AH51" s="15">
        <f>Schedules!AH15</f>
        <v>528.57854351436788</v>
      </c>
      <c r="AI51" s="243">
        <f>Schedules!AI15</f>
        <v>528.57854351436788</v>
      </c>
    </row>
    <row r="52" spans="2:38" s="65" customFormat="1" x14ac:dyDescent="0.3">
      <c r="B52" s="264" t="s">
        <v>83</v>
      </c>
      <c r="C52" s="65">
        <v>1</v>
      </c>
      <c r="D52" s="15">
        <f t="shared" si="180"/>
        <v>0.9</v>
      </c>
      <c r="E52" s="16">
        <v>0.9</v>
      </c>
      <c r="F52" s="65">
        <v>1.1000000000000001</v>
      </c>
      <c r="G52" s="15">
        <f t="shared" si="181"/>
        <v>1.7</v>
      </c>
      <c r="H52" s="16">
        <v>1.7</v>
      </c>
      <c r="I52" s="65">
        <v>1.8</v>
      </c>
      <c r="J52" s="15">
        <f t="shared" si="182"/>
        <v>1.7</v>
      </c>
      <c r="K52" s="16">
        <v>1.7</v>
      </c>
      <c r="L52" s="66">
        <v>2</v>
      </c>
      <c r="M52" s="15">
        <f t="shared" si="183"/>
        <v>1.5</v>
      </c>
      <c r="N52" s="16">
        <v>1.5</v>
      </c>
      <c r="O52" s="66">
        <v>1.7</v>
      </c>
      <c r="P52" s="15">
        <f t="shared" si="184"/>
        <v>1.5</v>
      </c>
      <c r="Q52" s="16">
        <v>1.5</v>
      </c>
      <c r="R52" s="66">
        <v>2.1</v>
      </c>
      <c r="S52" s="15">
        <f t="shared" si="185"/>
        <v>1.9</v>
      </c>
      <c r="T52" s="16">
        <v>1.9</v>
      </c>
      <c r="U52" s="66">
        <v>1.4</v>
      </c>
      <c r="V52" s="15">
        <f t="shared" ref="V52:W52" si="194">U52</f>
        <v>1.4</v>
      </c>
      <c r="W52" s="16">
        <f t="shared" si="194"/>
        <v>1.4</v>
      </c>
      <c r="X52" s="65">
        <f t="shared" ref="X52:X54" si="195">W52</f>
        <v>1.4</v>
      </c>
      <c r="Y52" s="15">
        <f t="shared" ref="Y52:Y54" si="196">X52</f>
        <v>1.4</v>
      </c>
      <c r="Z52" s="16">
        <f t="shared" ref="Z52:Z54" si="197">Y52</f>
        <v>1.4</v>
      </c>
      <c r="AA52" s="65">
        <f t="shared" ref="AA52:AA54" si="198">Z52</f>
        <v>1.4</v>
      </c>
      <c r="AB52" s="15">
        <f t="shared" ref="AB52:AB54" si="199">AA52</f>
        <v>1.4</v>
      </c>
      <c r="AC52" s="16">
        <f t="shared" ref="AC52:AC54" si="200">AB52</f>
        <v>1.4</v>
      </c>
      <c r="AD52" s="65">
        <f t="shared" ref="AD52:AD54" si="201">AC52</f>
        <v>1.4</v>
      </c>
      <c r="AE52" s="15">
        <f t="shared" ref="AE52:AE54" si="202">AD52</f>
        <v>1.4</v>
      </c>
      <c r="AF52" s="16">
        <f t="shared" ref="AF52:AF54" si="203">AE52</f>
        <v>1.4</v>
      </c>
      <c r="AG52" s="65">
        <f t="shared" ref="AG52:AG54" si="204">AF52</f>
        <v>1.4</v>
      </c>
      <c r="AH52" s="15">
        <f t="shared" ref="AH52:AH54" si="205">AG52</f>
        <v>1.4</v>
      </c>
      <c r="AI52" s="243">
        <f t="shared" ref="AI52:AI54" si="206">AH52</f>
        <v>1.4</v>
      </c>
    </row>
    <row r="53" spans="2:38" s="65" customFormat="1" x14ac:dyDescent="0.3">
      <c r="B53" s="264" t="s">
        <v>84</v>
      </c>
      <c r="C53" s="65">
        <v>96</v>
      </c>
      <c r="D53" s="15">
        <f t="shared" si="180"/>
        <v>87.3</v>
      </c>
      <c r="E53" s="16">
        <v>87.3</v>
      </c>
      <c r="F53" s="65">
        <v>18.399999999999999</v>
      </c>
      <c r="G53" s="15">
        <f t="shared" si="181"/>
        <v>26.6</v>
      </c>
      <c r="H53" s="16">
        <v>26.6</v>
      </c>
      <c r="I53" s="65">
        <v>37.1</v>
      </c>
      <c r="J53" s="15">
        <f t="shared" si="182"/>
        <v>36.1</v>
      </c>
      <c r="K53" s="16">
        <v>36.1</v>
      </c>
      <c r="L53" s="66">
        <v>38.5</v>
      </c>
      <c r="M53" s="15">
        <f t="shared" si="183"/>
        <v>16.3</v>
      </c>
      <c r="N53" s="16">
        <v>16.3</v>
      </c>
      <c r="O53" s="66">
        <v>16.2</v>
      </c>
      <c r="P53" s="15">
        <f t="shared" si="184"/>
        <v>18.3</v>
      </c>
      <c r="Q53" s="16">
        <v>18.3</v>
      </c>
      <c r="R53" s="66">
        <v>19.100000000000001</v>
      </c>
      <c r="S53" s="15">
        <f t="shared" si="185"/>
        <v>16.8</v>
      </c>
      <c r="T53" s="16">
        <v>16.8</v>
      </c>
      <c r="U53" s="66">
        <v>19.3</v>
      </c>
      <c r="V53" s="15">
        <f t="shared" ref="V53:W53" si="207">U53</f>
        <v>19.3</v>
      </c>
      <c r="W53" s="16">
        <f t="shared" si="207"/>
        <v>19.3</v>
      </c>
      <c r="X53" s="65">
        <f t="shared" si="195"/>
        <v>19.3</v>
      </c>
      <c r="Y53" s="15">
        <f t="shared" si="196"/>
        <v>19.3</v>
      </c>
      <c r="Z53" s="16">
        <f t="shared" si="197"/>
        <v>19.3</v>
      </c>
      <c r="AA53" s="65">
        <f t="shared" si="198"/>
        <v>19.3</v>
      </c>
      <c r="AB53" s="15">
        <f t="shared" si="199"/>
        <v>19.3</v>
      </c>
      <c r="AC53" s="16">
        <f t="shared" si="200"/>
        <v>19.3</v>
      </c>
      <c r="AD53" s="65">
        <f t="shared" si="201"/>
        <v>19.3</v>
      </c>
      <c r="AE53" s="15">
        <f t="shared" si="202"/>
        <v>19.3</v>
      </c>
      <c r="AF53" s="16">
        <f t="shared" si="203"/>
        <v>19.3</v>
      </c>
      <c r="AG53" s="65">
        <f t="shared" si="204"/>
        <v>19.3</v>
      </c>
      <c r="AH53" s="15">
        <f t="shared" si="205"/>
        <v>19.3</v>
      </c>
      <c r="AI53" s="243">
        <f t="shared" si="206"/>
        <v>19.3</v>
      </c>
    </row>
    <row r="54" spans="2:38" s="65" customFormat="1" x14ac:dyDescent="0.3">
      <c r="B54" s="264" t="s">
        <v>227</v>
      </c>
      <c r="C54" s="65">
        <v>20.5</v>
      </c>
      <c r="D54" s="15">
        <f t="shared" si="180"/>
        <v>23.2</v>
      </c>
      <c r="E54" s="16">
        <v>23.2</v>
      </c>
      <c r="F54" s="65">
        <v>18.8</v>
      </c>
      <c r="G54" s="15">
        <f t="shared" si="181"/>
        <v>29.5</v>
      </c>
      <c r="H54" s="16">
        <v>29.5</v>
      </c>
      <c r="I54" s="65">
        <v>29.5</v>
      </c>
      <c r="J54" s="15">
        <f t="shared" si="182"/>
        <v>40.4</v>
      </c>
      <c r="K54" s="16">
        <v>40.4</v>
      </c>
      <c r="L54" s="66">
        <v>41.4</v>
      </c>
      <c r="M54" s="15">
        <f t="shared" si="183"/>
        <v>31.2</v>
      </c>
      <c r="N54" s="16">
        <v>31.2</v>
      </c>
      <c r="O54" s="66">
        <v>36.4</v>
      </c>
      <c r="P54" s="15">
        <f t="shared" si="184"/>
        <v>25.6</v>
      </c>
      <c r="Q54" s="16">
        <v>25.6</v>
      </c>
      <c r="R54" s="66">
        <v>21.9</v>
      </c>
      <c r="S54" s="15">
        <f t="shared" si="185"/>
        <v>21.3</v>
      </c>
      <c r="T54" s="16">
        <v>21.3</v>
      </c>
      <c r="U54" s="66">
        <v>18.8</v>
      </c>
      <c r="V54" s="15">
        <f t="shared" ref="V54:W54" si="208">U54</f>
        <v>18.8</v>
      </c>
      <c r="W54" s="16">
        <f t="shared" si="208"/>
        <v>18.8</v>
      </c>
      <c r="X54" s="65">
        <f t="shared" si="195"/>
        <v>18.8</v>
      </c>
      <c r="Y54" s="15">
        <f t="shared" si="196"/>
        <v>18.8</v>
      </c>
      <c r="Z54" s="16">
        <f t="shared" si="197"/>
        <v>18.8</v>
      </c>
      <c r="AA54" s="65">
        <f t="shared" si="198"/>
        <v>18.8</v>
      </c>
      <c r="AB54" s="15">
        <f t="shared" si="199"/>
        <v>18.8</v>
      </c>
      <c r="AC54" s="16">
        <f t="shared" si="200"/>
        <v>18.8</v>
      </c>
      <c r="AD54" s="65">
        <f t="shared" si="201"/>
        <v>18.8</v>
      </c>
      <c r="AE54" s="15">
        <f t="shared" si="202"/>
        <v>18.8</v>
      </c>
      <c r="AF54" s="16">
        <f t="shared" si="203"/>
        <v>18.8</v>
      </c>
      <c r="AG54" s="65">
        <f t="shared" si="204"/>
        <v>18.8</v>
      </c>
      <c r="AH54" s="15">
        <f t="shared" si="205"/>
        <v>18.8</v>
      </c>
      <c r="AI54" s="243">
        <f t="shared" si="206"/>
        <v>18.8</v>
      </c>
    </row>
    <row r="55" spans="2:38" s="25" customFormat="1" x14ac:dyDescent="0.3">
      <c r="B55" s="265" t="s">
        <v>85</v>
      </c>
      <c r="C55" s="25">
        <f>SUM(C48:C54)</f>
        <v>932.3</v>
      </c>
      <c r="D55" s="63">
        <f>SUM(D48:D54)+0.1</f>
        <v>940.6</v>
      </c>
      <c r="E55" s="64">
        <f>SUM(E48:E54)+0.1</f>
        <v>940.6</v>
      </c>
      <c r="F55" s="25">
        <f t="shared" ref="F55:M55" si="209">SUM(F48:F54)</f>
        <v>864.40000000000009</v>
      </c>
      <c r="G55" s="63">
        <f t="shared" si="209"/>
        <v>919.90000000000009</v>
      </c>
      <c r="H55" s="64">
        <f t="shared" si="209"/>
        <v>919.90000000000009</v>
      </c>
      <c r="I55" s="25">
        <f>SUM(I48:I54)-0.1</f>
        <v>929.3</v>
      </c>
      <c r="J55" s="63">
        <f t="shared" si="209"/>
        <v>982.4</v>
      </c>
      <c r="K55" s="64">
        <f>SUM(K48:K54)+0.1</f>
        <v>982.5</v>
      </c>
      <c r="L55" s="68">
        <f>SUM(L48:L54)-0.1</f>
        <v>996.39999999999986</v>
      </c>
      <c r="M55" s="63">
        <f t="shared" si="209"/>
        <v>1004.5</v>
      </c>
      <c r="N55" s="64">
        <f>SUM(N48:N54)</f>
        <v>1004.5</v>
      </c>
      <c r="O55" s="68">
        <f>SUM(O48:O54)</f>
        <v>1023.4</v>
      </c>
      <c r="P55" s="63">
        <f t="shared" ref="P55" si="210">SUM(P48:P54)</f>
        <v>1037.2</v>
      </c>
      <c r="Q55" s="64">
        <f>SUM(Q48:Q54)</f>
        <v>1037.2</v>
      </c>
      <c r="R55" s="68">
        <f>SUM(R48:R54)+0.1</f>
        <v>1029</v>
      </c>
      <c r="S55" s="63">
        <f t="shared" ref="S55" si="211">SUM(S48:S54)</f>
        <v>1040.1999999999998</v>
      </c>
      <c r="T55" s="64">
        <f>SUM(T48:T54)</f>
        <v>1040.1999999999998</v>
      </c>
      <c r="U55" s="68">
        <f>SUM(U48:U54)+0.1</f>
        <v>1015.3999999999999</v>
      </c>
      <c r="V55" s="63">
        <f t="shared" ref="V55:W55" si="212">SUM(V48:V54)</f>
        <v>1023.573</v>
      </c>
      <c r="W55" s="64">
        <f t="shared" si="212"/>
        <v>1023.573</v>
      </c>
      <c r="X55" s="25">
        <f t="shared" ref="X55:AI55" si="213">SUM(X48:X54)</f>
        <v>1032.5213800000001</v>
      </c>
      <c r="Y55" s="63">
        <f t="shared" si="213"/>
        <v>1040.8040760000001</v>
      </c>
      <c r="Z55" s="64">
        <f t="shared" si="213"/>
        <v>1040.8040759999999</v>
      </c>
      <c r="AA55" s="25">
        <f t="shared" si="213"/>
        <v>1049.7700526399999</v>
      </c>
      <c r="AB55" s="63">
        <f t="shared" si="213"/>
        <v>1058.0651772799999</v>
      </c>
      <c r="AC55" s="64">
        <f t="shared" si="213"/>
        <v>1058.0651772799999</v>
      </c>
      <c r="AD55" s="25">
        <f t="shared" si="213"/>
        <v>1067.0495983296</v>
      </c>
      <c r="AE55" s="63">
        <f t="shared" si="213"/>
        <v>1075.3602338239998</v>
      </c>
      <c r="AF55" s="64">
        <f t="shared" si="213"/>
        <v>1075.360233824</v>
      </c>
      <c r="AG55" s="25">
        <f t="shared" si="213"/>
        <v>1084.775003293184</v>
      </c>
      <c r="AH55" s="63">
        <f t="shared" si="213"/>
        <v>1093.6785435143679</v>
      </c>
      <c r="AI55" s="246">
        <f t="shared" si="213"/>
        <v>1093.6785435143679</v>
      </c>
    </row>
    <row r="56" spans="2:38" x14ac:dyDescent="0.3">
      <c r="B56" s="72"/>
      <c r="D56" s="1"/>
      <c r="E56" s="2"/>
      <c r="G56" s="1"/>
      <c r="H56" s="2"/>
      <c r="J56" s="1"/>
      <c r="K56" s="2"/>
      <c r="L56" s="84"/>
      <c r="M56" s="1"/>
      <c r="N56" s="2"/>
      <c r="O56" s="84"/>
      <c r="P56" s="1"/>
      <c r="Q56" s="2"/>
      <c r="R56" s="84"/>
      <c r="S56" s="1"/>
      <c r="T56" s="2"/>
      <c r="U56" s="84"/>
      <c r="V56" s="1"/>
      <c r="W56" s="2"/>
      <c r="Y56" s="1"/>
      <c r="Z56" s="2"/>
      <c r="AB56" s="1"/>
      <c r="AC56" s="2"/>
      <c r="AE56" s="1"/>
      <c r="AF56" s="2"/>
      <c r="AH56" s="1"/>
      <c r="AI56" s="49"/>
    </row>
    <row r="57" spans="2:38" s="65" customFormat="1" x14ac:dyDescent="0.3">
      <c r="B57" s="264" t="s">
        <v>86</v>
      </c>
      <c r="C57" s="65">
        <v>1269</v>
      </c>
      <c r="D57" s="15">
        <f t="shared" ref="D57:D61" si="214">E57</f>
        <v>1363.9</v>
      </c>
      <c r="E57" s="16">
        <v>1363.9</v>
      </c>
      <c r="F57" s="65">
        <v>1378.6</v>
      </c>
      <c r="G57" s="15">
        <f t="shared" ref="G57:G61" si="215">H57</f>
        <v>1492.5</v>
      </c>
      <c r="H57" s="16">
        <v>1492.5</v>
      </c>
      <c r="I57" s="65">
        <v>1512.6</v>
      </c>
      <c r="J57" s="15">
        <f t="shared" ref="J57:J61" si="216">K57</f>
        <v>1615.5</v>
      </c>
      <c r="K57" s="16">
        <v>1615.5</v>
      </c>
      <c r="L57" s="66">
        <v>1647.6</v>
      </c>
      <c r="M57" s="15">
        <f t="shared" ref="M57:M61" si="217">N57</f>
        <v>1815.8</v>
      </c>
      <c r="N57" s="16">
        <v>1815.8</v>
      </c>
      <c r="O57" s="66">
        <v>1839.3</v>
      </c>
      <c r="P57" s="15">
        <f t="shared" ref="P57:P61" si="218">Q57</f>
        <v>1962.8</v>
      </c>
      <c r="Q57" s="16">
        <v>1962.8</v>
      </c>
      <c r="R57" s="66">
        <v>1973</v>
      </c>
      <c r="S57" s="15">
        <f t="shared" ref="S57:S61" si="219">T57</f>
        <v>2105.6</v>
      </c>
      <c r="T57" s="16">
        <v>2105.6</v>
      </c>
      <c r="U57" s="66">
        <v>2102.1999999999998</v>
      </c>
      <c r="V57" s="15">
        <f>Schedules!V56</f>
        <v>2238.1986301369866</v>
      </c>
      <c r="W57" s="16">
        <f>Schedules!W56</f>
        <v>2238.1986301369866</v>
      </c>
      <c r="X57" s="65">
        <f>Schedules!X56</f>
        <v>2442.5780821917806</v>
      </c>
      <c r="Y57" s="15">
        <f>Schedules!Y56</f>
        <v>2483.7892569863016</v>
      </c>
      <c r="Z57" s="16">
        <f>Schedules!Z56</f>
        <v>2483.7892569863016</v>
      </c>
      <c r="AA57" s="65">
        <f>Schedules!AA56</f>
        <v>2636.1134601092895</v>
      </c>
      <c r="AB57" s="15">
        <f>Schedules!AB56</f>
        <v>2629.1152876065576</v>
      </c>
      <c r="AC57" s="16">
        <f>Schedules!AC56</f>
        <v>2629.1152876065576</v>
      </c>
      <c r="AD57" s="65">
        <f>Schedules!AD56</f>
        <v>2750.6278101917806</v>
      </c>
      <c r="AE57" s="15">
        <f>Schedules!AE56</f>
        <v>2744.5371099248218</v>
      </c>
      <c r="AF57" s="16">
        <f>Schedules!AF56</f>
        <v>2744.5371099248218</v>
      </c>
      <c r="AG57" s="65">
        <f>Schedules!AG56</f>
        <v>2903.326232870575</v>
      </c>
      <c r="AH57" s="15">
        <f>Schedules!AH56</f>
        <v>2906.8680642031172</v>
      </c>
      <c r="AI57" s="243">
        <f>Schedules!AI56</f>
        <v>2906.8680642031172</v>
      </c>
      <c r="AL57" s="65" t="s">
        <v>203</v>
      </c>
    </row>
    <row r="58" spans="2:38" s="65" customFormat="1" x14ac:dyDescent="0.3">
      <c r="B58" s="264" t="s">
        <v>87</v>
      </c>
      <c r="C58" s="65">
        <v>249.6</v>
      </c>
      <c r="D58" s="15">
        <f t="shared" si="214"/>
        <v>199.4</v>
      </c>
      <c r="E58" s="16">
        <v>199.4</v>
      </c>
      <c r="F58" s="65">
        <v>270.5</v>
      </c>
      <c r="G58" s="15">
        <f t="shared" si="215"/>
        <v>158.1</v>
      </c>
      <c r="H58" s="16">
        <v>158.1</v>
      </c>
      <c r="I58" s="65">
        <v>286.39999999999998</v>
      </c>
      <c r="J58" s="15">
        <f t="shared" si="216"/>
        <v>253.6</v>
      </c>
      <c r="K58" s="16">
        <v>253.6</v>
      </c>
      <c r="L58" s="66">
        <v>389.2</v>
      </c>
      <c r="M58" s="15">
        <f t="shared" si="217"/>
        <v>268.7</v>
      </c>
      <c r="N58" s="16">
        <v>268.7</v>
      </c>
      <c r="O58" s="66">
        <v>364.2</v>
      </c>
      <c r="P58" s="15">
        <f t="shared" si="218"/>
        <v>238.2</v>
      </c>
      <c r="Q58" s="16">
        <v>238.2</v>
      </c>
      <c r="R58" s="66">
        <v>307.8</v>
      </c>
      <c r="S58" s="15">
        <f t="shared" si="219"/>
        <v>187.5</v>
      </c>
      <c r="T58" s="16">
        <v>187.5</v>
      </c>
      <c r="U58" s="66">
        <v>254.6</v>
      </c>
      <c r="V58" s="15">
        <f>Schedules!V57</f>
        <v>334.1849315068493</v>
      </c>
      <c r="W58" s="16">
        <f>Schedules!W57</f>
        <v>334.1849315068493</v>
      </c>
      <c r="X58" s="65">
        <f>Schedules!X57</f>
        <v>348.93972602739728</v>
      </c>
      <c r="Y58" s="15">
        <f>Schedules!Y57</f>
        <v>347.8696438356165</v>
      </c>
      <c r="Z58" s="16">
        <f>Schedules!Z57</f>
        <v>347.8696438356165</v>
      </c>
      <c r="AA58" s="65">
        <f>Schedules!AA57</f>
        <v>362.10349726775968</v>
      </c>
      <c r="AB58" s="15">
        <f>Schedules!AB57</f>
        <v>361.14220983606555</v>
      </c>
      <c r="AC58" s="16">
        <f>Schedules!AC57</f>
        <v>361.14220983606555</v>
      </c>
      <c r="AD58" s="65">
        <f>Schedules!AD57</f>
        <v>377.83349041095886</v>
      </c>
      <c r="AE58" s="15">
        <f>Schedules!AE57</f>
        <v>376.99685575890413</v>
      </c>
      <c r="AF58" s="16">
        <f>Schedules!AF57</f>
        <v>376.99685575890413</v>
      </c>
      <c r="AG58" s="65">
        <f>Schedules!AG57</f>
        <v>398.80854847123294</v>
      </c>
      <c r="AH58" s="15">
        <f>Schedules!AH57</f>
        <v>399.29506376416452</v>
      </c>
      <c r="AI58" s="243">
        <f>Schedules!AI57</f>
        <v>399.29506376416452</v>
      </c>
    </row>
    <row r="59" spans="2:38" s="65" customFormat="1" x14ac:dyDescent="0.3">
      <c r="B59" s="264" t="s">
        <v>88</v>
      </c>
      <c r="C59" s="65">
        <v>1.5</v>
      </c>
      <c r="D59" s="15">
        <f t="shared" si="214"/>
        <v>10.4</v>
      </c>
      <c r="E59" s="16">
        <v>10.4</v>
      </c>
      <c r="F59" s="65">
        <v>3.8</v>
      </c>
      <c r="G59" s="15">
        <f t="shared" si="215"/>
        <v>4.9000000000000004</v>
      </c>
      <c r="H59" s="16">
        <v>4.9000000000000004</v>
      </c>
      <c r="I59" s="65">
        <v>3.5</v>
      </c>
      <c r="J59" s="15">
        <f t="shared" si="216"/>
        <v>6.9</v>
      </c>
      <c r="K59" s="16">
        <v>6.9</v>
      </c>
      <c r="L59" s="66">
        <v>7.6</v>
      </c>
      <c r="M59" s="15">
        <f t="shared" si="217"/>
        <v>5.3</v>
      </c>
      <c r="N59" s="16">
        <v>5.3</v>
      </c>
      <c r="O59" s="66">
        <v>16.5</v>
      </c>
      <c r="P59" s="15">
        <f t="shared" si="218"/>
        <v>29.8</v>
      </c>
      <c r="Q59" s="16">
        <v>29.8</v>
      </c>
      <c r="R59" s="66">
        <v>7.8</v>
      </c>
      <c r="S59" s="15">
        <f t="shared" si="219"/>
        <v>2.7</v>
      </c>
      <c r="T59" s="16">
        <v>2.7</v>
      </c>
      <c r="U59" s="66">
        <v>4.7</v>
      </c>
      <c r="V59" s="15">
        <f t="shared" ref="V59:W60" si="220">U59</f>
        <v>4.7</v>
      </c>
      <c r="W59" s="16">
        <f t="shared" si="220"/>
        <v>4.7</v>
      </c>
      <c r="X59" s="65">
        <f t="shared" ref="X59:X60" si="221">W59</f>
        <v>4.7</v>
      </c>
      <c r="Y59" s="15">
        <f t="shared" ref="Y59:Y60" si="222">X59</f>
        <v>4.7</v>
      </c>
      <c r="Z59" s="16">
        <f t="shared" ref="Z59:Z60" si="223">Y59</f>
        <v>4.7</v>
      </c>
      <c r="AA59" s="65">
        <f t="shared" ref="AA59:AA60" si="224">Z59</f>
        <v>4.7</v>
      </c>
      <c r="AB59" s="15">
        <f t="shared" ref="AB59:AB60" si="225">AA59</f>
        <v>4.7</v>
      </c>
      <c r="AC59" s="16">
        <f t="shared" ref="AC59:AC60" si="226">AB59</f>
        <v>4.7</v>
      </c>
      <c r="AD59" s="65">
        <f t="shared" ref="AD59:AD60" si="227">AC59</f>
        <v>4.7</v>
      </c>
      <c r="AE59" s="15">
        <f t="shared" ref="AE59:AE60" si="228">AD59</f>
        <v>4.7</v>
      </c>
      <c r="AF59" s="16">
        <f t="shared" ref="AF59:AF60" si="229">AE59</f>
        <v>4.7</v>
      </c>
      <c r="AG59" s="65">
        <f t="shared" ref="AG59:AG60" si="230">AF59</f>
        <v>4.7</v>
      </c>
      <c r="AH59" s="15">
        <f t="shared" ref="AH59:AH60" si="231">AG59</f>
        <v>4.7</v>
      </c>
      <c r="AI59" s="243">
        <f t="shared" ref="AI59:AI60" si="232">AH59</f>
        <v>4.7</v>
      </c>
    </row>
    <row r="60" spans="2:38" s="65" customFormat="1" x14ac:dyDescent="0.3">
      <c r="B60" s="264" t="s">
        <v>89</v>
      </c>
      <c r="C60" s="65">
        <v>2.7</v>
      </c>
      <c r="D60" s="15">
        <f t="shared" si="214"/>
        <v>5.0999999999999996</v>
      </c>
      <c r="E60" s="16">
        <v>5.0999999999999996</v>
      </c>
      <c r="F60" s="65">
        <v>9.5</v>
      </c>
      <c r="G60" s="15">
        <f t="shared" si="215"/>
        <v>4.7</v>
      </c>
      <c r="H60" s="16">
        <v>4.7</v>
      </c>
      <c r="I60" s="65">
        <v>3.5</v>
      </c>
      <c r="J60" s="15">
        <f t="shared" si="216"/>
        <v>3.8</v>
      </c>
      <c r="K60" s="16">
        <v>3.8</v>
      </c>
      <c r="L60" s="66">
        <v>9.6</v>
      </c>
      <c r="M60" s="15">
        <f t="shared" si="217"/>
        <v>19</v>
      </c>
      <c r="N60" s="16">
        <v>19</v>
      </c>
      <c r="O60" s="66">
        <v>22.7</v>
      </c>
      <c r="P60" s="15">
        <f t="shared" si="218"/>
        <v>9.6</v>
      </c>
      <c r="Q60" s="16">
        <v>9.6</v>
      </c>
      <c r="R60" s="66">
        <v>7.3</v>
      </c>
      <c r="S60" s="15">
        <f t="shared" si="219"/>
        <v>5.2</v>
      </c>
      <c r="T60" s="16">
        <v>5.2</v>
      </c>
      <c r="U60" s="66">
        <v>13.4</v>
      </c>
      <c r="V60" s="15">
        <f t="shared" si="220"/>
        <v>13.4</v>
      </c>
      <c r="W60" s="16">
        <f t="shared" si="220"/>
        <v>13.4</v>
      </c>
      <c r="X60" s="65">
        <f t="shared" si="221"/>
        <v>13.4</v>
      </c>
      <c r="Y60" s="15">
        <f t="shared" si="222"/>
        <v>13.4</v>
      </c>
      <c r="Z60" s="16">
        <f t="shared" si="223"/>
        <v>13.4</v>
      </c>
      <c r="AA60" s="65">
        <f t="shared" si="224"/>
        <v>13.4</v>
      </c>
      <c r="AB60" s="15">
        <f t="shared" si="225"/>
        <v>13.4</v>
      </c>
      <c r="AC60" s="16">
        <f t="shared" si="226"/>
        <v>13.4</v>
      </c>
      <c r="AD60" s="65">
        <f t="shared" si="227"/>
        <v>13.4</v>
      </c>
      <c r="AE60" s="15">
        <f t="shared" si="228"/>
        <v>13.4</v>
      </c>
      <c r="AF60" s="16">
        <f t="shared" si="229"/>
        <v>13.4</v>
      </c>
      <c r="AG60" s="65">
        <f t="shared" si="230"/>
        <v>13.4</v>
      </c>
      <c r="AH60" s="15">
        <f t="shared" si="231"/>
        <v>13.4</v>
      </c>
      <c r="AI60" s="243">
        <f t="shared" si="232"/>
        <v>13.4</v>
      </c>
    </row>
    <row r="61" spans="2:38" s="65" customFormat="1" x14ac:dyDescent="0.3">
      <c r="B61" s="264" t="s">
        <v>90</v>
      </c>
      <c r="C61" s="65">
        <v>126</v>
      </c>
      <c r="D61" s="15">
        <f t="shared" si="214"/>
        <v>269.39999999999998</v>
      </c>
      <c r="E61" s="16">
        <v>269.39999999999998</v>
      </c>
      <c r="F61" s="65">
        <v>89.6</v>
      </c>
      <c r="G61" s="15">
        <f t="shared" si="215"/>
        <v>201</v>
      </c>
      <c r="H61" s="16">
        <v>201</v>
      </c>
      <c r="I61" s="65">
        <v>99.2</v>
      </c>
      <c r="J61" s="15">
        <f t="shared" si="216"/>
        <v>116.3</v>
      </c>
      <c r="K61" s="16">
        <v>116.3</v>
      </c>
      <c r="L61" s="66">
        <v>95</v>
      </c>
      <c r="M61" s="15">
        <f t="shared" si="217"/>
        <v>73.7</v>
      </c>
      <c r="N61" s="16">
        <v>73.7</v>
      </c>
      <c r="O61" s="66">
        <v>277.60000000000002</v>
      </c>
      <c r="P61" s="15">
        <f t="shared" si="218"/>
        <v>93</v>
      </c>
      <c r="Q61" s="16">
        <v>93</v>
      </c>
      <c r="R61" s="66">
        <v>48.6</v>
      </c>
      <c r="S61" s="15">
        <f t="shared" si="219"/>
        <v>83.1</v>
      </c>
      <c r="T61" s="16">
        <v>83.1</v>
      </c>
      <c r="U61" s="66">
        <v>70.5</v>
      </c>
      <c r="V61" s="15">
        <f t="shared" ref="V61:W61" si="233">V128</f>
        <v>-142.7430723287674</v>
      </c>
      <c r="W61" s="16">
        <f t="shared" si="233"/>
        <v>-142.64307232876729</v>
      </c>
      <c r="X61" s="65">
        <f t="shared" ref="X61:AI61" si="234">X128</f>
        <v>-256.52799917808204</v>
      </c>
      <c r="Y61" s="15">
        <f t="shared" si="234"/>
        <v>-235.34887346849337</v>
      </c>
      <c r="Z61" s="16">
        <f t="shared" si="234"/>
        <v>-235.34887346849334</v>
      </c>
      <c r="AA61" s="65">
        <f t="shared" si="234"/>
        <v>-329.13868803672125</v>
      </c>
      <c r="AB61" s="15">
        <f t="shared" si="234"/>
        <v>-255.10272274780334</v>
      </c>
      <c r="AC61" s="16">
        <f t="shared" si="234"/>
        <v>-255.10272274780357</v>
      </c>
      <c r="AD61" s="65">
        <f t="shared" si="234"/>
        <v>-312.41409999491486</v>
      </c>
      <c r="AE61" s="15">
        <f t="shared" si="234"/>
        <v>-234.46698260530857</v>
      </c>
      <c r="AF61" s="16">
        <f t="shared" si="234"/>
        <v>-234.46698260530849</v>
      </c>
      <c r="AG61" s="65">
        <f t="shared" si="234"/>
        <v>-326.02329927768346</v>
      </c>
      <c r="AH61" s="15">
        <f t="shared" si="234"/>
        <v>-250.30208471479361</v>
      </c>
      <c r="AI61" s="243">
        <f t="shared" si="234"/>
        <v>-250.30208471479355</v>
      </c>
    </row>
    <row r="62" spans="2:38" s="25" customFormat="1" x14ac:dyDescent="0.3">
      <c r="B62" s="265" t="s">
        <v>91</v>
      </c>
      <c r="C62" s="25">
        <f t="shared" ref="C62:M62" si="235">SUM(C57:C61)</f>
        <v>1648.8</v>
      </c>
      <c r="D62" s="63">
        <f t="shared" si="235"/>
        <v>1848.2000000000003</v>
      </c>
      <c r="E62" s="64">
        <f t="shared" si="235"/>
        <v>1848.2000000000003</v>
      </c>
      <c r="F62" s="25">
        <f>SUM(F57:F61)-0.1</f>
        <v>1751.8999999999999</v>
      </c>
      <c r="G62" s="63">
        <f t="shared" si="235"/>
        <v>1861.2</v>
      </c>
      <c r="H62" s="64">
        <f t="shared" si="235"/>
        <v>1861.2</v>
      </c>
      <c r="I62" s="25">
        <f t="shared" si="235"/>
        <v>1905.2</v>
      </c>
      <c r="J62" s="63">
        <f t="shared" si="235"/>
        <v>1996.1</v>
      </c>
      <c r="K62" s="64">
        <f t="shared" si="235"/>
        <v>1996.1</v>
      </c>
      <c r="L62" s="68">
        <f t="shared" si="235"/>
        <v>2149</v>
      </c>
      <c r="M62" s="63">
        <f t="shared" si="235"/>
        <v>2182.5</v>
      </c>
      <c r="N62" s="64">
        <f>SUM(N57:N61)</f>
        <v>2182.5</v>
      </c>
      <c r="O62" s="68">
        <f>SUM(O57:O61)</f>
        <v>2520.2999999999997</v>
      </c>
      <c r="P62" s="63">
        <f t="shared" ref="P62" si="236">SUM(P57:P61)</f>
        <v>2333.4</v>
      </c>
      <c r="Q62" s="64">
        <f>SUM(Q57:Q61)</f>
        <v>2333.4</v>
      </c>
      <c r="R62" s="68">
        <f>SUM(R57:R61)</f>
        <v>2344.5000000000005</v>
      </c>
      <c r="S62" s="63">
        <f t="shared" ref="S62" si="237">SUM(S57:S61)</f>
        <v>2384.0999999999995</v>
      </c>
      <c r="T62" s="64">
        <f>SUM(T57:T61)-0.1</f>
        <v>2383.9999999999995</v>
      </c>
      <c r="U62" s="68">
        <f>SUM(U57:U61)</f>
        <v>2445.3999999999996</v>
      </c>
      <c r="V62" s="63">
        <f t="shared" ref="V62:W62" si="238">SUM(V57:V61)</f>
        <v>2447.7404893150683</v>
      </c>
      <c r="W62" s="64">
        <f t="shared" si="238"/>
        <v>2447.8404893150687</v>
      </c>
      <c r="X62" s="25">
        <f t="shared" ref="X62:AI62" si="239">SUM(X57:X61)</f>
        <v>2553.0898090410956</v>
      </c>
      <c r="Y62" s="63">
        <f t="shared" si="239"/>
        <v>2614.4100273534245</v>
      </c>
      <c r="Z62" s="64">
        <f t="shared" si="239"/>
        <v>2614.4100273534245</v>
      </c>
      <c r="AA62" s="25">
        <f t="shared" si="239"/>
        <v>2687.1782693403279</v>
      </c>
      <c r="AB62" s="63">
        <f t="shared" si="239"/>
        <v>2753.2547746948194</v>
      </c>
      <c r="AC62" s="64">
        <f t="shared" si="239"/>
        <v>2753.2547746948194</v>
      </c>
      <c r="AD62" s="25">
        <f t="shared" si="239"/>
        <v>2834.1472006078243</v>
      </c>
      <c r="AE62" s="63">
        <f t="shared" si="239"/>
        <v>2905.1669830784172</v>
      </c>
      <c r="AF62" s="64">
        <f t="shared" si="239"/>
        <v>2905.1669830784172</v>
      </c>
      <c r="AG62" s="25">
        <f t="shared" si="239"/>
        <v>2994.2114820641245</v>
      </c>
      <c r="AH62" s="63">
        <f t="shared" si="239"/>
        <v>3073.9610432524883</v>
      </c>
      <c r="AI62" s="246">
        <f t="shared" si="239"/>
        <v>3073.9610432524883</v>
      </c>
    </row>
    <row r="63" spans="2:38" s="25" customFormat="1" x14ac:dyDescent="0.3">
      <c r="B63" s="265" t="s">
        <v>92</v>
      </c>
      <c r="C63" s="25">
        <f>C55+C62+0.1</f>
        <v>2581.1999999999998</v>
      </c>
      <c r="D63" s="63">
        <f t="shared" ref="D63:M63" si="240">D55+D62</f>
        <v>2788.8</v>
      </c>
      <c r="E63" s="64">
        <f>E55+E62-0.1</f>
        <v>2788.7000000000003</v>
      </c>
      <c r="F63" s="25">
        <f t="shared" si="240"/>
        <v>2616.3000000000002</v>
      </c>
      <c r="G63" s="63">
        <f t="shared" si="240"/>
        <v>2781.1000000000004</v>
      </c>
      <c r="H63" s="64">
        <f t="shared" si="240"/>
        <v>2781.1000000000004</v>
      </c>
      <c r="I63" s="25">
        <f>I55+I62-0.1</f>
        <v>2834.4</v>
      </c>
      <c r="J63" s="63">
        <f t="shared" si="240"/>
        <v>2978.5</v>
      </c>
      <c r="K63" s="64">
        <f t="shared" si="240"/>
        <v>2978.6</v>
      </c>
      <c r="L63" s="68">
        <f t="shared" si="240"/>
        <v>3145.3999999999996</v>
      </c>
      <c r="M63" s="63">
        <f t="shared" si="240"/>
        <v>3187</v>
      </c>
      <c r="N63" s="64">
        <f>N55+N62</f>
        <v>3187</v>
      </c>
      <c r="O63" s="68">
        <f>O55+O62</f>
        <v>3543.7</v>
      </c>
      <c r="P63" s="63">
        <f>P55+P62+0.1</f>
        <v>3370.7000000000003</v>
      </c>
      <c r="Q63" s="64">
        <f>Q55+Q62+0.1</f>
        <v>3370.7000000000003</v>
      </c>
      <c r="R63" s="68">
        <f>R55+R62</f>
        <v>3373.5000000000005</v>
      </c>
      <c r="S63" s="63">
        <f>S55+S62-0.1</f>
        <v>3424.1999999999994</v>
      </c>
      <c r="T63" s="64">
        <f>T55+T62</f>
        <v>3424.1999999999994</v>
      </c>
      <c r="U63" s="68">
        <f>U55+U62-0.1</f>
        <v>3460.6999999999994</v>
      </c>
      <c r="V63" s="63">
        <f>V55+V62+0.1</f>
        <v>3471.4134893150681</v>
      </c>
      <c r="W63" s="64">
        <f t="shared" ref="W63" si="241">W55+W62</f>
        <v>3471.4134893150685</v>
      </c>
      <c r="X63" s="25">
        <f t="shared" ref="X63:AI63" si="242">X55+X62</f>
        <v>3585.6111890410957</v>
      </c>
      <c r="Y63" s="63">
        <f t="shared" si="242"/>
        <v>3655.2141033534244</v>
      </c>
      <c r="Z63" s="64">
        <f t="shared" si="242"/>
        <v>3655.2141033534244</v>
      </c>
      <c r="AA63" s="25">
        <f t="shared" si="242"/>
        <v>3736.9483219803278</v>
      </c>
      <c r="AB63" s="63">
        <f t="shared" si="242"/>
        <v>3811.3199519748196</v>
      </c>
      <c r="AC63" s="64">
        <f t="shared" si="242"/>
        <v>3811.3199519748196</v>
      </c>
      <c r="AD63" s="25">
        <f t="shared" si="242"/>
        <v>3901.1967989374243</v>
      </c>
      <c r="AE63" s="63">
        <f t="shared" si="242"/>
        <v>3980.527216902417</v>
      </c>
      <c r="AF63" s="64">
        <f t="shared" si="242"/>
        <v>3980.5272169024174</v>
      </c>
      <c r="AG63" s="25">
        <f t="shared" si="242"/>
        <v>4078.9864853573085</v>
      </c>
      <c r="AH63" s="63">
        <f t="shared" si="242"/>
        <v>4167.6395867668562</v>
      </c>
      <c r="AI63" s="246">
        <f t="shared" si="242"/>
        <v>4167.6395867668562</v>
      </c>
    </row>
    <row r="64" spans="2:38" x14ac:dyDescent="0.3">
      <c r="B64" s="73"/>
      <c r="D64" s="1"/>
      <c r="E64" s="2"/>
      <c r="G64" s="1"/>
      <c r="H64" s="2"/>
      <c r="J64" s="1"/>
      <c r="K64" s="2"/>
      <c r="L64" s="84"/>
      <c r="M64" s="1"/>
      <c r="N64" s="2"/>
      <c r="O64" s="84"/>
      <c r="P64" s="1"/>
      <c r="Q64" s="2"/>
      <c r="R64" s="84"/>
      <c r="S64" s="1"/>
      <c r="T64" s="2"/>
      <c r="U64" s="84"/>
      <c r="V64" s="1"/>
      <c r="W64" s="2"/>
      <c r="Y64" s="1"/>
      <c r="Z64" s="2"/>
      <c r="AB64" s="1"/>
      <c r="AC64" s="2"/>
      <c r="AE64" s="1"/>
      <c r="AF64" s="2"/>
      <c r="AH64" s="1"/>
      <c r="AI64" s="49"/>
    </row>
    <row r="65" spans="2:35" s="65" customFormat="1" x14ac:dyDescent="0.3">
      <c r="B65" s="264" t="s">
        <v>93</v>
      </c>
      <c r="C65" s="65">
        <v>80.2</v>
      </c>
      <c r="D65" s="15">
        <f t="shared" ref="D65:D69" si="243">E65</f>
        <v>80.2</v>
      </c>
      <c r="E65" s="16">
        <v>80.2</v>
      </c>
      <c r="F65" s="65">
        <v>80.8</v>
      </c>
      <c r="G65" s="15">
        <f t="shared" ref="G65:G69" si="244">H65</f>
        <v>80.8</v>
      </c>
      <c r="H65" s="16">
        <v>80.8</v>
      </c>
      <c r="I65" s="65">
        <v>83</v>
      </c>
      <c r="J65" s="15">
        <f t="shared" ref="J65:J69" si="245">K65</f>
        <v>81.8</v>
      </c>
      <c r="K65" s="16">
        <v>81.8</v>
      </c>
      <c r="L65" s="66">
        <v>82.8</v>
      </c>
      <c r="M65" s="15">
        <f t="shared" ref="M65:M69" si="246">N65</f>
        <v>81.3</v>
      </c>
      <c r="N65" s="16">
        <v>81.3</v>
      </c>
      <c r="O65" s="66">
        <v>82</v>
      </c>
      <c r="P65" s="15">
        <f t="shared" ref="P65:P69" si="247">Q65</f>
        <v>82</v>
      </c>
      <c r="Q65" s="16">
        <v>82</v>
      </c>
      <c r="R65" s="66">
        <v>83.5</v>
      </c>
      <c r="S65" s="15">
        <f t="shared" ref="S65:S69" si="248">T65</f>
        <v>83.5</v>
      </c>
      <c r="T65" s="16">
        <v>83.5</v>
      </c>
      <c r="U65" s="66">
        <v>84.1</v>
      </c>
      <c r="V65" s="15">
        <f t="shared" ref="V65:W65" si="249">U65</f>
        <v>84.1</v>
      </c>
      <c r="W65" s="16">
        <f t="shared" si="249"/>
        <v>84.1</v>
      </c>
      <c r="X65" s="65">
        <f t="shared" ref="X65:X67" si="250">W65</f>
        <v>84.1</v>
      </c>
      <c r="Y65" s="15">
        <f t="shared" ref="Y65:Y67" si="251">X65</f>
        <v>84.1</v>
      </c>
      <c r="Z65" s="16">
        <f t="shared" ref="Z65:Z67" si="252">Y65</f>
        <v>84.1</v>
      </c>
      <c r="AA65" s="65">
        <f t="shared" ref="AA65:AA67" si="253">Z65</f>
        <v>84.1</v>
      </c>
      <c r="AB65" s="15">
        <f t="shared" ref="AB65:AB67" si="254">AA65</f>
        <v>84.1</v>
      </c>
      <c r="AC65" s="16">
        <f t="shared" ref="AC65:AC67" si="255">AB65</f>
        <v>84.1</v>
      </c>
      <c r="AD65" s="65">
        <f t="shared" ref="AD65:AD67" si="256">AC65</f>
        <v>84.1</v>
      </c>
      <c r="AE65" s="15">
        <f t="shared" ref="AE65:AE67" si="257">AD65</f>
        <v>84.1</v>
      </c>
      <c r="AF65" s="16">
        <f t="shared" ref="AF65:AF67" si="258">AE65</f>
        <v>84.1</v>
      </c>
      <c r="AG65" s="65">
        <f t="shared" ref="AG65:AG67" si="259">AF65</f>
        <v>84.1</v>
      </c>
      <c r="AH65" s="15">
        <f t="shared" ref="AH65:AH67" si="260">AG65</f>
        <v>84.1</v>
      </c>
      <c r="AI65" s="243">
        <f t="shared" ref="AI65:AI67" si="261">AH65</f>
        <v>84.1</v>
      </c>
    </row>
    <row r="66" spans="2:35" s="65" customFormat="1" x14ac:dyDescent="0.3">
      <c r="B66" s="264" t="s">
        <v>94</v>
      </c>
      <c r="C66" s="65">
        <v>795.1</v>
      </c>
      <c r="D66" s="15">
        <f t="shared" si="243"/>
        <v>795.1</v>
      </c>
      <c r="E66" s="16">
        <v>795.1</v>
      </c>
      <c r="F66" s="65">
        <v>834.8</v>
      </c>
      <c r="G66" s="15">
        <f t="shared" si="244"/>
        <v>834.8</v>
      </c>
      <c r="H66" s="16">
        <v>834.8</v>
      </c>
      <c r="I66" s="65">
        <v>981</v>
      </c>
      <c r="J66" s="15">
        <f t="shared" si="245"/>
        <v>857.4</v>
      </c>
      <c r="K66" s="16">
        <v>857.4</v>
      </c>
      <c r="L66" s="66">
        <v>934.7</v>
      </c>
      <c r="M66" s="15">
        <f t="shared" si="246"/>
        <v>773.6</v>
      </c>
      <c r="N66" s="16">
        <v>773.6</v>
      </c>
      <c r="O66" s="66">
        <v>823.6</v>
      </c>
      <c r="P66" s="15">
        <f t="shared" si="247"/>
        <v>823.6</v>
      </c>
      <c r="Q66" s="16">
        <v>823.6</v>
      </c>
      <c r="R66" s="66">
        <v>883.1</v>
      </c>
      <c r="S66" s="15">
        <f t="shared" si="248"/>
        <v>883.1</v>
      </c>
      <c r="T66" s="16">
        <v>883.1</v>
      </c>
      <c r="U66" s="66">
        <v>901.5</v>
      </c>
      <c r="V66" s="15">
        <f t="shared" ref="V66:W66" si="262">U66</f>
        <v>901.5</v>
      </c>
      <c r="W66" s="16">
        <f t="shared" si="262"/>
        <v>901.5</v>
      </c>
      <c r="X66" s="65">
        <f t="shared" si="250"/>
        <v>901.5</v>
      </c>
      <c r="Y66" s="15">
        <f t="shared" si="251"/>
        <v>901.5</v>
      </c>
      <c r="Z66" s="16">
        <f t="shared" si="252"/>
        <v>901.5</v>
      </c>
      <c r="AA66" s="65">
        <f t="shared" si="253"/>
        <v>901.5</v>
      </c>
      <c r="AB66" s="15">
        <f t="shared" si="254"/>
        <v>901.5</v>
      </c>
      <c r="AC66" s="16">
        <f t="shared" si="255"/>
        <v>901.5</v>
      </c>
      <c r="AD66" s="65">
        <f t="shared" si="256"/>
        <v>901.5</v>
      </c>
      <c r="AE66" s="15">
        <f t="shared" si="257"/>
        <v>901.5</v>
      </c>
      <c r="AF66" s="16">
        <f t="shared" si="258"/>
        <v>901.5</v>
      </c>
      <c r="AG66" s="65">
        <f t="shared" si="259"/>
        <v>901.5</v>
      </c>
      <c r="AH66" s="15">
        <f t="shared" si="260"/>
        <v>901.5</v>
      </c>
      <c r="AI66" s="243">
        <f t="shared" si="261"/>
        <v>901.5</v>
      </c>
    </row>
    <row r="67" spans="2:35" s="65" customFormat="1" x14ac:dyDescent="0.3">
      <c r="B67" s="264" t="s">
        <v>95</v>
      </c>
      <c r="C67" s="65">
        <v>-35</v>
      </c>
      <c r="D67" s="15">
        <f t="shared" si="243"/>
        <v>-30</v>
      </c>
      <c r="E67" s="16">
        <v>-30</v>
      </c>
      <c r="F67" s="65">
        <v>-27.5</v>
      </c>
      <c r="G67" s="15">
        <f t="shared" si="244"/>
        <v>-25.1</v>
      </c>
      <c r="H67" s="16">
        <v>-25.1</v>
      </c>
      <c r="I67" s="65">
        <v>-172.4</v>
      </c>
      <c r="J67" s="15">
        <f t="shared" si="245"/>
        <v>-58.7</v>
      </c>
      <c r="K67" s="16">
        <v>-58.7</v>
      </c>
      <c r="L67" s="66">
        <v>-120.2</v>
      </c>
      <c r="M67" s="15">
        <f t="shared" si="246"/>
        <v>-50.9</v>
      </c>
      <c r="N67" s="16">
        <v>-50.9</v>
      </c>
      <c r="O67" s="66">
        <v>-50.9</v>
      </c>
      <c r="P67" s="15">
        <f t="shared" si="247"/>
        <v>-47</v>
      </c>
      <c r="Q67" s="16">
        <v>-47</v>
      </c>
      <c r="R67" s="66">
        <v>-47</v>
      </c>
      <c r="S67" s="15">
        <f t="shared" si="248"/>
        <v>-43.4</v>
      </c>
      <c r="T67" s="16">
        <v>-43.4</v>
      </c>
      <c r="U67" s="66">
        <v>-40.5</v>
      </c>
      <c r="V67" s="15">
        <f t="shared" ref="V67:W71" si="263">U67</f>
        <v>-40.5</v>
      </c>
      <c r="W67" s="16">
        <f t="shared" si="263"/>
        <v>-40.5</v>
      </c>
      <c r="X67" s="65">
        <f t="shared" si="250"/>
        <v>-40.5</v>
      </c>
      <c r="Y67" s="15">
        <f t="shared" si="251"/>
        <v>-40.5</v>
      </c>
      <c r="Z67" s="16">
        <f t="shared" si="252"/>
        <v>-40.5</v>
      </c>
      <c r="AA67" s="65">
        <f t="shared" si="253"/>
        <v>-40.5</v>
      </c>
      <c r="AB67" s="15">
        <f t="shared" si="254"/>
        <v>-40.5</v>
      </c>
      <c r="AC67" s="16">
        <f t="shared" si="255"/>
        <v>-40.5</v>
      </c>
      <c r="AD67" s="65">
        <f t="shared" si="256"/>
        <v>-40.5</v>
      </c>
      <c r="AE67" s="15">
        <f t="shared" si="257"/>
        <v>-40.5</v>
      </c>
      <c r="AF67" s="16">
        <f t="shared" si="258"/>
        <v>-40.5</v>
      </c>
      <c r="AG67" s="65">
        <f t="shared" si="259"/>
        <v>-40.5</v>
      </c>
      <c r="AH67" s="15">
        <f t="shared" si="260"/>
        <v>-40.5</v>
      </c>
      <c r="AI67" s="243">
        <f t="shared" si="261"/>
        <v>-40.5</v>
      </c>
    </row>
    <row r="68" spans="2:35" s="65" customFormat="1" x14ac:dyDescent="0.3">
      <c r="B68" s="264" t="s">
        <v>96</v>
      </c>
      <c r="C68" s="65">
        <v>519</v>
      </c>
      <c r="D68" s="15">
        <f t="shared" si="243"/>
        <v>534.4</v>
      </c>
      <c r="E68" s="16">
        <v>534.4</v>
      </c>
      <c r="F68" s="65">
        <v>558.9</v>
      </c>
      <c r="G68" s="15">
        <f t="shared" si="244"/>
        <v>635.29999999999995</v>
      </c>
      <c r="H68" s="16">
        <v>635.29999999999995</v>
      </c>
      <c r="I68" s="65">
        <v>666.9</v>
      </c>
      <c r="J68" s="15">
        <f t="shared" si="245"/>
        <v>748.4</v>
      </c>
      <c r="K68" s="16">
        <v>748.4</v>
      </c>
      <c r="L68" s="66">
        <v>800</v>
      </c>
      <c r="M68" s="15">
        <f t="shared" si="246"/>
        <v>920.7</v>
      </c>
      <c r="N68" s="16">
        <v>920.7</v>
      </c>
      <c r="O68" s="66">
        <v>889.7</v>
      </c>
      <c r="P68" s="15">
        <f t="shared" si="247"/>
        <v>954</v>
      </c>
      <c r="Q68" s="16">
        <v>954</v>
      </c>
      <c r="R68" s="66">
        <v>950.3</v>
      </c>
      <c r="S68" s="15">
        <f t="shared" si="248"/>
        <v>972.1</v>
      </c>
      <c r="T68" s="16">
        <v>972.1</v>
      </c>
      <c r="U68" s="66">
        <v>957.8</v>
      </c>
      <c r="V68" s="15">
        <f>Schedules!V49</f>
        <v>1035.0346399999999</v>
      </c>
      <c r="W68" s="16">
        <f>Schedules!W49</f>
        <v>1035.0346399999999</v>
      </c>
      <c r="X68" s="65">
        <f>Schedules!X49</f>
        <v>1116.9111999999998</v>
      </c>
      <c r="Y68" s="15">
        <f>Schedules!Y49</f>
        <v>1198.4317015999998</v>
      </c>
      <c r="Z68" s="16">
        <f>Schedules!Z49</f>
        <v>1198.4317015999998</v>
      </c>
      <c r="AA68" s="65">
        <f>Schedules!AA49</f>
        <v>1284.7977527999999</v>
      </c>
      <c r="AB68" s="15">
        <f>Schedules!AB49</f>
        <v>1370.865093824</v>
      </c>
      <c r="AC68" s="16">
        <f>Schedules!AC49</f>
        <v>1370.8650938239998</v>
      </c>
      <c r="AD68" s="65">
        <f>Schedules!AD49</f>
        <v>1461.8778595839999</v>
      </c>
      <c r="AE68" s="15">
        <f>Schedules!AE49</f>
        <v>1552.6606753049598</v>
      </c>
      <c r="AF68" s="16">
        <f>Schedules!AF49</f>
        <v>1552.6606753049598</v>
      </c>
      <c r="AG68" s="65">
        <f>Schedules!AG49</f>
        <v>1650.0048042470398</v>
      </c>
      <c r="AH68" s="15">
        <f>Schedules!AH49</f>
        <v>1747.8337487503616</v>
      </c>
      <c r="AI68" s="243">
        <f>Schedules!AI49</f>
        <v>1747.8337487503616</v>
      </c>
    </row>
    <row r="69" spans="2:35" s="65" customFormat="1" x14ac:dyDescent="0.3">
      <c r="B69" s="264" t="s">
        <v>97</v>
      </c>
      <c r="C69" s="65">
        <v>23</v>
      </c>
      <c r="D69" s="15">
        <f t="shared" si="243"/>
        <v>22.7</v>
      </c>
      <c r="E69" s="16">
        <v>22.7</v>
      </c>
      <c r="F69" s="65">
        <v>17.8</v>
      </c>
      <c r="G69" s="15">
        <f t="shared" si="244"/>
        <v>22.6</v>
      </c>
      <c r="H69" s="16">
        <v>22.6</v>
      </c>
      <c r="I69" s="65">
        <v>26.3</v>
      </c>
      <c r="J69" s="15">
        <f t="shared" si="245"/>
        <v>31.8</v>
      </c>
      <c r="K69" s="16">
        <v>31.8</v>
      </c>
      <c r="L69" s="66">
        <v>41.9</v>
      </c>
      <c r="M69" s="15">
        <f t="shared" si="246"/>
        <v>29.8</v>
      </c>
      <c r="N69" s="16">
        <v>29.8</v>
      </c>
      <c r="O69" s="66">
        <v>33.299999999999997</v>
      </c>
      <c r="P69" s="15">
        <f t="shared" si="247"/>
        <v>32.700000000000003</v>
      </c>
      <c r="Q69" s="16">
        <v>32.700000000000003</v>
      </c>
      <c r="R69" s="66">
        <v>29.9</v>
      </c>
      <c r="S69" s="15">
        <f t="shared" si="248"/>
        <v>34.4</v>
      </c>
      <c r="T69" s="16">
        <v>34.4</v>
      </c>
      <c r="U69" s="66">
        <v>20.7</v>
      </c>
      <c r="V69" s="15">
        <f t="shared" si="263"/>
        <v>20.7</v>
      </c>
      <c r="W69" s="16">
        <f t="shared" si="263"/>
        <v>20.7</v>
      </c>
      <c r="X69" s="65">
        <f t="shared" ref="X69" si="264">W69</f>
        <v>20.7</v>
      </c>
      <c r="Y69" s="15">
        <f t="shared" ref="Y69" si="265">X69</f>
        <v>20.7</v>
      </c>
      <c r="Z69" s="16">
        <f t="shared" ref="Z69" si="266">Y69</f>
        <v>20.7</v>
      </c>
      <c r="AA69" s="65">
        <f t="shared" ref="AA69" si="267">Z69</f>
        <v>20.7</v>
      </c>
      <c r="AB69" s="15">
        <f t="shared" ref="AB69" si="268">AA69</f>
        <v>20.7</v>
      </c>
      <c r="AC69" s="16">
        <f t="shared" ref="AC69" si="269">AB69</f>
        <v>20.7</v>
      </c>
      <c r="AD69" s="65">
        <f t="shared" ref="AD69" si="270">AC69</f>
        <v>20.7</v>
      </c>
      <c r="AE69" s="15">
        <f t="shared" ref="AE69" si="271">AD69</f>
        <v>20.7</v>
      </c>
      <c r="AF69" s="16">
        <f t="shared" ref="AF69" si="272">AE69</f>
        <v>20.7</v>
      </c>
      <c r="AG69" s="65">
        <f t="shared" ref="AG69" si="273">AF69</f>
        <v>20.7</v>
      </c>
      <c r="AH69" s="15">
        <f t="shared" ref="AH69" si="274">AG69</f>
        <v>20.7</v>
      </c>
      <c r="AI69" s="243">
        <f t="shared" ref="AI69" si="275">AH69</f>
        <v>20.7</v>
      </c>
    </row>
    <row r="70" spans="2:35" s="65" customFormat="1" x14ac:dyDescent="0.3">
      <c r="B70" s="265" t="s">
        <v>98</v>
      </c>
      <c r="C70" s="25">
        <f>SUM(C65:C69)+0.1</f>
        <v>1382.4</v>
      </c>
      <c r="D70" s="63">
        <f t="shared" ref="D70:M70" si="276">SUM(D65:D69)</f>
        <v>1402.4</v>
      </c>
      <c r="E70" s="64">
        <f t="shared" si="276"/>
        <v>1402.4</v>
      </c>
      <c r="F70" s="25">
        <f>SUM(F65:F69)+0.1</f>
        <v>1464.8999999999999</v>
      </c>
      <c r="G70" s="63">
        <f t="shared" si="276"/>
        <v>1548.3999999999996</v>
      </c>
      <c r="H70" s="64">
        <f t="shared" si="276"/>
        <v>1548.3999999999996</v>
      </c>
      <c r="I70" s="25">
        <f t="shared" si="276"/>
        <v>1584.8</v>
      </c>
      <c r="J70" s="63">
        <f t="shared" si="276"/>
        <v>1660.6999999999998</v>
      </c>
      <c r="K70" s="64">
        <f t="shared" si="276"/>
        <v>1660.6999999999998</v>
      </c>
      <c r="L70" s="68">
        <f t="shared" si="276"/>
        <v>1739.2</v>
      </c>
      <c r="M70" s="63">
        <f t="shared" si="276"/>
        <v>1754.5</v>
      </c>
      <c r="N70" s="64">
        <f>SUM(N65:N69)-0.1</f>
        <v>1754.4</v>
      </c>
      <c r="O70" s="68">
        <f>SUM(O65:O69)</f>
        <v>1777.7</v>
      </c>
      <c r="P70" s="63">
        <f t="shared" ref="P70" si="277">SUM(P65:P69)</f>
        <v>1845.3</v>
      </c>
      <c r="Q70" s="64">
        <f>SUM(Q65:Q69)-0.1</f>
        <v>1845.2</v>
      </c>
      <c r="R70" s="68">
        <f>SUM(R65:R69)</f>
        <v>1899.8000000000002</v>
      </c>
      <c r="S70" s="63">
        <f t="shared" ref="S70" si="278">SUM(S65:S69)</f>
        <v>1929.7000000000003</v>
      </c>
      <c r="T70" s="64">
        <f>SUM(T65:T69)</f>
        <v>1929.7000000000003</v>
      </c>
      <c r="U70" s="68">
        <f>SUM(U65:U69)</f>
        <v>1923.6000000000001</v>
      </c>
      <c r="V70" s="63">
        <f t="shared" ref="V70:W70" si="279">SUM(V65:V69)</f>
        <v>2000.8346399999998</v>
      </c>
      <c r="W70" s="64">
        <f t="shared" si="279"/>
        <v>2000.8346399999998</v>
      </c>
      <c r="X70" s="25">
        <f t="shared" ref="X70:AI70" si="280">SUM(X65:X69)</f>
        <v>2082.7111999999997</v>
      </c>
      <c r="Y70" s="63">
        <f t="shared" si="280"/>
        <v>2164.2317015999997</v>
      </c>
      <c r="Z70" s="64">
        <f t="shared" si="280"/>
        <v>2164.2317015999997</v>
      </c>
      <c r="AA70" s="25">
        <f t="shared" si="280"/>
        <v>2250.5977527999999</v>
      </c>
      <c r="AB70" s="63">
        <f t="shared" si="280"/>
        <v>2336.665093824</v>
      </c>
      <c r="AC70" s="64">
        <f t="shared" si="280"/>
        <v>2336.6650938239995</v>
      </c>
      <c r="AD70" s="25">
        <f t="shared" si="280"/>
        <v>2427.6778595839996</v>
      </c>
      <c r="AE70" s="63">
        <f t="shared" si="280"/>
        <v>2518.4606753049598</v>
      </c>
      <c r="AF70" s="64">
        <f t="shared" si="280"/>
        <v>2518.4606753049598</v>
      </c>
      <c r="AG70" s="25">
        <f t="shared" si="280"/>
        <v>2615.8048042470396</v>
      </c>
      <c r="AH70" s="63">
        <f t="shared" si="280"/>
        <v>2713.6337487503615</v>
      </c>
      <c r="AI70" s="246">
        <f t="shared" si="280"/>
        <v>2713.6337487503615</v>
      </c>
    </row>
    <row r="71" spans="2:35" s="65" customFormat="1" x14ac:dyDescent="0.3">
      <c r="B71" s="264" t="s">
        <v>99</v>
      </c>
      <c r="C71" s="65">
        <v>1</v>
      </c>
      <c r="D71" s="15">
        <f t="shared" ref="D71" si="281">E71</f>
        <v>0.9</v>
      </c>
      <c r="E71" s="16">
        <v>0.9</v>
      </c>
      <c r="F71" s="65">
        <v>0.8</v>
      </c>
      <c r="G71" s="15">
        <f t="shared" ref="G71" si="282">H71</f>
        <v>0.8</v>
      </c>
      <c r="H71" s="16">
        <v>0.8</v>
      </c>
      <c r="I71" s="65">
        <v>0.8</v>
      </c>
      <c r="J71" s="15">
        <f t="shared" ref="J71" si="283">K71</f>
        <v>1</v>
      </c>
      <c r="K71" s="16">
        <v>1</v>
      </c>
      <c r="L71" s="66">
        <v>1</v>
      </c>
      <c r="M71" s="15">
        <f t="shared" ref="M71" si="284">N71</f>
        <v>0.7</v>
      </c>
      <c r="N71" s="16">
        <v>0.7</v>
      </c>
      <c r="O71" s="66">
        <v>0.5</v>
      </c>
      <c r="P71" s="15">
        <f t="shared" ref="P71" si="285">Q71</f>
        <v>0.3</v>
      </c>
      <c r="Q71" s="16">
        <v>0.3</v>
      </c>
      <c r="R71" s="66">
        <v>0</v>
      </c>
      <c r="S71" s="15">
        <f t="shared" ref="S71" si="286">T71</f>
        <v>-0.4</v>
      </c>
      <c r="T71" s="16">
        <v>-0.4</v>
      </c>
      <c r="U71" s="66">
        <v>0.9</v>
      </c>
      <c r="V71" s="15">
        <f t="shared" si="263"/>
        <v>0.9</v>
      </c>
      <c r="W71" s="16">
        <f t="shared" si="263"/>
        <v>0.9</v>
      </c>
      <c r="X71" s="65">
        <f t="shared" ref="X71" si="287">W71</f>
        <v>0.9</v>
      </c>
      <c r="Y71" s="15">
        <f t="shared" ref="Y71" si="288">X71</f>
        <v>0.9</v>
      </c>
      <c r="Z71" s="16">
        <f t="shared" ref="Z71" si="289">Y71</f>
        <v>0.9</v>
      </c>
      <c r="AA71" s="65">
        <f t="shared" ref="AA71" si="290">Z71</f>
        <v>0.9</v>
      </c>
      <c r="AB71" s="15">
        <f t="shared" ref="AB71" si="291">AA71</f>
        <v>0.9</v>
      </c>
      <c r="AC71" s="16">
        <f t="shared" ref="AC71" si="292">AB71</f>
        <v>0.9</v>
      </c>
      <c r="AD71" s="65">
        <f t="shared" ref="AD71" si="293">AC71</f>
        <v>0.9</v>
      </c>
      <c r="AE71" s="15">
        <f t="shared" ref="AE71" si="294">AD71</f>
        <v>0.9</v>
      </c>
      <c r="AF71" s="16">
        <f t="shared" ref="AF71" si="295">AE71</f>
        <v>0.9</v>
      </c>
      <c r="AG71" s="65">
        <f t="shared" ref="AG71" si="296">AF71</f>
        <v>0.9</v>
      </c>
      <c r="AH71" s="15">
        <f t="shared" ref="AH71" si="297">AG71</f>
        <v>0.9</v>
      </c>
      <c r="AI71" s="243">
        <f t="shared" ref="AI71" si="298">AH71</f>
        <v>0.9</v>
      </c>
    </row>
    <row r="72" spans="2:35" s="25" customFormat="1" x14ac:dyDescent="0.3">
      <c r="B72" s="265" t="s">
        <v>100</v>
      </c>
      <c r="C72" s="25">
        <f t="shared" ref="C72:M72" si="299">C70+C71</f>
        <v>1383.4</v>
      </c>
      <c r="D72" s="63">
        <f t="shared" si="299"/>
        <v>1403.3000000000002</v>
      </c>
      <c r="E72" s="64">
        <f t="shared" si="299"/>
        <v>1403.3000000000002</v>
      </c>
      <c r="F72" s="25">
        <f>F70+F71</f>
        <v>1465.6999999999998</v>
      </c>
      <c r="G72" s="63">
        <f t="shared" si="299"/>
        <v>1549.1999999999996</v>
      </c>
      <c r="H72" s="64">
        <f t="shared" si="299"/>
        <v>1549.1999999999996</v>
      </c>
      <c r="I72" s="25">
        <f>I70+I71-0.1</f>
        <v>1585.5</v>
      </c>
      <c r="J72" s="63">
        <f t="shared" si="299"/>
        <v>1661.6999999999998</v>
      </c>
      <c r="K72" s="64">
        <f t="shared" si="299"/>
        <v>1661.6999999999998</v>
      </c>
      <c r="L72" s="68">
        <f t="shared" si="299"/>
        <v>1740.2</v>
      </c>
      <c r="M72" s="63">
        <f t="shared" si="299"/>
        <v>1755.2</v>
      </c>
      <c r="N72" s="64">
        <f>N70+N71</f>
        <v>1755.1000000000001</v>
      </c>
      <c r="O72" s="68">
        <f>O70+O71</f>
        <v>1778.2</v>
      </c>
      <c r="P72" s="63">
        <f t="shared" ref="P72" si="300">P70+P71</f>
        <v>1845.6</v>
      </c>
      <c r="Q72" s="64">
        <f>Q70+Q71</f>
        <v>1845.5</v>
      </c>
      <c r="R72" s="68">
        <f>R70+R71</f>
        <v>1899.8000000000002</v>
      </c>
      <c r="S72" s="63">
        <f t="shared" ref="S72" si="301">S70+S71</f>
        <v>1929.3000000000002</v>
      </c>
      <c r="T72" s="64">
        <f>T70+T71</f>
        <v>1929.3000000000002</v>
      </c>
      <c r="U72" s="68">
        <f>U70+U71</f>
        <v>1924.5000000000002</v>
      </c>
      <c r="V72" s="63">
        <f>V70+V71</f>
        <v>2001.7346399999999</v>
      </c>
      <c r="W72" s="64">
        <f>W70+W71</f>
        <v>2001.7346399999999</v>
      </c>
      <c r="X72" s="25">
        <f t="shared" ref="X72:AI72" si="302">X70+X71</f>
        <v>2083.6111999999998</v>
      </c>
      <c r="Y72" s="63">
        <f t="shared" si="302"/>
        <v>2165.1317015999998</v>
      </c>
      <c r="Z72" s="64">
        <f t="shared" si="302"/>
        <v>2165.1317015999998</v>
      </c>
      <c r="AA72" s="25">
        <f t="shared" si="302"/>
        <v>2251.4977527999999</v>
      </c>
      <c r="AB72" s="63">
        <f t="shared" si="302"/>
        <v>2337.5650938240001</v>
      </c>
      <c r="AC72" s="64">
        <f t="shared" si="302"/>
        <v>2337.5650938239996</v>
      </c>
      <c r="AD72" s="25">
        <f t="shared" si="302"/>
        <v>2428.5778595839997</v>
      </c>
      <c r="AE72" s="63">
        <f t="shared" si="302"/>
        <v>2519.3606753049598</v>
      </c>
      <c r="AF72" s="64">
        <f t="shared" si="302"/>
        <v>2519.3606753049598</v>
      </c>
      <c r="AG72" s="25">
        <f t="shared" si="302"/>
        <v>2616.7048042470396</v>
      </c>
      <c r="AH72" s="63">
        <f t="shared" si="302"/>
        <v>2714.5337487503616</v>
      </c>
      <c r="AI72" s="246">
        <f t="shared" si="302"/>
        <v>2714.5337487503616</v>
      </c>
    </row>
    <row r="73" spans="2:35" s="65" customFormat="1" x14ac:dyDescent="0.3">
      <c r="B73" s="264"/>
      <c r="D73" s="15"/>
      <c r="E73" s="16"/>
      <c r="G73" s="15"/>
      <c r="H73" s="16"/>
      <c r="J73" s="15"/>
      <c r="K73" s="16"/>
      <c r="L73" s="66"/>
      <c r="M73" s="15"/>
      <c r="N73" s="16"/>
      <c r="O73" s="66"/>
      <c r="P73" s="15"/>
      <c r="Q73" s="16"/>
      <c r="R73" s="66"/>
      <c r="S73" s="15"/>
      <c r="T73" s="16"/>
      <c r="U73" s="66"/>
      <c r="V73" s="15"/>
      <c r="W73" s="16"/>
      <c r="Y73" s="15"/>
      <c r="Z73" s="16"/>
      <c r="AB73" s="15"/>
      <c r="AC73" s="16"/>
      <c r="AE73" s="15"/>
      <c r="AF73" s="16"/>
      <c r="AH73" s="15"/>
      <c r="AI73" s="243"/>
    </row>
    <row r="74" spans="2:35" s="65" customFormat="1" x14ac:dyDescent="0.3">
      <c r="B74" s="264" t="s">
        <v>101</v>
      </c>
      <c r="C74" s="65">
        <v>521.6</v>
      </c>
      <c r="D74" s="15">
        <f t="shared" ref="D74:D77" si="303">E74</f>
        <v>452</v>
      </c>
      <c r="E74" s="16">
        <v>452</v>
      </c>
      <c r="F74" s="65">
        <v>449.7</v>
      </c>
      <c r="G74" s="15">
        <f t="shared" ref="G74:G77" si="304">H74</f>
        <v>423.8</v>
      </c>
      <c r="H74" s="16">
        <v>423.8</v>
      </c>
      <c r="I74" s="65">
        <v>334.7</v>
      </c>
      <c r="J74" s="15">
        <f t="shared" ref="J74:J77" si="305">K74</f>
        <v>363.9</v>
      </c>
      <c r="K74" s="16">
        <v>363.9</v>
      </c>
      <c r="L74" s="66">
        <v>319.3</v>
      </c>
      <c r="M74" s="15">
        <f t="shared" ref="M74:M77" si="306">N74</f>
        <v>325.10000000000002</v>
      </c>
      <c r="N74" s="16">
        <v>325.10000000000002</v>
      </c>
      <c r="O74" s="66">
        <v>691.5</v>
      </c>
      <c r="P74" s="15">
        <f t="shared" ref="P74:P77" si="307">Q74</f>
        <v>514.9</v>
      </c>
      <c r="Q74" s="16">
        <v>514.9</v>
      </c>
      <c r="R74" s="66">
        <v>511.4</v>
      </c>
      <c r="S74" s="15">
        <f t="shared" ref="S74:S77" si="308">T74</f>
        <v>562.5</v>
      </c>
      <c r="T74" s="16">
        <v>562.5</v>
      </c>
      <c r="U74" s="66">
        <v>587.29999999999995</v>
      </c>
      <c r="V74" s="15">
        <f>Schedules!V70</f>
        <v>577.29999999999995</v>
      </c>
      <c r="W74" s="16">
        <f>Schedules!W70</f>
        <v>577.29999999999995</v>
      </c>
      <c r="X74" s="65">
        <f>Schedules!X70</f>
        <v>557.29999999999995</v>
      </c>
      <c r="Y74" s="15">
        <f>Schedules!Y70</f>
        <v>547.29999999999995</v>
      </c>
      <c r="Z74" s="16">
        <f>Schedules!Z70</f>
        <v>547.29999999999995</v>
      </c>
      <c r="AA74" s="65">
        <f>Schedules!AA70</f>
        <v>527.29999999999995</v>
      </c>
      <c r="AB74" s="15">
        <f>Schedules!AB70</f>
        <v>517.29999999999995</v>
      </c>
      <c r="AC74" s="16">
        <f>Schedules!AC70</f>
        <v>517.29999999999995</v>
      </c>
      <c r="AD74" s="65">
        <f>Schedules!AD70</f>
        <v>497.29999999999995</v>
      </c>
      <c r="AE74" s="15">
        <f>Schedules!AE70</f>
        <v>487.29999999999995</v>
      </c>
      <c r="AF74" s="16">
        <f>Schedules!AF70</f>
        <v>487.29999999999995</v>
      </c>
      <c r="AG74" s="65">
        <f>Schedules!AG70</f>
        <v>467.29999999999995</v>
      </c>
      <c r="AH74" s="15">
        <f>Schedules!AH70</f>
        <v>457.29999999999995</v>
      </c>
      <c r="AI74" s="243">
        <f>Schedules!AI70</f>
        <v>457.29999999999995</v>
      </c>
    </row>
    <row r="75" spans="2:35" s="65" customFormat="1" x14ac:dyDescent="0.3">
      <c r="B75" s="264" t="s">
        <v>102</v>
      </c>
      <c r="C75" s="65">
        <v>32.700000000000003</v>
      </c>
      <c r="D75" s="15">
        <f t="shared" si="303"/>
        <v>30.3</v>
      </c>
      <c r="E75" s="16">
        <v>30.3</v>
      </c>
      <c r="F75" s="65">
        <v>29.8</v>
      </c>
      <c r="G75" s="15">
        <f t="shared" si="304"/>
        <v>29.1</v>
      </c>
      <c r="H75" s="16">
        <v>29.1</v>
      </c>
      <c r="I75" s="65">
        <v>29.4</v>
      </c>
      <c r="J75" s="15">
        <f t="shared" si="305"/>
        <v>26.4</v>
      </c>
      <c r="K75" s="16">
        <v>26.4</v>
      </c>
      <c r="L75" s="66">
        <v>24.6</v>
      </c>
      <c r="M75" s="15">
        <f t="shared" si="306"/>
        <v>19</v>
      </c>
      <c r="N75" s="16">
        <v>19</v>
      </c>
      <c r="O75" s="66">
        <v>19.399999999999999</v>
      </c>
      <c r="P75" s="15">
        <f t="shared" si="307"/>
        <v>20.2</v>
      </c>
      <c r="Q75" s="16">
        <v>20.2</v>
      </c>
      <c r="R75" s="66">
        <v>20.5</v>
      </c>
      <c r="S75" s="15">
        <f t="shared" si="308"/>
        <v>18</v>
      </c>
      <c r="T75" s="16">
        <v>18</v>
      </c>
      <c r="U75" s="66">
        <v>18</v>
      </c>
      <c r="V75" s="15">
        <f t="shared" ref="V75:W75" si="309">U75</f>
        <v>18</v>
      </c>
      <c r="W75" s="16">
        <f t="shared" si="309"/>
        <v>18</v>
      </c>
      <c r="X75" s="65">
        <f t="shared" ref="X75:X77" si="310">W75</f>
        <v>18</v>
      </c>
      <c r="Y75" s="15">
        <f t="shared" ref="Y75:Y77" si="311">X75</f>
        <v>18</v>
      </c>
      <c r="Z75" s="16">
        <f t="shared" ref="Z75:Z77" si="312">Y75</f>
        <v>18</v>
      </c>
      <c r="AA75" s="65">
        <f t="shared" ref="AA75:AA77" si="313">Z75</f>
        <v>18</v>
      </c>
      <c r="AB75" s="15">
        <f t="shared" ref="AB75:AB77" si="314">AA75</f>
        <v>18</v>
      </c>
      <c r="AC75" s="16">
        <f t="shared" ref="AC75:AC77" si="315">AB75</f>
        <v>18</v>
      </c>
      <c r="AD75" s="65">
        <f t="shared" ref="AD75:AD77" si="316">AC75</f>
        <v>18</v>
      </c>
      <c r="AE75" s="15">
        <f t="shared" ref="AE75:AE77" si="317">AD75</f>
        <v>18</v>
      </c>
      <c r="AF75" s="16">
        <f t="shared" ref="AF75:AF77" si="318">AE75</f>
        <v>18</v>
      </c>
      <c r="AG75" s="65">
        <f t="shared" ref="AG75:AG77" si="319">AF75</f>
        <v>18</v>
      </c>
      <c r="AH75" s="15">
        <f t="shared" ref="AH75:AH77" si="320">AG75</f>
        <v>18</v>
      </c>
      <c r="AI75" s="243">
        <f t="shared" ref="AI75:AI77" si="321">AH75</f>
        <v>18</v>
      </c>
    </row>
    <row r="76" spans="2:35" s="65" customFormat="1" x14ac:dyDescent="0.3">
      <c r="B76" s="264" t="s">
        <v>103</v>
      </c>
      <c r="C76" s="65">
        <v>2</v>
      </c>
      <c r="D76" s="15">
        <f t="shared" si="303"/>
        <v>2.2000000000000002</v>
      </c>
      <c r="E76" s="16">
        <v>2.2000000000000002</v>
      </c>
      <c r="F76" s="65">
        <v>1.9</v>
      </c>
      <c r="G76" s="15">
        <f t="shared" si="304"/>
        <v>2.1</v>
      </c>
      <c r="H76" s="16">
        <v>2.1</v>
      </c>
      <c r="I76" s="65">
        <v>3.4</v>
      </c>
      <c r="J76" s="15">
        <f t="shared" si="305"/>
        <v>3.3</v>
      </c>
      <c r="K76" s="16">
        <v>3.3</v>
      </c>
      <c r="L76" s="66">
        <v>3.1</v>
      </c>
      <c r="M76" s="15">
        <f t="shared" si="306"/>
        <v>1.1000000000000001</v>
      </c>
      <c r="N76" s="16">
        <v>1.1000000000000001</v>
      </c>
      <c r="O76" s="66">
        <v>0.8</v>
      </c>
      <c r="P76" s="15">
        <f t="shared" si="307"/>
        <v>0.7</v>
      </c>
      <c r="Q76" s="16">
        <v>0.7</v>
      </c>
      <c r="R76" s="66">
        <v>0.8</v>
      </c>
      <c r="S76" s="15">
        <f t="shared" si="308"/>
        <v>0.7</v>
      </c>
      <c r="T76" s="16">
        <v>0.7</v>
      </c>
      <c r="U76" s="66">
        <v>0.6</v>
      </c>
      <c r="V76" s="15">
        <f t="shared" ref="V76:W76" si="322">U76</f>
        <v>0.6</v>
      </c>
      <c r="W76" s="16">
        <f t="shared" si="322"/>
        <v>0.6</v>
      </c>
      <c r="X76" s="65">
        <f t="shared" si="310"/>
        <v>0.6</v>
      </c>
      <c r="Y76" s="15">
        <f t="shared" si="311"/>
        <v>0.6</v>
      </c>
      <c r="Z76" s="16">
        <f t="shared" si="312"/>
        <v>0.6</v>
      </c>
      <c r="AA76" s="65">
        <f t="shared" si="313"/>
        <v>0.6</v>
      </c>
      <c r="AB76" s="15">
        <f t="shared" si="314"/>
        <v>0.6</v>
      </c>
      <c r="AC76" s="16">
        <f t="shared" si="315"/>
        <v>0.6</v>
      </c>
      <c r="AD76" s="65">
        <f t="shared" si="316"/>
        <v>0.6</v>
      </c>
      <c r="AE76" s="15">
        <f t="shared" si="317"/>
        <v>0.6</v>
      </c>
      <c r="AF76" s="16">
        <f t="shared" si="318"/>
        <v>0.6</v>
      </c>
      <c r="AG76" s="65">
        <f t="shared" si="319"/>
        <v>0.6</v>
      </c>
      <c r="AH76" s="15">
        <f t="shared" si="320"/>
        <v>0.6</v>
      </c>
      <c r="AI76" s="243">
        <f t="shared" si="321"/>
        <v>0.6</v>
      </c>
    </row>
    <row r="77" spans="2:35" s="65" customFormat="1" x14ac:dyDescent="0.3">
      <c r="B77" s="264" t="s">
        <v>104</v>
      </c>
      <c r="C77" s="65">
        <v>47.3</v>
      </c>
      <c r="D77" s="15">
        <f t="shared" si="303"/>
        <v>59.4</v>
      </c>
      <c r="E77" s="16">
        <v>59.4</v>
      </c>
      <c r="F77" s="65">
        <v>44.4</v>
      </c>
      <c r="G77" s="15">
        <f t="shared" si="304"/>
        <v>57.1</v>
      </c>
      <c r="H77" s="16">
        <v>57.1</v>
      </c>
      <c r="I77" s="65">
        <v>41.1</v>
      </c>
      <c r="J77" s="15">
        <f t="shared" si="305"/>
        <v>56</v>
      </c>
      <c r="K77" s="16">
        <v>56</v>
      </c>
      <c r="L77" s="66">
        <v>42.2</v>
      </c>
      <c r="M77" s="15">
        <f t="shared" si="306"/>
        <v>51.3</v>
      </c>
      <c r="N77" s="16">
        <v>51.3</v>
      </c>
      <c r="O77" s="66">
        <v>46.8</v>
      </c>
      <c r="P77" s="15">
        <f t="shared" si="307"/>
        <v>54.5</v>
      </c>
      <c r="Q77" s="16">
        <v>54.5</v>
      </c>
      <c r="R77" s="66">
        <v>52.7</v>
      </c>
      <c r="S77" s="15">
        <f t="shared" si="308"/>
        <v>48.7</v>
      </c>
      <c r="T77" s="16">
        <v>48.7</v>
      </c>
      <c r="U77" s="66">
        <v>54</v>
      </c>
      <c r="V77" s="15">
        <f t="shared" ref="V77:W77" si="323">U77</f>
        <v>54</v>
      </c>
      <c r="W77" s="16">
        <f t="shared" si="323"/>
        <v>54</v>
      </c>
      <c r="X77" s="65">
        <f t="shared" si="310"/>
        <v>54</v>
      </c>
      <c r="Y77" s="15">
        <f t="shared" si="311"/>
        <v>54</v>
      </c>
      <c r="Z77" s="16">
        <f t="shared" si="312"/>
        <v>54</v>
      </c>
      <c r="AA77" s="65">
        <f t="shared" si="313"/>
        <v>54</v>
      </c>
      <c r="AB77" s="15">
        <f t="shared" si="314"/>
        <v>54</v>
      </c>
      <c r="AC77" s="16">
        <f t="shared" si="315"/>
        <v>54</v>
      </c>
      <c r="AD77" s="65">
        <f t="shared" si="316"/>
        <v>54</v>
      </c>
      <c r="AE77" s="15">
        <f t="shared" si="317"/>
        <v>54</v>
      </c>
      <c r="AF77" s="16">
        <f t="shared" si="318"/>
        <v>54</v>
      </c>
      <c r="AG77" s="65">
        <f t="shared" si="319"/>
        <v>54</v>
      </c>
      <c r="AH77" s="15">
        <f t="shared" si="320"/>
        <v>54</v>
      </c>
      <c r="AI77" s="243">
        <f t="shared" si="321"/>
        <v>54</v>
      </c>
    </row>
    <row r="78" spans="2:35" s="25" customFormat="1" x14ac:dyDescent="0.3">
      <c r="B78" s="265" t="s">
        <v>105</v>
      </c>
      <c r="C78" s="25">
        <f t="shared" ref="C78:M78" si="324">SUM(C74:C77)</f>
        <v>603.6</v>
      </c>
      <c r="D78" s="63">
        <f t="shared" si="324"/>
        <v>543.9</v>
      </c>
      <c r="E78" s="64">
        <f t="shared" si="324"/>
        <v>543.9</v>
      </c>
      <c r="F78" s="25">
        <f>SUM(F74:F77)-0.1</f>
        <v>525.69999999999993</v>
      </c>
      <c r="G78" s="63">
        <f t="shared" si="324"/>
        <v>512.1</v>
      </c>
      <c r="H78" s="64">
        <f t="shared" si="324"/>
        <v>512.1</v>
      </c>
      <c r="I78" s="25">
        <f>SUM(I74:I77)+0.1</f>
        <v>408.7</v>
      </c>
      <c r="J78" s="63">
        <f t="shared" si="324"/>
        <v>449.59999999999997</v>
      </c>
      <c r="K78" s="64">
        <f>SUM(K74:K77)</f>
        <v>449.59999999999997</v>
      </c>
      <c r="L78" s="68">
        <f>SUM(L74:L77)+0.1</f>
        <v>389.30000000000007</v>
      </c>
      <c r="M78" s="63">
        <f t="shared" si="324"/>
        <v>396.50000000000006</v>
      </c>
      <c r="N78" s="64">
        <f>SUM(N74:N77)</f>
        <v>396.50000000000006</v>
      </c>
      <c r="O78" s="68">
        <f>SUM(O74:O77)</f>
        <v>758.49999999999989</v>
      </c>
      <c r="P78" s="63">
        <f t="shared" ref="P78" si="325">SUM(P74:P77)</f>
        <v>590.30000000000007</v>
      </c>
      <c r="Q78" s="64">
        <f>SUM(Q74:Q77)</f>
        <v>590.30000000000007</v>
      </c>
      <c r="R78" s="68">
        <f>SUM(R74:R77)</f>
        <v>585.4</v>
      </c>
      <c r="S78" s="63">
        <f t="shared" ref="S78" si="326">SUM(S74:S77)</f>
        <v>629.90000000000009</v>
      </c>
      <c r="T78" s="64">
        <f>SUM(T74:T77)</f>
        <v>629.90000000000009</v>
      </c>
      <c r="U78" s="68">
        <f>SUM(U74:U77)</f>
        <v>659.9</v>
      </c>
      <c r="V78" s="63">
        <f t="shared" ref="V78:W78" si="327">SUM(V74:V77)</f>
        <v>649.9</v>
      </c>
      <c r="W78" s="64">
        <f t="shared" si="327"/>
        <v>649.9</v>
      </c>
      <c r="X78" s="25">
        <f t="shared" ref="X78:AI78" si="328">SUM(X74:X77)</f>
        <v>629.9</v>
      </c>
      <c r="Y78" s="63">
        <f t="shared" si="328"/>
        <v>619.9</v>
      </c>
      <c r="Z78" s="64">
        <f t="shared" si="328"/>
        <v>619.9</v>
      </c>
      <c r="AA78" s="25">
        <f t="shared" si="328"/>
        <v>599.9</v>
      </c>
      <c r="AB78" s="63">
        <f t="shared" si="328"/>
        <v>589.9</v>
      </c>
      <c r="AC78" s="64">
        <f t="shared" si="328"/>
        <v>589.9</v>
      </c>
      <c r="AD78" s="25">
        <f t="shared" si="328"/>
        <v>569.9</v>
      </c>
      <c r="AE78" s="63">
        <f t="shared" si="328"/>
        <v>559.9</v>
      </c>
      <c r="AF78" s="64">
        <f t="shared" si="328"/>
        <v>559.9</v>
      </c>
      <c r="AG78" s="25">
        <f t="shared" si="328"/>
        <v>539.9</v>
      </c>
      <c r="AH78" s="63">
        <f t="shared" si="328"/>
        <v>529.9</v>
      </c>
      <c r="AI78" s="246">
        <f t="shared" si="328"/>
        <v>529.9</v>
      </c>
    </row>
    <row r="79" spans="2:35" s="65" customFormat="1" x14ac:dyDescent="0.3">
      <c r="B79" s="264"/>
      <c r="D79" s="15"/>
      <c r="E79" s="16"/>
      <c r="G79" s="15"/>
      <c r="H79" s="16"/>
      <c r="J79" s="15"/>
      <c r="K79" s="16"/>
      <c r="L79" s="66"/>
      <c r="M79" s="15"/>
      <c r="N79" s="16"/>
      <c r="O79" s="66"/>
      <c r="P79" s="15"/>
      <c r="Q79" s="16"/>
      <c r="R79" s="66"/>
      <c r="S79" s="15"/>
      <c r="T79" s="16"/>
      <c r="U79" s="66"/>
      <c r="V79" s="15"/>
      <c r="W79" s="16"/>
      <c r="Y79" s="15"/>
      <c r="Z79" s="16"/>
      <c r="AB79" s="15"/>
      <c r="AC79" s="16"/>
      <c r="AE79" s="15"/>
      <c r="AF79" s="16"/>
      <c r="AH79" s="15"/>
      <c r="AI79" s="243"/>
    </row>
    <row r="80" spans="2:35" s="65" customFormat="1" x14ac:dyDescent="0.3">
      <c r="B80" s="264" t="s">
        <v>106</v>
      </c>
      <c r="C80" s="65">
        <v>63.3</v>
      </c>
      <c r="D80" s="15">
        <f t="shared" ref="D80:D85" si="329">E80</f>
        <v>268.3</v>
      </c>
      <c r="E80" s="16">
        <v>268.3</v>
      </c>
      <c r="F80" s="65">
        <v>67.2</v>
      </c>
      <c r="G80" s="15">
        <f t="shared" ref="G80:G85" si="330">H80</f>
        <v>91.5</v>
      </c>
      <c r="H80" s="16">
        <v>91.5</v>
      </c>
      <c r="I80" s="65">
        <v>64.099999999999994</v>
      </c>
      <c r="J80" s="15">
        <f t="shared" ref="J80:J85" si="331">K80</f>
        <v>105.7</v>
      </c>
      <c r="K80" s="16">
        <v>105.7</v>
      </c>
      <c r="L80" s="66">
        <v>123.9</v>
      </c>
      <c r="M80" s="15">
        <f t="shared" ref="M80:M85" si="332">N80</f>
        <v>285.3</v>
      </c>
      <c r="N80" s="16">
        <v>285.3</v>
      </c>
      <c r="O80" s="66">
        <v>176.6</v>
      </c>
      <c r="P80" s="15">
        <f t="shared" ref="P80:P85" si="333">Q80</f>
        <v>227.8</v>
      </c>
      <c r="Q80" s="16">
        <v>227.8</v>
      </c>
      <c r="R80" s="66">
        <v>181.5</v>
      </c>
      <c r="S80" s="15">
        <f t="shared" ref="S80:S85" si="334">T80</f>
        <v>196.1</v>
      </c>
      <c r="T80" s="16">
        <v>196.1</v>
      </c>
      <c r="U80" s="66">
        <v>170</v>
      </c>
      <c r="V80" s="15">
        <f t="shared" ref="V80:W85" si="335">U80</f>
        <v>170</v>
      </c>
      <c r="W80" s="16">
        <f t="shared" si="335"/>
        <v>170</v>
      </c>
      <c r="X80" s="65">
        <f t="shared" ref="X80" si="336">W80</f>
        <v>170</v>
      </c>
      <c r="Y80" s="15">
        <f t="shared" ref="Y80" si="337">X80</f>
        <v>170</v>
      </c>
      <c r="Z80" s="16">
        <f t="shared" ref="Z80" si="338">Y80</f>
        <v>170</v>
      </c>
      <c r="AA80" s="65">
        <f t="shared" ref="AA80" si="339">Z80</f>
        <v>170</v>
      </c>
      <c r="AB80" s="15">
        <f t="shared" ref="AB80" si="340">AA80</f>
        <v>170</v>
      </c>
      <c r="AC80" s="16">
        <f t="shared" ref="AC80" si="341">AB80</f>
        <v>170</v>
      </c>
      <c r="AD80" s="65">
        <f t="shared" ref="AD80" si="342">AC80</f>
        <v>170</v>
      </c>
      <c r="AE80" s="15">
        <f t="shared" ref="AE80" si="343">AD80</f>
        <v>170</v>
      </c>
      <c r="AF80" s="16">
        <f t="shared" ref="AF80" si="344">AE80</f>
        <v>170</v>
      </c>
      <c r="AG80" s="65">
        <f t="shared" ref="AG80" si="345">AF80</f>
        <v>170</v>
      </c>
      <c r="AH80" s="15">
        <f t="shared" ref="AH80" si="346">AG80</f>
        <v>170</v>
      </c>
      <c r="AI80" s="243">
        <f t="shared" ref="AI80" si="347">AH80</f>
        <v>170</v>
      </c>
    </row>
    <row r="81" spans="2:35" s="65" customFormat="1" x14ac:dyDescent="0.3">
      <c r="B81" s="264" t="s">
        <v>107</v>
      </c>
      <c r="C81" s="65">
        <v>474.7</v>
      </c>
      <c r="D81" s="15">
        <f t="shared" si="329"/>
        <v>534.4</v>
      </c>
      <c r="E81" s="16">
        <v>534.4</v>
      </c>
      <c r="F81" s="65">
        <v>498.7</v>
      </c>
      <c r="G81" s="15">
        <f t="shared" si="330"/>
        <v>586.1</v>
      </c>
      <c r="H81" s="16">
        <v>586.1</v>
      </c>
      <c r="I81" s="65">
        <v>600.9</v>
      </c>
      <c r="J81" s="15">
        <f t="shared" si="331"/>
        <v>683.3</v>
      </c>
      <c r="K81" s="16">
        <v>683.3</v>
      </c>
      <c r="L81" s="66">
        <v>647.9</v>
      </c>
      <c r="M81" s="15">
        <f t="shared" si="332"/>
        <v>717.5</v>
      </c>
      <c r="N81" s="16">
        <v>717.5</v>
      </c>
      <c r="O81" s="66">
        <v>647.1</v>
      </c>
      <c r="P81" s="15">
        <f t="shared" si="333"/>
        <v>676.3</v>
      </c>
      <c r="Q81" s="16">
        <v>676.3</v>
      </c>
      <c r="R81" s="66">
        <v>634.1</v>
      </c>
      <c r="S81" s="15">
        <f t="shared" si="334"/>
        <v>639.1</v>
      </c>
      <c r="T81" s="16">
        <v>639.1</v>
      </c>
      <c r="U81" s="66">
        <v>629.5</v>
      </c>
      <c r="V81" s="15">
        <f>Schedules!V58</f>
        <v>572.9788493150686</v>
      </c>
      <c r="W81" s="16">
        <f>Schedules!W58</f>
        <v>572.9788493150686</v>
      </c>
      <c r="X81" s="65">
        <f>Schedules!X58</f>
        <v>625.29998904109584</v>
      </c>
      <c r="Y81" s="15">
        <f>Schedules!Y58</f>
        <v>623.38240175342469</v>
      </c>
      <c r="Z81" s="16">
        <f>Schedules!Z58</f>
        <v>623.38240175342469</v>
      </c>
      <c r="AA81" s="65">
        <f>Schedules!AA58</f>
        <v>638.75056918032783</v>
      </c>
      <c r="AB81" s="15">
        <f>Schedules!AB58</f>
        <v>637.05485815081965</v>
      </c>
      <c r="AC81" s="16">
        <f>Schedules!AC58</f>
        <v>637.05485815081965</v>
      </c>
      <c r="AD81" s="65">
        <f>Schedules!AD58</f>
        <v>655.91893935342466</v>
      </c>
      <c r="AE81" s="15">
        <f>Schedules!AE58</f>
        <v>654.46654159745754</v>
      </c>
      <c r="AF81" s="16">
        <f>Schedules!AF58</f>
        <v>654.46654159745754</v>
      </c>
      <c r="AG81" s="65">
        <f>Schedules!AG58</f>
        <v>675.58168111026851</v>
      </c>
      <c r="AH81" s="15">
        <f>Schedules!AH58</f>
        <v>676.4058380164945</v>
      </c>
      <c r="AI81" s="243">
        <f>Schedules!AI58</f>
        <v>676.4058380164945</v>
      </c>
    </row>
    <row r="82" spans="2:35" s="65" customFormat="1" x14ac:dyDescent="0.3">
      <c r="B82" s="264" t="s">
        <v>108</v>
      </c>
      <c r="C82" s="65">
        <v>0</v>
      </c>
      <c r="D82" s="15">
        <f t="shared" si="329"/>
        <v>0</v>
      </c>
      <c r="E82" s="16">
        <v>0</v>
      </c>
      <c r="F82" s="65">
        <v>9.6</v>
      </c>
      <c r="G82" s="15">
        <f t="shared" si="330"/>
        <v>0</v>
      </c>
      <c r="H82" s="16">
        <v>0</v>
      </c>
      <c r="I82" s="65">
        <v>93.7</v>
      </c>
      <c r="J82" s="15">
        <f t="shared" si="331"/>
        <v>0</v>
      </c>
      <c r="K82" s="16">
        <v>0</v>
      </c>
      <c r="L82" s="66">
        <v>111</v>
      </c>
      <c r="M82" s="15">
        <f t="shared" si="332"/>
        <v>0</v>
      </c>
      <c r="N82" s="16">
        <v>0</v>
      </c>
      <c r="O82" s="66">
        <v>152.69999999999999</v>
      </c>
      <c r="P82" s="15">
        <f t="shared" si="333"/>
        <v>0</v>
      </c>
      <c r="Q82" s="16">
        <v>0</v>
      </c>
      <c r="R82" s="66">
        <v>41</v>
      </c>
      <c r="S82" s="15">
        <f t="shared" si="334"/>
        <v>0</v>
      </c>
      <c r="T82" s="16">
        <v>0</v>
      </c>
      <c r="U82" s="66">
        <v>58.8</v>
      </c>
      <c r="V82" s="15">
        <f t="shared" si="335"/>
        <v>58.8</v>
      </c>
      <c r="W82" s="16">
        <f t="shared" si="335"/>
        <v>58.8</v>
      </c>
      <c r="X82" s="65">
        <f t="shared" ref="X82:X85" si="348">W82</f>
        <v>58.8</v>
      </c>
      <c r="Y82" s="15">
        <f t="shared" ref="Y82:Y85" si="349">X82</f>
        <v>58.8</v>
      </c>
      <c r="Z82" s="16">
        <f t="shared" ref="Z82:Z85" si="350">Y82</f>
        <v>58.8</v>
      </c>
      <c r="AA82" s="65">
        <f t="shared" ref="AA82:AA85" si="351">Z82</f>
        <v>58.8</v>
      </c>
      <c r="AB82" s="15">
        <f t="shared" ref="AB82:AB85" si="352">AA82</f>
        <v>58.8</v>
      </c>
      <c r="AC82" s="16">
        <f t="shared" ref="AC82:AC85" si="353">AB82</f>
        <v>58.8</v>
      </c>
      <c r="AD82" s="65">
        <f t="shared" ref="AD82:AD85" si="354">AC82</f>
        <v>58.8</v>
      </c>
      <c r="AE82" s="15">
        <f t="shared" ref="AE82:AE85" si="355">AD82</f>
        <v>58.8</v>
      </c>
      <c r="AF82" s="16">
        <f t="shared" ref="AF82:AF85" si="356">AE82</f>
        <v>58.8</v>
      </c>
      <c r="AG82" s="65">
        <f t="shared" ref="AG82:AG85" si="357">AF82</f>
        <v>58.8</v>
      </c>
      <c r="AH82" s="15">
        <f t="shared" ref="AH82:AH85" si="358">AG82</f>
        <v>58.8</v>
      </c>
      <c r="AI82" s="243">
        <f t="shared" ref="AI82:AI85" si="359">AH82</f>
        <v>58.8</v>
      </c>
    </row>
    <row r="83" spans="2:35" s="65" customFormat="1" x14ac:dyDescent="0.3">
      <c r="B83" s="264" t="s">
        <v>109</v>
      </c>
      <c r="C83" s="65">
        <v>39</v>
      </c>
      <c r="D83" s="15">
        <f t="shared" si="329"/>
        <v>18.7</v>
      </c>
      <c r="E83" s="16">
        <v>18.7</v>
      </c>
      <c r="F83" s="65">
        <v>37.9</v>
      </c>
      <c r="G83" s="15">
        <f t="shared" si="330"/>
        <v>27.4</v>
      </c>
      <c r="H83" s="16">
        <v>27.4</v>
      </c>
      <c r="I83" s="65">
        <v>50.4</v>
      </c>
      <c r="J83" s="15">
        <f t="shared" si="331"/>
        <v>46.6</v>
      </c>
      <c r="K83" s="16">
        <v>46.6</v>
      </c>
      <c r="L83" s="66">
        <v>61.8</v>
      </c>
      <c r="M83" s="15">
        <f t="shared" si="332"/>
        <v>23</v>
      </c>
      <c r="N83" s="16">
        <v>23</v>
      </c>
      <c r="O83" s="66">
        <v>24.3</v>
      </c>
      <c r="P83" s="15">
        <f t="shared" si="333"/>
        <v>19.3</v>
      </c>
      <c r="Q83" s="16">
        <v>19.3</v>
      </c>
      <c r="R83" s="66">
        <v>28.5</v>
      </c>
      <c r="S83" s="15">
        <f t="shared" si="334"/>
        <v>22.2</v>
      </c>
      <c r="T83" s="16">
        <v>22.2</v>
      </c>
      <c r="U83" s="66">
        <v>15.5</v>
      </c>
      <c r="V83" s="15">
        <f t="shared" si="335"/>
        <v>15.5</v>
      </c>
      <c r="W83" s="16">
        <f t="shared" si="335"/>
        <v>15.5</v>
      </c>
      <c r="X83" s="65">
        <f t="shared" si="348"/>
        <v>15.5</v>
      </c>
      <c r="Y83" s="15">
        <f t="shared" si="349"/>
        <v>15.5</v>
      </c>
      <c r="Z83" s="16">
        <f t="shared" si="350"/>
        <v>15.5</v>
      </c>
      <c r="AA83" s="65">
        <f t="shared" si="351"/>
        <v>15.5</v>
      </c>
      <c r="AB83" s="15">
        <f t="shared" si="352"/>
        <v>15.5</v>
      </c>
      <c r="AC83" s="16">
        <f t="shared" si="353"/>
        <v>15.5</v>
      </c>
      <c r="AD83" s="65">
        <f t="shared" si="354"/>
        <v>15.5</v>
      </c>
      <c r="AE83" s="15">
        <f t="shared" si="355"/>
        <v>15.5</v>
      </c>
      <c r="AF83" s="16">
        <f t="shared" si="356"/>
        <v>15.5</v>
      </c>
      <c r="AG83" s="65">
        <f t="shared" si="357"/>
        <v>15.5</v>
      </c>
      <c r="AH83" s="15">
        <f t="shared" si="358"/>
        <v>15.5</v>
      </c>
      <c r="AI83" s="243">
        <f t="shared" si="359"/>
        <v>15.5</v>
      </c>
    </row>
    <row r="84" spans="2:35" s="65" customFormat="1" x14ac:dyDescent="0.3">
      <c r="B84" s="264" t="s">
        <v>110</v>
      </c>
      <c r="C84" s="65">
        <v>1</v>
      </c>
      <c r="D84" s="15">
        <f t="shared" si="329"/>
        <v>11.5</v>
      </c>
      <c r="E84" s="16">
        <v>11.5</v>
      </c>
      <c r="F84" s="65">
        <v>9.8000000000000007</v>
      </c>
      <c r="G84" s="15">
        <f t="shared" si="330"/>
        <v>7.7</v>
      </c>
      <c r="H84" s="16">
        <v>7.7</v>
      </c>
      <c r="I84" s="65">
        <v>20.3</v>
      </c>
      <c r="J84" s="15">
        <f t="shared" si="331"/>
        <v>17.899999999999999</v>
      </c>
      <c r="K84" s="16">
        <v>17.899999999999999</v>
      </c>
      <c r="L84" s="66">
        <v>18.7</v>
      </c>
      <c r="M84" s="15">
        <f t="shared" si="332"/>
        <v>4</v>
      </c>
      <c r="N84" s="16">
        <v>4</v>
      </c>
      <c r="O84" s="66">
        <v>1.7</v>
      </c>
      <c r="P84" s="15">
        <f t="shared" si="333"/>
        <v>9.8000000000000007</v>
      </c>
      <c r="Q84" s="16">
        <v>9.8000000000000007</v>
      </c>
      <c r="R84" s="66">
        <v>2.6</v>
      </c>
      <c r="S84" s="15">
        <f t="shared" si="334"/>
        <v>6.7</v>
      </c>
      <c r="T84" s="16">
        <v>6.7</v>
      </c>
      <c r="U84" s="66">
        <v>2</v>
      </c>
      <c r="V84" s="15">
        <f t="shared" si="335"/>
        <v>2</v>
      </c>
      <c r="W84" s="16">
        <f t="shared" si="335"/>
        <v>2</v>
      </c>
      <c r="X84" s="65">
        <f t="shared" si="348"/>
        <v>2</v>
      </c>
      <c r="Y84" s="15">
        <f t="shared" si="349"/>
        <v>2</v>
      </c>
      <c r="Z84" s="16">
        <f t="shared" si="350"/>
        <v>2</v>
      </c>
      <c r="AA84" s="65">
        <f t="shared" si="351"/>
        <v>2</v>
      </c>
      <c r="AB84" s="15">
        <f t="shared" si="352"/>
        <v>2</v>
      </c>
      <c r="AC84" s="16">
        <f t="shared" si="353"/>
        <v>2</v>
      </c>
      <c r="AD84" s="65">
        <f t="shared" si="354"/>
        <v>2</v>
      </c>
      <c r="AE84" s="15">
        <f t="shared" si="355"/>
        <v>2</v>
      </c>
      <c r="AF84" s="16">
        <f t="shared" si="356"/>
        <v>2</v>
      </c>
      <c r="AG84" s="65">
        <f t="shared" si="357"/>
        <v>2</v>
      </c>
      <c r="AH84" s="15">
        <f t="shared" si="358"/>
        <v>2</v>
      </c>
      <c r="AI84" s="243">
        <f t="shared" si="359"/>
        <v>2</v>
      </c>
    </row>
    <row r="85" spans="2:35" s="65" customFormat="1" x14ac:dyDescent="0.3">
      <c r="B85" s="264" t="s">
        <v>89</v>
      </c>
      <c r="C85" s="65">
        <v>16.2</v>
      </c>
      <c r="D85" s="15">
        <f t="shared" si="329"/>
        <v>8.6999999999999993</v>
      </c>
      <c r="E85" s="16">
        <v>8.6999999999999993</v>
      </c>
      <c r="F85" s="65">
        <v>1.8</v>
      </c>
      <c r="G85" s="15">
        <f t="shared" si="330"/>
        <v>7.1</v>
      </c>
      <c r="H85" s="16">
        <v>7.1</v>
      </c>
      <c r="I85" s="65">
        <v>10.8</v>
      </c>
      <c r="J85" s="15">
        <f t="shared" si="331"/>
        <v>13.7</v>
      </c>
      <c r="K85" s="16">
        <v>13.7</v>
      </c>
      <c r="L85" s="66">
        <v>52.6</v>
      </c>
      <c r="M85" s="15">
        <f t="shared" si="332"/>
        <v>5.5</v>
      </c>
      <c r="N85" s="16">
        <v>5.5</v>
      </c>
      <c r="O85" s="66">
        <v>4.5</v>
      </c>
      <c r="P85" s="15">
        <f t="shared" si="333"/>
        <v>1.7</v>
      </c>
      <c r="Q85" s="16">
        <v>1.7</v>
      </c>
      <c r="R85" s="66">
        <v>0.7</v>
      </c>
      <c r="S85" s="15">
        <f t="shared" si="334"/>
        <v>0.9</v>
      </c>
      <c r="T85" s="16">
        <v>0.9</v>
      </c>
      <c r="U85" s="66">
        <v>0.5</v>
      </c>
      <c r="V85" s="15">
        <f t="shared" si="335"/>
        <v>0.5</v>
      </c>
      <c r="W85" s="16">
        <f t="shared" si="335"/>
        <v>0.5</v>
      </c>
      <c r="X85" s="65">
        <f t="shared" si="348"/>
        <v>0.5</v>
      </c>
      <c r="Y85" s="15">
        <f t="shared" si="349"/>
        <v>0.5</v>
      </c>
      <c r="Z85" s="16">
        <f t="shared" si="350"/>
        <v>0.5</v>
      </c>
      <c r="AA85" s="65">
        <f t="shared" si="351"/>
        <v>0.5</v>
      </c>
      <c r="AB85" s="15">
        <f t="shared" si="352"/>
        <v>0.5</v>
      </c>
      <c r="AC85" s="16">
        <f t="shared" si="353"/>
        <v>0.5</v>
      </c>
      <c r="AD85" s="65">
        <f t="shared" si="354"/>
        <v>0.5</v>
      </c>
      <c r="AE85" s="15">
        <f t="shared" si="355"/>
        <v>0.5</v>
      </c>
      <c r="AF85" s="16">
        <f t="shared" si="356"/>
        <v>0.5</v>
      </c>
      <c r="AG85" s="65">
        <f t="shared" si="357"/>
        <v>0.5</v>
      </c>
      <c r="AH85" s="15">
        <f t="shared" si="358"/>
        <v>0.5</v>
      </c>
      <c r="AI85" s="243">
        <f t="shared" si="359"/>
        <v>0.5</v>
      </c>
    </row>
    <row r="86" spans="2:35" s="25" customFormat="1" x14ac:dyDescent="0.3">
      <c r="B86" s="265" t="s">
        <v>111</v>
      </c>
      <c r="C86" s="25">
        <f t="shared" ref="C86:M86" si="360">SUM(C80:C85)</f>
        <v>594.20000000000005</v>
      </c>
      <c r="D86" s="63">
        <f t="shared" si="360"/>
        <v>841.60000000000014</v>
      </c>
      <c r="E86" s="64">
        <f>SUM(E80:E85)-0.1</f>
        <v>841.50000000000011</v>
      </c>
      <c r="F86" s="25">
        <f t="shared" si="360"/>
        <v>624.99999999999989</v>
      </c>
      <c r="G86" s="63">
        <f t="shared" si="360"/>
        <v>719.80000000000007</v>
      </c>
      <c r="H86" s="64">
        <f t="shared" si="360"/>
        <v>719.80000000000007</v>
      </c>
      <c r="I86" s="25">
        <f t="shared" si="360"/>
        <v>840.19999999999993</v>
      </c>
      <c r="J86" s="63">
        <f t="shared" si="360"/>
        <v>867.2</v>
      </c>
      <c r="K86" s="64">
        <f t="shared" si="360"/>
        <v>867.2</v>
      </c>
      <c r="L86" s="68">
        <f t="shared" si="360"/>
        <v>1015.9</v>
      </c>
      <c r="M86" s="63">
        <f t="shared" si="360"/>
        <v>1035.3</v>
      </c>
      <c r="N86" s="64">
        <f>SUM(N80:N85)</f>
        <v>1035.3</v>
      </c>
      <c r="O86" s="68">
        <f>SUM(O80:O85)</f>
        <v>1006.9000000000001</v>
      </c>
      <c r="P86" s="63">
        <f t="shared" ref="P86" si="361">SUM(P80:P85)</f>
        <v>934.89999999999986</v>
      </c>
      <c r="Q86" s="64">
        <f>SUM(Q80:Q85)</f>
        <v>934.89999999999986</v>
      </c>
      <c r="R86" s="68">
        <f>SUM(R80:R85)</f>
        <v>888.40000000000009</v>
      </c>
      <c r="S86" s="63">
        <f t="shared" ref="S86" si="362">SUM(S80:S85)</f>
        <v>865.00000000000011</v>
      </c>
      <c r="T86" s="64">
        <f>SUM(T80:T85)</f>
        <v>865.00000000000011</v>
      </c>
      <c r="U86" s="68">
        <f>SUM(U80:U85)</f>
        <v>876.3</v>
      </c>
      <c r="V86" s="63">
        <f t="shared" ref="V86:W86" si="363">SUM(V80:V85)</f>
        <v>819.77884931506856</v>
      </c>
      <c r="W86" s="64">
        <f t="shared" si="363"/>
        <v>819.77884931506856</v>
      </c>
      <c r="X86" s="25">
        <f t="shared" ref="X86:AI86" si="364">SUM(X80:X85)</f>
        <v>872.0999890410958</v>
      </c>
      <c r="Y86" s="63">
        <f t="shared" si="364"/>
        <v>870.18240175342464</v>
      </c>
      <c r="Z86" s="64">
        <f t="shared" si="364"/>
        <v>870.18240175342464</v>
      </c>
      <c r="AA86" s="25">
        <f t="shared" si="364"/>
        <v>885.55056918032778</v>
      </c>
      <c r="AB86" s="63">
        <f t="shared" si="364"/>
        <v>883.85485815081961</v>
      </c>
      <c r="AC86" s="64">
        <f t="shared" si="364"/>
        <v>883.85485815081961</v>
      </c>
      <c r="AD86" s="25">
        <f t="shared" si="364"/>
        <v>902.71893935342462</v>
      </c>
      <c r="AE86" s="63">
        <f t="shared" si="364"/>
        <v>901.26654159745749</v>
      </c>
      <c r="AF86" s="64">
        <f t="shared" si="364"/>
        <v>901.26654159745749</v>
      </c>
      <c r="AG86" s="25">
        <f t="shared" si="364"/>
        <v>922.38168111026846</v>
      </c>
      <c r="AH86" s="63">
        <f t="shared" si="364"/>
        <v>923.20583801649445</v>
      </c>
      <c r="AI86" s="246">
        <f t="shared" si="364"/>
        <v>923.20583801649445</v>
      </c>
    </row>
    <row r="87" spans="2:35" s="25" customFormat="1" ht="15" thickBot="1" x14ac:dyDescent="0.35">
      <c r="B87" s="266" t="s">
        <v>112</v>
      </c>
      <c r="C87" s="240">
        <f t="shared" ref="C87:M87" si="365">C72+C78+C86</f>
        <v>2581.1999999999998</v>
      </c>
      <c r="D87" s="267">
        <f t="shared" si="365"/>
        <v>2788.8</v>
      </c>
      <c r="E87" s="268">
        <f t="shared" si="365"/>
        <v>2788.7000000000003</v>
      </c>
      <c r="F87" s="240">
        <f>F72+F78+F86-0.1</f>
        <v>2616.2999999999997</v>
      </c>
      <c r="G87" s="267">
        <f t="shared" si="365"/>
        <v>2781.1</v>
      </c>
      <c r="H87" s="268">
        <f t="shared" si="365"/>
        <v>2781.1</v>
      </c>
      <c r="I87" s="240">
        <f t="shared" si="365"/>
        <v>2834.4</v>
      </c>
      <c r="J87" s="267">
        <f t="shared" si="365"/>
        <v>2978.5</v>
      </c>
      <c r="K87" s="268">
        <f>K72+K78+K86+0.1</f>
        <v>2978.6</v>
      </c>
      <c r="L87" s="269">
        <f t="shared" si="365"/>
        <v>3145.4</v>
      </c>
      <c r="M87" s="267">
        <f t="shared" si="365"/>
        <v>3187</v>
      </c>
      <c r="N87" s="268">
        <f>N72+N78+N86+0.1</f>
        <v>3187.0000000000005</v>
      </c>
      <c r="O87" s="269">
        <f>O72+O78+O86+0.1</f>
        <v>3543.7</v>
      </c>
      <c r="P87" s="267">
        <f>P72+P78+P86-0.1</f>
        <v>3370.7000000000003</v>
      </c>
      <c r="Q87" s="268">
        <f>Q72+Q78+Q86</f>
        <v>3370.7</v>
      </c>
      <c r="R87" s="269">
        <f>R72+R78+R86-0.1</f>
        <v>3373.5000000000005</v>
      </c>
      <c r="S87" s="267">
        <f>S72+S78+S86</f>
        <v>3424.2000000000003</v>
      </c>
      <c r="T87" s="268">
        <f>T72+T78+T86</f>
        <v>3424.2000000000003</v>
      </c>
      <c r="U87" s="269">
        <f>U72+U78+U86</f>
        <v>3460.7</v>
      </c>
      <c r="V87" s="267">
        <f>V72+V78+V86</f>
        <v>3471.4134893150685</v>
      </c>
      <c r="W87" s="268">
        <f>W72+W78+W86</f>
        <v>3471.4134893150685</v>
      </c>
      <c r="X87" s="240">
        <f t="shared" ref="X87:AI87" si="366">X72+X78+X86</f>
        <v>3585.6111890410957</v>
      </c>
      <c r="Y87" s="267">
        <f t="shared" si="366"/>
        <v>3655.2141033534244</v>
      </c>
      <c r="Z87" s="268">
        <f t="shared" si="366"/>
        <v>3655.2141033534244</v>
      </c>
      <c r="AA87" s="240">
        <f t="shared" si="366"/>
        <v>3736.9483219803278</v>
      </c>
      <c r="AB87" s="267">
        <f t="shared" si="366"/>
        <v>3811.3199519748196</v>
      </c>
      <c r="AC87" s="268">
        <f t="shared" si="366"/>
        <v>3811.3199519748196</v>
      </c>
      <c r="AD87" s="240">
        <f t="shared" si="366"/>
        <v>3901.1967989374243</v>
      </c>
      <c r="AE87" s="267">
        <f t="shared" si="366"/>
        <v>3980.5272169024174</v>
      </c>
      <c r="AF87" s="268">
        <f t="shared" si="366"/>
        <v>3980.5272169024174</v>
      </c>
      <c r="AG87" s="240">
        <f t="shared" si="366"/>
        <v>4078.9864853573081</v>
      </c>
      <c r="AH87" s="267">
        <f t="shared" si="366"/>
        <v>4167.6395867668562</v>
      </c>
      <c r="AI87" s="270">
        <f t="shared" si="366"/>
        <v>4167.6395867668562</v>
      </c>
    </row>
    <row r="88" spans="2:35" x14ac:dyDescent="0.3"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</row>
    <row r="89" spans="2:35" x14ac:dyDescent="0.3">
      <c r="B89" s="85" t="s">
        <v>114</v>
      </c>
      <c r="C89" s="86" t="str">
        <f>IF(C63=C87,"OK",C63-C87)</f>
        <v>OK</v>
      </c>
      <c r="D89" s="86" t="str">
        <f t="shared" ref="D89:O89" si="367">IF(D63=D87,"OK",D63-D87)</f>
        <v>OK</v>
      </c>
      <c r="E89" s="86" t="str">
        <f t="shared" si="367"/>
        <v>OK</v>
      </c>
      <c r="F89" s="86" t="str">
        <f t="shared" si="367"/>
        <v>OK</v>
      </c>
      <c r="G89" s="86" t="str">
        <f t="shared" si="367"/>
        <v>OK</v>
      </c>
      <c r="H89" s="86" t="str">
        <f t="shared" si="367"/>
        <v>OK</v>
      </c>
      <c r="I89" s="86" t="str">
        <f t="shared" si="367"/>
        <v>OK</v>
      </c>
      <c r="J89" s="86" t="str">
        <f t="shared" si="367"/>
        <v>OK</v>
      </c>
      <c r="K89" s="86" t="str">
        <f t="shared" si="367"/>
        <v>OK</v>
      </c>
      <c r="L89" s="86" t="str">
        <f t="shared" si="367"/>
        <v>OK</v>
      </c>
      <c r="M89" s="86" t="str">
        <f t="shared" si="367"/>
        <v>OK</v>
      </c>
      <c r="N89" s="86" t="str">
        <f t="shared" si="367"/>
        <v>OK</v>
      </c>
      <c r="O89" s="86" t="str">
        <f t="shared" si="367"/>
        <v>OK</v>
      </c>
      <c r="P89" s="86" t="str">
        <f t="shared" ref="P89:R89" si="368">IF(P63=P87,"OK",P63-P87)</f>
        <v>OK</v>
      </c>
      <c r="Q89" s="86" t="str">
        <f t="shared" si="368"/>
        <v>OK</v>
      </c>
      <c r="R89" s="86" t="str">
        <f t="shared" si="368"/>
        <v>OK</v>
      </c>
      <c r="S89" s="86" t="str">
        <f t="shared" ref="S89:AI89" si="369">IF(S63=S87,"OK",S63-S87)</f>
        <v>OK</v>
      </c>
      <c r="T89" s="86" t="str">
        <f t="shared" si="369"/>
        <v>OK</v>
      </c>
      <c r="U89" s="86" t="str">
        <f t="shared" si="369"/>
        <v>OK</v>
      </c>
      <c r="V89" s="286" t="str">
        <f t="shared" si="369"/>
        <v>OK</v>
      </c>
      <c r="W89" s="293" t="str">
        <f t="shared" si="369"/>
        <v>OK</v>
      </c>
      <c r="X89" s="293" t="str">
        <f t="shared" si="369"/>
        <v>OK</v>
      </c>
      <c r="Y89" s="293" t="str">
        <f t="shared" si="369"/>
        <v>OK</v>
      </c>
      <c r="Z89" s="293" t="str">
        <f t="shared" si="369"/>
        <v>OK</v>
      </c>
      <c r="AA89" s="293" t="str">
        <f t="shared" si="369"/>
        <v>OK</v>
      </c>
      <c r="AB89" s="293" t="str">
        <f t="shared" si="369"/>
        <v>OK</v>
      </c>
      <c r="AC89" s="293" t="str">
        <f t="shared" si="369"/>
        <v>OK</v>
      </c>
      <c r="AD89" s="293" t="str">
        <f t="shared" si="369"/>
        <v>OK</v>
      </c>
      <c r="AE89" s="293" t="str">
        <f t="shared" si="369"/>
        <v>OK</v>
      </c>
      <c r="AF89" s="293" t="str">
        <f t="shared" si="369"/>
        <v>OK</v>
      </c>
      <c r="AG89" s="293" t="str">
        <f t="shared" si="369"/>
        <v>OK</v>
      </c>
      <c r="AH89" s="293" t="str">
        <f t="shared" si="369"/>
        <v>OK</v>
      </c>
      <c r="AI89" s="293" t="str">
        <f t="shared" si="369"/>
        <v>OK</v>
      </c>
    </row>
    <row r="90" spans="2:35" ht="15" thickBot="1" x14ac:dyDescent="0.35"/>
    <row r="91" spans="2:35" x14ac:dyDescent="0.3">
      <c r="B91" s="81" t="s">
        <v>116</v>
      </c>
      <c r="C91" s="77" t="str">
        <f t="shared" ref="C91:W91" si="370">C47</f>
        <v>H1'20</v>
      </c>
      <c r="D91" s="78" t="str">
        <f t="shared" si="370"/>
        <v>H2'20</v>
      </c>
      <c r="E91" s="79" t="str">
        <f t="shared" si="370"/>
        <v>FY20</v>
      </c>
      <c r="F91" s="80" t="str">
        <f t="shared" si="370"/>
        <v>H1'21</v>
      </c>
      <c r="G91" s="78" t="str">
        <f t="shared" si="370"/>
        <v>H2'21</v>
      </c>
      <c r="H91" s="79" t="str">
        <f t="shared" si="370"/>
        <v>FY21</v>
      </c>
      <c r="I91" s="80" t="str">
        <f t="shared" si="370"/>
        <v>H1'22</v>
      </c>
      <c r="J91" s="78" t="str">
        <f>J47</f>
        <v>H2'22</v>
      </c>
      <c r="K91" s="79" t="str">
        <f t="shared" si="370"/>
        <v>FY22</v>
      </c>
      <c r="L91" s="80" t="str">
        <f t="shared" si="370"/>
        <v>H1'23</v>
      </c>
      <c r="M91" s="78" t="str">
        <f t="shared" si="370"/>
        <v>H2'23</v>
      </c>
      <c r="N91" s="79" t="str">
        <f t="shared" si="370"/>
        <v>FY23</v>
      </c>
      <c r="O91" s="80" t="str">
        <f t="shared" si="370"/>
        <v>H1'24</v>
      </c>
      <c r="P91" s="78" t="str">
        <f t="shared" ref="P91:R91" si="371">P47</f>
        <v>H2'24</v>
      </c>
      <c r="Q91" s="79" t="str">
        <f t="shared" si="371"/>
        <v>FY24</v>
      </c>
      <c r="R91" s="80" t="str">
        <f t="shared" si="371"/>
        <v>H1'25</v>
      </c>
      <c r="S91" s="78" t="str">
        <f t="shared" ref="S91:U91" si="372">S47</f>
        <v>H2'25</v>
      </c>
      <c r="T91" s="79" t="str">
        <f t="shared" si="372"/>
        <v>FY25</v>
      </c>
      <c r="U91" s="80" t="str">
        <f t="shared" si="372"/>
        <v>H1'26</v>
      </c>
      <c r="V91" s="186" t="str">
        <f t="shared" si="370"/>
        <v>H2'26</v>
      </c>
      <c r="W91" s="187" t="str">
        <f t="shared" si="370"/>
        <v>FY26</v>
      </c>
      <c r="X91" s="185" t="str">
        <f t="shared" ref="X91:AI91" si="373">X47</f>
        <v>H1'27</v>
      </c>
      <c r="Y91" s="186" t="str">
        <f t="shared" si="373"/>
        <v>H2'27</v>
      </c>
      <c r="Z91" s="187" t="str">
        <f t="shared" si="373"/>
        <v>FY27</v>
      </c>
      <c r="AA91" s="185" t="str">
        <f t="shared" si="373"/>
        <v>H1'28</v>
      </c>
      <c r="AB91" s="186" t="str">
        <f t="shared" si="373"/>
        <v>H2'28</v>
      </c>
      <c r="AC91" s="187" t="str">
        <f t="shared" si="373"/>
        <v>FY28</v>
      </c>
      <c r="AD91" s="185" t="str">
        <f t="shared" si="373"/>
        <v>H1'29</v>
      </c>
      <c r="AE91" s="186" t="str">
        <f t="shared" si="373"/>
        <v>H2'29</v>
      </c>
      <c r="AF91" s="187" t="str">
        <f t="shared" si="373"/>
        <v>FY29</v>
      </c>
      <c r="AG91" s="185" t="str">
        <f t="shared" si="373"/>
        <v>H1'30</v>
      </c>
      <c r="AH91" s="186" t="str">
        <f t="shared" si="373"/>
        <v>H2'30</v>
      </c>
      <c r="AI91" s="188" t="str">
        <f t="shared" si="373"/>
        <v>FY30</v>
      </c>
    </row>
    <row r="92" spans="2:35" s="65" customFormat="1" x14ac:dyDescent="0.3">
      <c r="B92" s="274" t="s">
        <v>215</v>
      </c>
      <c r="C92" s="65">
        <v>138.30000000000001</v>
      </c>
      <c r="D92" s="65">
        <f>E92-C92</f>
        <v>76.799999999999983</v>
      </c>
      <c r="E92" s="225">
        <v>215.1</v>
      </c>
      <c r="F92" s="65">
        <v>106.2</v>
      </c>
      <c r="G92" s="65">
        <f>H92-F92</f>
        <v>129.89999999999998</v>
      </c>
      <c r="H92" s="225">
        <v>236.1</v>
      </c>
      <c r="I92" s="65">
        <v>212.9</v>
      </c>
      <c r="J92" s="65">
        <f>K92-I92</f>
        <v>121.49999999999997</v>
      </c>
      <c r="K92" s="225">
        <v>334.4</v>
      </c>
      <c r="L92" s="65">
        <v>319.3</v>
      </c>
      <c r="M92" s="65">
        <f>N92-L92</f>
        <v>110.30000000000001</v>
      </c>
      <c r="N92" s="225">
        <v>429.6</v>
      </c>
      <c r="O92" s="65">
        <v>169.1</v>
      </c>
      <c r="P92" s="65">
        <f>Q92-O92</f>
        <v>135.29999999999998</v>
      </c>
      <c r="Q92" s="225">
        <v>304.39999999999998</v>
      </c>
      <c r="R92" s="65">
        <f>R11</f>
        <v>147.30000000000004</v>
      </c>
      <c r="S92" s="65">
        <f>T92-R92</f>
        <v>69.69999999999996</v>
      </c>
      <c r="T92" s="225">
        <v>217</v>
      </c>
      <c r="U92" s="65">
        <f>U11</f>
        <v>108.70000000000005</v>
      </c>
      <c r="V92" s="65">
        <f>V11</f>
        <v>121.55499999999998</v>
      </c>
      <c r="W92" s="225">
        <f t="shared" ref="W92:Y92" si="374">W11</f>
        <v>230.25500000000002</v>
      </c>
      <c r="X92" s="65">
        <f t="shared" si="374"/>
        <v>127.363</v>
      </c>
      <c r="Y92" s="65">
        <f t="shared" si="374"/>
        <v>126.58184</v>
      </c>
      <c r="Z92" s="225">
        <f t="shared" ref="Z92:AI92" si="375">Z11</f>
        <v>253.94484000000006</v>
      </c>
      <c r="AA92" s="65">
        <f t="shared" si="375"/>
        <v>132.52988000000005</v>
      </c>
      <c r="AB92" s="65">
        <f t="shared" si="375"/>
        <v>131.82621760000006</v>
      </c>
      <c r="AC92" s="225">
        <f t="shared" si="375"/>
        <v>264.35609759999988</v>
      </c>
      <c r="AD92" s="65">
        <f t="shared" si="375"/>
        <v>137.90922399999999</v>
      </c>
      <c r="AE92" s="65">
        <f t="shared" si="375"/>
        <v>137.29848070399999</v>
      </c>
      <c r="AF92" s="225">
        <f t="shared" si="375"/>
        <v>275.20770470400009</v>
      </c>
      <c r="AG92" s="65">
        <f t="shared" si="375"/>
        <v>145.56512019200005</v>
      </c>
      <c r="AH92" s="65">
        <f t="shared" si="375"/>
        <v>145.92027635584009</v>
      </c>
      <c r="AI92" s="226">
        <f t="shared" si="375"/>
        <v>291.4853965478402</v>
      </c>
    </row>
    <row r="93" spans="2:35" s="65" customFormat="1" x14ac:dyDescent="0.3">
      <c r="B93" s="274" t="s">
        <v>8</v>
      </c>
      <c r="C93" s="65">
        <v>15.8</v>
      </c>
      <c r="D93" s="65">
        <f t="shared" ref="D93:D100" si="376">E93-C93</f>
        <v>17.599999999999998</v>
      </c>
      <c r="E93" s="105">
        <v>33.4</v>
      </c>
      <c r="F93" s="65">
        <v>17</v>
      </c>
      <c r="G93" s="65">
        <f t="shared" ref="G93:G100" si="377">H93-F93</f>
        <v>17</v>
      </c>
      <c r="H93" s="105">
        <v>34</v>
      </c>
      <c r="I93" s="65">
        <v>18</v>
      </c>
      <c r="J93" s="65">
        <f t="shared" ref="J93:J100" si="378">K93-I93</f>
        <v>22</v>
      </c>
      <c r="K93" s="105">
        <v>40</v>
      </c>
      <c r="L93" s="65">
        <v>19.100000000000001</v>
      </c>
      <c r="M93" s="65">
        <f t="shared" ref="M93:M100" si="379">N93-L93</f>
        <v>21.9</v>
      </c>
      <c r="N93" s="105">
        <v>41</v>
      </c>
      <c r="O93" s="65">
        <v>21.6</v>
      </c>
      <c r="P93" s="65">
        <f t="shared" ref="P93:P95" si="380">Q93-O93</f>
        <v>23.5</v>
      </c>
      <c r="Q93" s="105">
        <v>45.1</v>
      </c>
      <c r="R93" s="65">
        <v>22.9</v>
      </c>
      <c r="S93" s="65">
        <f t="shared" ref="S93:S95" si="381">T93-R93</f>
        <v>23.9</v>
      </c>
      <c r="T93" s="105">
        <v>46.8</v>
      </c>
      <c r="U93" s="65">
        <v>23.2</v>
      </c>
      <c r="V93" s="65">
        <f>V16</f>
        <v>16.038</v>
      </c>
      <c r="W93" s="105">
        <f t="shared" ref="W93:Y93" si="382">W16</f>
        <v>39.238</v>
      </c>
      <c r="X93" s="65">
        <f t="shared" si="382"/>
        <v>16.52422</v>
      </c>
      <c r="Y93" s="65">
        <f t="shared" si="382"/>
        <v>17.033672000000003</v>
      </c>
      <c r="Z93" s="105">
        <f t="shared" ref="Z93:AI93" si="383">Z16</f>
        <v>33.557892000000002</v>
      </c>
      <c r="AA93" s="65">
        <f t="shared" si="383"/>
        <v>17.539999359999999</v>
      </c>
      <c r="AB93" s="65">
        <f t="shared" si="383"/>
        <v>18.070118879999999</v>
      </c>
      <c r="AC93" s="105">
        <f t="shared" si="383"/>
        <v>35.610118239999998</v>
      </c>
      <c r="AD93" s="65">
        <f t="shared" si="383"/>
        <v>18.597423750399997</v>
      </c>
      <c r="AE93" s="65">
        <f t="shared" si="383"/>
        <v>19.149060646399999</v>
      </c>
      <c r="AF93" s="105">
        <f t="shared" si="383"/>
        <v>37.7464843968</v>
      </c>
      <c r="AG93" s="65">
        <f t="shared" si="383"/>
        <v>19.698254569216001</v>
      </c>
      <c r="AH93" s="65">
        <f t="shared" si="383"/>
        <v>20.280515049984</v>
      </c>
      <c r="AI93" s="67">
        <f t="shared" si="383"/>
        <v>39.978769619200001</v>
      </c>
    </row>
    <row r="94" spans="2:35" s="65" customFormat="1" x14ac:dyDescent="0.3">
      <c r="B94" s="274" t="s">
        <v>117</v>
      </c>
      <c r="C94" s="65">
        <v>1.7</v>
      </c>
      <c r="D94" s="65">
        <f t="shared" si="376"/>
        <v>1.9000000000000001</v>
      </c>
      <c r="E94" s="105">
        <v>3.6</v>
      </c>
      <c r="F94" s="65">
        <v>0.7</v>
      </c>
      <c r="G94" s="65">
        <f t="shared" si="377"/>
        <v>1.4000000000000001</v>
      </c>
      <c r="H94" s="105">
        <v>2.1</v>
      </c>
      <c r="I94" s="65">
        <v>4.5</v>
      </c>
      <c r="J94" s="65">
        <f t="shared" si="378"/>
        <v>3.8000000000000007</v>
      </c>
      <c r="K94" s="105">
        <v>8.3000000000000007</v>
      </c>
      <c r="L94" s="65">
        <v>5.4</v>
      </c>
      <c r="M94" s="65">
        <f t="shared" si="379"/>
        <v>4.6999999999999993</v>
      </c>
      <c r="N94" s="105">
        <v>10.1</v>
      </c>
      <c r="O94" s="65">
        <v>4.7</v>
      </c>
      <c r="P94" s="65">
        <f t="shared" si="380"/>
        <v>1.5</v>
      </c>
      <c r="Q94" s="105">
        <v>6.2</v>
      </c>
      <c r="R94" s="65">
        <v>4.0999999999999996</v>
      </c>
      <c r="S94" s="65">
        <f t="shared" si="381"/>
        <v>0</v>
      </c>
      <c r="T94" s="105">
        <v>4.0999999999999996</v>
      </c>
      <c r="U94" s="65">
        <v>0.8</v>
      </c>
      <c r="W94" s="105">
        <f t="shared" ref="W94:W95" si="384">U94+V94</f>
        <v>0.8</v>
      </c>
      <c r="Z94" s="105">
        <f t="shared" ref="Z94:Z95" si="385">X94+Y94</f>
        <v>0</v>
      </c>
      <c r="AC94" s="105">
        <f t="shared" ref="AC94:AC95" si="386">AA94+AB94</f>
        <v>0</v>
      </c>
      <c r="AF94" s="105">
        <f t="shared" ref="AF94:AF95" si="387">AD94+AE94</f>
        <v>0</v>
      </c>
      <c r="AI94" s="67">
        <f t="shared" ref="AI94:AI95" si="388">AG94+AH94</f>
        <v>0</v>
      </c>
    </row>
    <row r="95" spans="2:35" s="65" customFormat="1" x14ac:dyDescent="0.3">
      <c r="B95" s="274" t="s">
        <v>118</v>
      </c>
      <c r="C95" s="65">
        <v>0</v>
      </c>
      <c r="D95" s="65">
        <f t="shared" si="376"/>
        <v>0.3</v>
      </c>
      <c r="E95" s="105">
        <v>0.3</v>
      </c>
      <c r="F95" s="65">
        <v>0</v>
      </c>
      <c r="G95" s="65">
        <f t="shared" si="377"/>
        <v>0.3</v>
      </c>
      <c r="H95" s="105">
        <v>0.3</v>
      </c>
      <c r="I95" s="65">
        <v>0</v>
      </c>
      <c r="J95" s="65">
        <f t="shared" si="378"/>
        <v>0.7</v>
      </c>
      <c r="K95" s="105">
        <v>0.7</v>
      </c>
      <c r="L95" s="65">
        <v>0</v>
      </c>
      <c r="M95" s="65">
        <f t="shared" si="379"/>
        <v>0.9</v>
      </c>
      <c r="N95" s="105">
        <v>0.9</v>
      </c>
      <c r="O95" s="65">
        <v>0</v>
      </c>
      <c r="P95" s="65">
        <f t="shared" si="380"/>
        <v>0.6</v>
      </c>
      <c r="Q95" s="105">
        <v>0.6</v>
      </c>
      <c r="R95" s="65">
        <v>0</v>
      </c>
      <c r="S95" s="65">
        <f t="shared" si="381"/>
        <v>0</v>
      </c>
      <c r="T95" s="105">
        <v>0</v>
      </c>
      <c r="U95" s="65">
        <v>0.5</v>
      </c>
      <c r="W95" s="105">
        <f t="shared" si="384"/>
        <v>0.5</v>
      </c>
      <c r="Z95" s="105">
        <f t="shared" si="385"/>
        <v>0</v>
      </c>
      <c r="AC95" s="105">
        <f t="shared" si="386"/>
        <v>0</v>
      </c>
      <c r="AF95" s="105">
        <f t="shared" si="387"/>
        <v>0</v>
      </c>
      <c r="AI95" s="67">
        <f t="shared" si="388"/>
        <v>0</v>
      </c>
    </row>
    <row r="96" spans="2:35" s="65" customFormat="1" x14ac:dyDescent="0.3">
      <c r="B96" s="275" t="s">
        <v>119</v>
      </c>
      <c r="C96" s="25">
        <f>SUM(C92:C95)</f>
        <v>155.80000000000001</v>
      </c>
      <c r="D96" s="25">
        <f>SUM(D92:D95)</f>
        <v>96.59999999999998</v>
      </c>
      <c r="E96" s="276">
        <f>SUM(E92:E95)</f>
        <v>252.4</v>
      </c>
      <c r="F96" s="25">
        <f>SUM(F92:F95)-0.1</f>
        <v>123.80000000000001</v>
      </c>
      <c r="G96" s="25">
        <f t="shared" ref="G96:P96" si="389">SUM(G92:G95)</f>
        <v>148.6</v>
      </c>
      <c r="H96" s="276">
        <f t="shared" si="389"/>
        <v>272.50000000000006</v>
      </c>
      <c r="I96" s="25">
        <f t="shared" si="389"/>
        <v>235.4</v>
      </c>
      <c r="J96" s="25">
        <f t="shared" si="389"/>
        <v>147.99999999999997</v>
      </c>
      <c r="K96" s="276">
        <f t="shared" si="389"/>
        <v>383.4</v>
      </c>
      <c r="L96" s="25">
        <f t="shared" si="389"/>
        <v>343.8</v>
      </c>
      <c r="M96" s="25">
        <f t="shared" si="389"/>
        <v>137.80000000000001</v>
      </c>
      <c r="N96" s="276">
        <f t="shared" si="389"/>
        <v>481.6</v>
      </c>
      <c r="O96" s="25">
        <f t="shared" si="389"/>
        <v>195.39999999999998</v>
      </c>
      <c r="P96" s="25">
        <f t="shared" si="389"/>
        <v>160.89999999999998</v>
      </c>
      <c r="Q96" s="276">
        <f>SUM(Q92:Q95)+0.1</f>
        <v>356.40000000000003</v>
      </c>
      <c r="R96" s="25">
        <f t="shared" ref="R96:W96" si="390">SUM(R92:R95)</f>
        <v>174.30000000000004</v>
      </c>
      <c r="S96" s="25">
        <f t="shared" ref="S96" si="391">SUM(S92:S95)</f>
        <v>93.599999999999966</v>
      </c>
      <c r="T96" s="276">
        <f>SUM(T92:T95)-0.1</f>
        <v>267.8</v>
      </c>
      <c r="U96" s="25">
        <f t="shared" ref="U96" si="392">SUM(U92:U95)</f>
        <v>133.20000000000005</v>
      </c>
      <c r="V96" s="25">
        <f t="shared" si="390"/>
        <v>137.59299999999999</v>
      </c>
      <c r="W96" s="276">
        <f t="shared" si="390"/>
        <v>270.79300000000006</v>
      </c>
      <c r="X96" s="25">
        <f t="shared" ref="X96:AI96" si="393">SUM(X92:X95)</f>
        <v>143.88722000000001</v>
      </c>
      <c r="Y96" s="25">
        <f t="shared" si="393"/>
        <v>143.615512</v>
      </c>
      <c r="Z96" s="276">
        <f t="shared" si="393"/>
        <v>287.50273200000004</v>
      </c>
      <c r="AA96" s="25">
        <f t="shared" si="393"/>
        <v>150.06987936000004</v>
      </c>
      <c r="AB96" s="25">
        <f t="shared" si="393"/>
        <v>149.89633648000006</v>
      </c>
      <c r="AC96" s="276">
        <f t="shared" si="393"/>
        <v>299.9662158399999</v>
      </c>
      <c r="AD96" s="25">
        <f t="shared" si="393"/>
        <v>156.50664775039999</v>
      </c>
      <c r="AE96" s="25">
        <f t="shared" si="393"/>
        <v>156.44754135039997</v>
      </c>
      <c r="AF96" s="276">
        <f t="shared" si="393"/>
        <v>312.95418910080008</v>
      </c>
      <c r="AG96" s="25">
        <f t="shared" si="393"/>
        <v>165.26337476121606</v>
      </c>
      <c r="AH96" s="25">
        <f t="shared" si="393"/>
        <v>166.20079140582408</v>
      </c>
      <c r="AI96" s="26">
        <f t="shared" si="393"/>
        <v>331.46416616704022</v>
      </c>
    </row>
    <row r="97" spans="2:38" s="65" customFormat="1" x14ac:dyDescent="0.3">
      <c r="B97" s="274" t="s">
        <v>120</v>
      </c>
      <c r="C97" s="65">
        <v>-32.6</v>
      </c>
      <c r="D97" s="65">
        <f t="shared" si="376"/>
        <v>-96.1</v>
      </c>
      <c r="E97" s="105">
        <v>-128.69999999999999</v>
      </c>
      <c r="F97" s="65">
        <v>-9.6</v>
      </c>
      <c r="G97" s="65">
        <f t="shared" si="377"/>
        <v>-90.7</v>
      </c>
      <c r="H97" s="105">
        <v>-100.3</v>
      </c>
      <c r="I97" s="65">
        <v>-15.4</v>
      </c>
      <c r="J97" s="65">
        <f t="shared" si="378"/>
        <v>-102.6</v>
      </c>
      <c r="K97" s="105">
        <v>-118</v>
      </c>
      <c r="L97" s="65">
        <v>-25.3</v>
      </c>
      <c r="M97" s="65">
        <f t="shared" si="379"/>
        <v>-177.5</v>
      </c>
      <c r="N97" s="105">
        <v>-202.8</v>
      </c>
      <c r="O97" s="65">
        <v>-22.8</v>
      </c>
      <c r="P97" s="65">
        <f t="shared" ref="P97:P100" si="394">Q97-O97</f>
        <v>-126.3</v>
      </c>
      <c r="Q97" s="105">
        <v>-149.1</v>
      </c>
      <c r="R97" s="65">
        <v>-13.7</v>
      </c>
      <c r="S97" s="65">
        <f t="shared" ref="S97:S100" si="395">T97-R97</f>
        <v>-122.7</v>
      </c>
      <c r="T97" s="105">
        <v>-136.4</v>
      </c>
      <c r="U97" s="65">
        <v>-7.9</v>
      </c>
      <c r="V97" s="65">
        <f>U57-V57</f>
        <v>-135.99863013698678</v>
      </c>
      <c r="W97" s="105">
        <f>U97+V97</f>
        <v>-143.89863013698678</v>
      </c>
      <c r="X97" s="65">
        <f t="shared" ref="X97:Y97" si="396">W57-X57</f>
        <v>-204.379452054794</v>
      </c>
      <c r="Y97" s="65">
        <f t="shared" si="396"/>
        <v>-41.211174794520957</v>
      </c>
      <c r="Z97" s="105">
        <f t="shared" ref="Z97:Z100" si="397">X97+Y97</f>
        <v>-245.59062684931496</v>
      </c>
      <c r="AA97" s="65">
        <f t="shared" ref="AA97:AB97" si="398">Z57-AA57</f>
        <v>-152.32420312298791</v>
      </c>
      <c r="AB97" s="65">
        <f t="shared" si="398"/>
        <v>6.9981725027319044</v>
      </c>
      <c r="AC97" s="105">
        <f t="shared" ref="AC97:AC100" si="399">AA97+AB97</f>
        <v>-145.32603062025601</v>
      </c>
      <c r="AD97" s="65">
        <f t="shared" ref="AD97:AE97" si="400">AC57-AD57</f>
        <v>-121.512522585223</v>
      </c>
      <c r="AE97" s="65">
        <f t="shared" si="400"/>
        <v>6.09070026695872</v>
      </c>
      <c r="AF97" s="105">
        <f t="shared" ref="AF97:AF100" si="401">AD97+AE97</f>
        <v>-115.42182231826428</v>
      </c>
      <c r="AG97" s="65">
        <f t="shared" ref="AG97:AH97" si="402">AF57-AG57</f>
        <v>-158.78912294575321</v>
      </c>
      <c r="AH97" s="65">
        <f t="shared" si="402"/>
        <v>-3.5418313325421877</v>
      </c>
      <c r="AI97" s="67">
        <f t="shared" ref="AI97:AI100" si="403">AG97+AH97</f>
        <v>-162.33095427829539</v>
      </c>
    </row>
    <row r="98" spans="2:38" s="65" customFormat="1" x14ac:dyDescent="0.3">
      <c r="B98" s="274" t="s">
        <v>224</v>
      </c>
      <c r="C98" s="65">
        <v>5.0999999999999996</v>
      </c>
      <c r="D98" s="65">
        <f t="shared" si="376"/>
        <v>68.900000000000006</v>
      </c>
      <c r="E98" s="105">
        <v>74</v>
      </c>
      <c r="F98" s="65">
        <v>-31.3</v>
      </c>
      <c r="G98" s="65">
        <f t="shared" si="377"/>
        <v>40.6</v>
      </c>
      <c r="H98" s="105">
        <v>9.3000000000000007</v>
      </c>
      <c r="I98" s="65">
        <v>-100.8</v>
      </c>
      <c r="J98" s="65">
        <f t="shared" si="378"/>
        <v>62.3</v>
      </c>
      <c r="K98" s="105">
        <v>-38.5</v>
      </c>
      <c r="L98" s="65">
        <v>-107.5</v>
      </c>
      <c r="M98" s="65">
        <f t="shared" si="379"/>
        <v>90.8</v>
      </c>
      <c r="N98" s="105">
        <v>-16.7</v>
      </c>
      <c r="O98" s="65">
        <v>-90.5</v>
      </c>
      <c r="P98" s="65">
        <f t="shared" si="394"/>
        <v>95.4</v>
      </c>
      <c r="Q98" s="105">
        <v>4.9000000000000004</v>
      </c>
      <c r="R98" s="65">
        <v>-54.5</v>
      </c>
      <c r="S98" s="65">
        <f t="shared" si="395"/>
        <v>85</v>
      </c>
      <c r="T98" s="105">
        <v>30.5</v>
      </c>
      <c r="U98" s="65">
        <v>-59.6</v>
      </c>
      <c r="V98" s="65">
        <f>U58-V58</f>
        <v>-79.584931506849301</v>
      </c>
      <c r="W98" s="105">
        <f t="shared" ref="W98:W100" si="404">U98+V98</f>
        <v>-139.1849315068493</v>
      </c>
      <c r="X98" s="65">
        <f t="shared" ref="X98:Y98" si="405">W58-X58</f>
        <v>-14.754794520547989</v>
      </c>
      <c r="Y98" s="65">
        <f t="shared" si="405"/>
        <v>1.0700821917807843</v>
      </c>
      <c r="Z98" s="105">
        <f t="shared" si="397"/>
        <v>-13.684712328767205</v>
      </c>
      <c r="AA98" s="65">
        <f t="shared" ref="AA98:AB98" si="406">Z58-AA58</f>
        <v>-14.233853432143178</v>
      </c>
      <c r="AB98" s="65">
        <f t="shared" si="406"/>
        <v>0.96128743169413156</v>
      </c>
      <c r="AC98" s="105">
        <f t="shared" si="399"/>
        <v>-13.272566000449046</v>
      </c>
      <c r="AD98" s="65">
        <f t="shared" ref="AD98:AE98" si="407">AC58-AD58</f>
        <v>-16.691280574893312</v>
      </c>
      <c r="AE98" s="65">
        <f t="shared" si="407"/>
        <v>0.83663465205472676</v>
      </c>
      <c r="AF98" s="105">
        <f t="shared" si="401"/>
        <v>-15.854645922838586</v>
      </c>
      <c r="AG98" s="65">
        <f t="shared" ref="AG98:AH98" si="408">AF58-AG58</f>
        <v>-21.811692712328806</v>
      </c>
      <c r="AH98" s="65">
        <f t="shared" si="408"/>
        <v>-0.48651529293158546</v>
      </c>
      <c r="AI98" s="67">
        <f t="shared" si="403"/>
        <v>-22.298208005260392</v>
      </c>
    </row>
    <row r="99" spans="2:38" s="65" customFormat="1" x14ac:dyDescent="0.3">
      <c r="B99" s="274" t="s">
        <v>121</v>
      </c>
      <c r="C99" s="65">
        <v>-18</v>
      </c>
      <c r="D99" s="65">
        <f t="shared" si="376"/>
        <v>13.5</v>
      </c>
      <c r="E99" s="105">
        <v>-4.5</v>
      </c>
      <c r="F99" s="65">
        <v>13.3</v>
      </c>
      <c r="G99" s="65">
        <f t="shared" si="377"/>
        <v>66.400000000000006</v>
      </c>
      <c r="H99" s="105">
        <v>79.7</v>
      </c>
      <c r="I99" s="65">
        <v>29</v>
      </c>
      <c r="J99" s="65">
        <f t="shared" si="378"/>
        <v>32.6</v>
      </c>
      <c r="K99" s="105">
        <v>61.6</v>
      </c>
      <c r="L99" s="65">
        <v>-23.1</v>
      </c>
      <c r="M99" s="65">
        <f t="shared" si="379"/>
        <v>60.4</v>
      </c>
      <c r="N99" s="105">
        <v>37.299999999999997</v>
      </c>
      <c r="O99" s="65">
        <v>-23.7</v>
      </c>
      <c r="P99" s="65">
        <f t="shared" si="394"/>
        <v>15.399999999999999</v>
      </c>
      <c r="Q99" s="105">
        <v>-8.3000000000000007</v>
      </c>
      <c r="R99" s="65">
        <v>-30.9</v>
      </c>
      <c r="S99" s="65">
        <f t="shared" si="395"/>
        <v>-5.8999999999999986</v>
      </c>
      <c r="T99" s="105">
        <v>-36.799999999999997</v>
      </c>
      <c r="U99" s="65">
        <v>13.8</v>
      </c>
      <c r="V99" s="65">
        <f>V81-U81</f>
        <v>-56.521150684931399</v>
      </c>
      <c r="W99" s="105">
        <f t="shared" si="404"/>
        <v>-42.721150684931402</v>
      </c>
      <c r="X99" s="65">
        <f t="shared" ref="X99:Y99" si="409">X81-W81</f>
        <v>52.321139726027241</v>
      </c>
      <c r="Y99" s="65">
        <f t="shared" si="409"/>
        <v>-1.9175872876711537</v>
      </c>
      <c r="Z99" s="105">
        <f t="shared" si="397"/>
        <v>50.403552438356087</v>
      </c>
      <c r="AA99" s="65">
        <f t="shared" ref="AA99:AB99" si="410">AA81-Z81</f>
        <v>15.368167426903142</v>
      </c>
      <c r="AB99" s="65">
        <f t="shared" si="410"/>
        <v>-1.6957110295081748</v>
      </c>
      <c r="AC99" s="105">
        <f t="shared" si="399"/>
        <v>13.672456397394967</v>
      </c>
      <c r="AD99" s="65">
        <f t="shared" ref="AD99:AE99" si="411">AD81-AC81</f>
        <v>18.864081202605007</v>
      </c>
      <c r="AE99" s="65">
        <f t="shared" si="411"/>
        <v>-1.4523977559671266</v>
      </c>
      <c r="AF99" s="105">
        <f t="shared" si="401"/>
        <v>17.41168344663788</v>
      </c>
      <c r="AG99" s="65">
        <f t="shared" ref="AG99:AH99" si="412">AG81-AF81</f>
        <v>21.11513951281097</v>
      </c>
      <c r="AH99" s="65">
        <f t="shared" si="412"/>
        <v>0.82415690622599413</v>
      </c>
      <c r="AI99" s="67">
        <f t="shared" si="403"/>
        <v>21.939296419036964</v>
      </c>
    </row>
    <row r="100" spans="2:38" s="65" customFormat="1" x14ac:dyDescent="0.3">
      <c r="B100" s="274" t="s">
        <v>122</v>
      </c>
      <c r="C100" s="65">
        <v>-29</v>
      </c>
      <c r="D100" s="65">
        <f t="shared" si="376"/>
        <v>15.9</v>
      </c>
      <c r="E100" s="105">
        <v>-13.1</v>
      </c>
      <c r="F100" s="65">
        <v>-13.6</v>
      </c>
      <c r="G100" s="65">
        <f t="shared" si="377"/>
        <v>12</v>
      </c>
      <c r="H100" s="105">
        <v>-1.6</v>
      </c>
      <c r="I100" s="65">
        <v>-41.1</v>
      </c>
      <c r="J100" s="65">
        <f t="shared" si="378"/>
        <v>-4.2999999999999972</v>
      </c>
      <c r="K100" s="105">
        <v>-45.4</v>
      </c>
      <c r="L100" s="65">
        <v>-54.9</v>
      </c>
      <c r="M100" s="65">
        <f t="shared" si="379"/>
        <v>42.4</v>
      </c>
      <c r="N100" s="105">
        <v>-12.5</v>
      </c>
      <c r="O100" s="65">
        <v>-35.9</v>
      </c>
      <c r="P100" s="65">
        <f t="shared" si="394"/>
        <v>44.2</v>
      </c>
      <c r="Q100" s="105">
        <v>8.3000000000000007</v>
      </c>
      <c r="R100" s="65">
        <v>-19.600000000000001</v>
      </c>
      <c r="S100" s="65">
        <f t="shared" si="395"/>
        <v>30.6</v>
      </c>
      <c r="T100" s="105">
        <v>11</v>
      </c>
      <c r="U100" s="65">
        <v>-16.2</v>
      </c>
      <c r="W100" s="105">
        <f t="shared" si="404"/>
        <v>-16.2</v>
      </c>
      <c r="Z100" s="105">
        <f t="shared" si="397"/>
        <v>0</v>
      </c>
      <c r="AC100" s="105">
        <f t="shared" si="399"/>
        <v>0</v>
      </c>
      <c r="AF100" s="105">
        <f t="shared" si="401"/>
        <v>0</v>
      </c>
      <c r="AI100" s="67">
        <f t="shared" si="403"/>
        <v>0</v>
      </c>
    </row>
    <row r="101" spans="2:38" s="65" customFormat="1" x14ac:dyDescent="0.3">
      <c r="B101" s="275" t="s">
        <v>139</v>
      </c>
      <c r="C101" s="25">
        <f>SUM(C97:C100)-0.1</f>
        <v>-74.599999999999994</v>
      </c>
      <c r="D101" s="25">
        <f t="shared" ref="D101:M101" si="413">SUM(D97:D100)</f>
        <v>2.2000000000000117</v>
      </c>
      <c r="E101" s="276">
        <f t="shared" si="413"/>
        <v>-72.299999999999983</v>
      </c>
      <c r="F101" s="25">
        <f>SUM(F97:F100)+0.1</f>
        <v>-41.099999999999994</v>
      </c>
      <c r="G101" s="25">
        <f t="shared" si="413"/>
        <v>28.300000000000004</v>
      </c>
      <c r="H101" s="276">
        <f t="shared" si="413"/>
        <v>-12.899999999999997</v>
      </c>
      <c r="I101" s="25">
        <f t="shared" si="413"/>
        <v>-128.30000000000001</v>
      </c>
      <c r="J101" s="25">
        <f t="shared" si="413"/>
        <v>-11.999999999999993</v>
      </c>
      <c r="K101" s="276">
        <f>SUM(K97:K100)-0.1</f>
        <v>-140.4</v>
      </c>
      <c r="L101" s="25">
        <f t="shared" si="413"/>
        <v>-210.8</v>
      </c>
      <c r="M101" s="25">
        <f t="shared" si="413"/>
        <v>16.099999999999994</v>
      </c>
      <c r="N101" s="276">
        <f>SUM(N97:N100)+0.1</f>
        <v>-194.6</v>
      </c>
      <c r="O101" s="25">
        <f>SUM(O97:O100)</f>
        <v>-172.9</v>
      </c>
      <c r="P101" s="25">
        <f t="shared" ref="P101" si="414">SUM(P97:P100)</f>
        <v>28.70000000000001</v>
      </c>
      <c r="Q101" s="276">
        <f>SUM(Q97:Q100)+0.1</f>
        <v>-144.1</v>
      </c>
      <c r="R101" s="25">
        <f>SUM(R97:R100)</f>
        <v>-118.69999999999999</v>
      </c>
      <c r="S101" s="25">
        <f t="shared" ref="S101" si="415">SUM(S97:S100)</f>
        <v>-13</v>
      </c>
      <c r="T101" s="276">
        <f>SUM(T97:T100)</f>
        <v>-131.69999999999999</v>
      </c>
      <c r="U101" s="25">
        <f>SUM(U97:U100)-0.1</f>
        <v>-70</v>
      </c>
      <c r="V101" s="25">
        <f t="shared" ref="V101" si="416">SUM(V97:V100)</f>
        <v>-272.1047123287675</v>
      </c>
      <c r="W101" s="276">
        <f t="shared" ref="W101:Y101" si="417">SUM(W97:W100)</f>
        <v>-342.00471232876748</v>
      </c>
      <c r="X101" s="25">
        <f t="shared" si="417"/>
        <v>-166.81310684931475</v>
      </c>
      <c r="Y101" s="25">
        <f t="shared" si="417"/>
        <v>-42.058679890411327</v>
      </c>
      <c r="Z101" s="276">
        <f t="shared" ref="Z101:AI101" si="418">SUM(Z97:Z100)</f>
        <v>-208.87178673972608</v>
      </c>
      <c r="AA101" s="25">
        <f t="shared" si="418"/>
        <v>-151.18988912822795</v>
      </c>
      <c r="AB101" s="25">
        <f t="shared" si="418"/>
        <v>6.2637489049178612</v>
      </c>
      <c r="AC101" s="276">
        <f t="shared" si="418"/>
        <v>-144.92614022331009</v>
      </c>
      <c r="AD101" s="25">
        <f t="shared" si="418"/>
        <v>-119.3397219575113</v>
      </c>
      <c r="AE101" s="25">
        <f t="shared" si="418"/>
        <v>5.4749371630463202</v>
      </c>
      <c r="AF101" s="276">
        <f t="shared" si="418"/>
        <v>-113.86478479446498</v>
      </c>
      <c r="AG101" s="25">
        <f t="shared" si="418"/>
        <v>-159.48567614527104</v>
      </c>
      <c r="AH101" s="25">
        <f t="shared" si="418"/>
        <v>-3.2041897192477791</v>
      </c>
      <c r="AI101" s="26">
        <f t="shared" si="418"/>
        <v>-162.68986586451882</v>
      </c>
    </row>
    <row r="102" spans="2:38" s="65" customFormat="1" x14ac:dyDescent="0.3">
      <c r="B102" s="275" t="s">
        <v>123</v>
      </c>
      <c r="C102" s="25">
        <f t="shared" ref="C102:N102" si="419">C96+C101</f>
        <v>81.200000000000017</v>
      </c>
      <c r="D102" s="25">
        <f t="shared" si="419"/>
        <v>98.8</v>
      </c>
      <c r="E102" s="276">
        <f>E96+E101+0.1</f>
        <v>180.20000000000002</v>
      </c>
      <c r="F102" s="25">
        <f>F96+F101+0.1</f>
        <v>82.800000000000011</v>
      </c>
      <c r="G102" s="25">
        <f t="shared" si="419"/>
        <v>176.9</v>
      </c>
      <c r="H102" s="276">
        <f t="shared" si="419"/>
        <v>259.60000000000008</v>
      </c>
      <c r="I102" s="25">
        <f t="shared" si="419"/>
        <v>107.1</v>
      </c>
      <c r="J102" s="25">
        <f t="shared" si="419"/>
        <v>135.99999999999997</v>
      </c>
      <c r="K102" s="276">
        <f t="shared" si="419"/>
        <v>242.99999999999997</v>
      </c>
      <c r="L102" s="25">
        <f t="shared" si="419"/>
        <v>133</v>
      </c>
      <c r="M102" s="25">
        <f t="shared" si="419"/>
        <v>153.9</v>
      </c>
      <c r="N102" s="276">
        <f t="shared" si="419"/>
        <v>287</v>
      </c>
      <c r="O102" s="25">
        <f>O96+O101</f>
        <v>22.499999999999972</v>
      </c>
      <c r="P102" s="25">
        <f t="shared" ref="P102:Q102" si="420">P96+P101</f>
        <v>189.6</v>
      </c>
      <c r="Q102" s="276">
        <f t="shared" si="420"/>
        <v>212.30000000000004</v>
      </c>
      <c r="R102" s="25">
        <f>R96+R101</f>
        <v>55.600000000000051</v>
      </c>
      <c r="S102" s="25">
        <f t="shared" ref="S102:T102" si="421">S96+S101</f>
        <v>80.599999999999966</v>
      </c>
      <c r="T102" s="276">
        <f t="shared" si="421"/>
        <v>136.10000000000002</v>
      </c>
      <c r="U102" s="25">
        <f>U96+U101</f>
        <v>63.200000000000045</v>
      </c>
      <c r="V102" s="25">
        <f t="shared" ref="V102" si="422">V96+V101</f>
        <v>-134.51171232876752</v>
      </c>
      <c r="W102" s="276">
        <f t="shared" ref="W102:Y102" si="423">W96+W101</f>
        <v>-71.211712328767419</v>
      </c>
      <c r="X102" s="25">
        <f t="shared" si="423"/>
        <v>-22.925886849314736</v>
      </c>
      <c r="Y102" s="25">
        <f t="shared" si="423"/>
        <v>101.55683210958867</v>
      </c>
      <c r="Z102" s="276">
        <f t="shared" ref="Z102:AI102" si="424">Z96+Z101</f>
        <v>78.630945260273961</v>
      </c>
      <c r="AA102" s="25">
        <f t="shared" si="424"/>
        <v>-1.1200097682279022</v>
      </c>
      <c r="AB102" s="25">
        <f t="shared" si="424"/>
        <v>156.16008538491792</v>
      </c>
      <c r="AC102" s="276">
        <f t="shared" si="424"/>
        <v>155.04007561668982</v>
      </c>
      <c r="AD102" s="25">
        <f t="shared" si="424"/>
        <v>37.166925792888691</v>
      </c>
      <c r="AE102" s="25">
        <f t="shared" si="424"/>
        <v>161.92247851344629</v>
      </c>
      <c r="AF102" s="276">
        <f t="shared" si="424"/>
        <v>199.0894043063351</v>
      </c>
      <c r="AG102" s="25">
        <f t="shared" si="424"/>
        <v>5.7776986159450132</v>
      </c>
      <c r="AH102" s="25">
        <f t="shared" si="424"/>
        <v>162.9966016865763</v>
      </c>
      <c r="AI102" s="26">
        <f t="shared" si="424"/>
        <v>168.7743003025214</v>
      </c>
    </row>
    <row r="103" spans="2:38" s="65" customFormat="1" x14ac:dyDescent="0.3">
      <c r="B103" s="274" t="s">
        <v>124</v>
      </c>
      <c r="C103" s="65">
        <v>0</v>
      </c>
      <c r="D103" s="65">
        <f t="shared" ref="D103:D105" si="425">E103-C103</f>
        <v>-0.7</v>
      </c>
      <c r="E103" s="105">
        <v>-0.7</v>
      </c>
      <c r="F103" s="65">
        <v>0</v>
      </c>
      <c r="G103" s="65">
        <f t="shared" ref="G103:G105" si="426">H103-F103</f>
        <v>0</v>
      </c>
      <c r="H103" s="105">
        <v>0</v>
      </c>
      <c r="I103" s="65">
        <v>0</v>
      </c>
      <c r="J103" s="65">
        <f t="shared" ref="J103:J105" si="427">K103-I103</f>
        <v>0</v>
      </c>
      <c r="K103" s="105">
        <v>0</v>
      </c>
      <c r="L103" s="65">
        <v>-2.9</v>
      </c>
      <c r="M103" s="65">
        <f t="shared" ref="M103:M105" si="428">N103-L103</f>
        <v>-6.2999999999999989</v>
      </c>
      <c r="N103" s="105">
        <v>-9.1999999999999993</v>
      </c>
      <c r="O103" s="65">
        <v>0</v>
      </c>
      <c r="P103" s="65">
        <f t="shared" ref="P103:P105" si="429">Q103-O103</f>
        <v>-4.5</v>
      </c>
      <c r="Q103" s="105">
        <v>-4.5</v>
      </c>
      <c r="R103" s="65">
        <v>-6.2</v>
      </c>
      <c r="S103" s="65">
        <f t="shared" ref="S103:S105" si="430">T103-R103</f>
        <v>-2.2000000000000002</v>
      </c>
      <c r="T103" s="105">
        <v>-8.4</v>
      </c>
      <c r="U103" s="65">
        <v>-3.8</v>
      </c>
      <c r="W103" s="105">
        <f t="shared" ref="W103:W105" si="431">U103+V103</f>
        <v>-3.8</v>
      </c>
      <c r="Z103" s="105">
        <f t="shared" ref="Z103:Z105" si="432">X103+Y103</f>
        <v>0</v>
      </c>
      <c r="AC103" s="105">
        <f t="shared" ref="AC103:AC105" si="433">AA103+AB103</f>
        <v>0</v>
      </c>
      <c r="AF103" s="105">
        <f t="shared" ref="AF103:AF105" si="434">AD103+AE103</f>
        <v>0</v>
      </c>
      <c r="AI103" s="67">
        <f t="shared" ref="AI103:AI105" si="435">AG103+AH103</f>
        <v>0</v>
      </c>
    </row>
    <row r="104" spans="2:38" s="65" customFormat="1" x14ac:dyDescent="0.3">
      <c r="B104" s="274" t="s">
        <v>140</v>
      </c>
      <c r="C104" s="65">
        <v>-8.5</v>
      </c>
      <c r="D104" s="65">
        <f t="shared" si="425"/>
        <v>-4.5999999999999996</v>
      </c>
      <c r="E104" s="105">
        <v>-13.1</v>
      </c>
      <c r="F104" s="65">
        <v>-7.3</v>
      </c>
      <c r="G104" s="65">
        <f t="shared" si="426"/>
        <v>-2.7</v>
      </c>
      <c r="H104" s="105">
        <v>-10</v>
      </c>
      <c r="I104" s="65">
        <v>-6.5</v>
      </c>
      <c r="J104" s="65">
        <f t="shared" si="427"/>
        <v>-2.1999999999999993</v>
      </c>
      <c r="K104" s="105">
        <v>-8.6999999999999993</v>
      </c>
      <c r="L104" s="65">
        <v>-4.7</v>
      </c>
      <c r="M104" s="65">
        <f t="shared" si="428"/>
        <v>-8.6000000000000014</v>
      </c>
      <c r="N104" s="105">
        <v>-13.3</v>
      </c>
      <c r="O104" s="65">
        <v>-13.9</v>
      </c>
      <c r="P104" s="65">
        <f t="shared" si="429"/>
        <v>-10.799999999999999</v>
      </c>
      <c r="Q104" s="105">
        <v>-24.7</v>
      </c>
      <c r="R104" s="65">
        <v>-28.8</v>
      </c>
      <c r="S104" s="65">
        <f t="shared" si="430"/>
        <v>-8.5999999999999979</v>
      </c>
      <c r="T104" s="105">
        <v>-37.4</v>
      </c>
      <c r="U104" s="65">
        <v>-28.8</v>
      </c>
      <c r="V104" s="65">
        <f t="shared" ref="V104" si="436">-V21</f>
        <v>-17.318999999999999</v>
      </c>
      <c r="W104" s="105">
        <f t="shared" si="431"/>
        <v>-46.119</v>
      </c>
      <c r="X104" s="65">
        <f t="shared" ref="X104:Y104" si="437">-X21</f>
        <v>-16.718999999999998</v>
      </c>
      <c r="Y104" s="65">
        <f t="shared" si="437"/>
        <v>-16.418999999999997</v>
      </c>
      <c r="Z104" s="105">
        <f t="shared" si="432"/>
        <v>-33.137999999999991</v>
      </c>
      <c r="AA104" s="65">
        <f t="shared" ref="AA104:AB104" si="438">-AA21</f>
        <v>-15.818999999999997</v>
      </c>
      <c r="AB104" s="65">
        <f t="shared" si="438"/>
        <v>-15.518999999999998</v>
      </c>
      <c r="AC104" s="105">
        <f t="shared" si="433"/>
        <v>-31.337999999999994</v>
      </c>
      <c r="AD104" s="65">
        <f t="shared" ref="AD104:AE104" si="439">-AD21</f>
        <v>-14.918999999999999</v>
      </c>
      <c r="AE104" s="65">
        <f t="shared" si="439"/>
        <v>-14.618999999999998</v>
      </c>
      <c r="AF104" s="105">
        <f t="shared" si="434"/>
        <v>-29.537999999999997</v>
      </c>
      <c r="AG104" s="65">
        <f t="shared" ref="AG104:AH104" si="440">-AG21</f>
        <v>-14.018999999999998</v>
      </c>
      <c r="AH104" s="65">
        <f t="shared" si="440"/>
        <v>-13.718999999999998</v>
      </c>
      <c r="AI104" s="67">
        <f t="shared" si="435"/>
        <v>-27.737999999999996</v>
      </c>
    </row>
    <row r="105" spans="2:38" s="65" customFormat="1" x14ac:dyDescent="0.3">
      <c r="B105" s="274" t="s">
        <v>225</v>
      </c>
      <c r="C105" s="65">
        <v>-41.6</v>
      </c>
      <c r="D105" s="65">
        <f t="shared" si="425"/>
        <v>-44.199999999999996</v>
      </c>
      <c r="E105" s="105">
        <v>-85.8</v>
      </c>
      <c r="F105" s="65">
        <v>-22.4</v>
      </c>
      <c r="G105" s="65">
        <f t="shared" si="426"/>
        <v>-50.1</v>
      </c>
      <c r="H105" s="105">
        <v>-72.5</v>
      </c>
      <c r="I105" s="65">
        <v>-47.3</v>
      </c>
      <c r="J105" s="65">
        <f t="shared" si="427"/>
        <v>-42.3</v>
      </c>
      <c r="K105" s="105">
        <v>-89.6</v>
      </c>
      <c r="L105" s="65">
        <v>-77.2</v>
      </c>
      <c r="M105" s="65">
        <f t="shared" si="428"/>
        <v>-63.2</v>
      </c>
      <c r="N105" s="105">
        <v>-140.4</v>
      </c>
      <c r="O105" s="65">
        <v>-61.8</v>
      </c>
      <c r="P105" s="65">
        <f t="shared" si="429"/>
        <v>-26.600000000000009</v>
      </c>
      <c r="Q105" s="105">
        <v>-88.4</v>
      </c>
      <c r="R105" s="65">
        <v>-1.4</v>
      </c>
      <c r="S105" s="65">
        <f t="shared" si="430"/>
        <v>-18.5</v>
      </c>
      <c r="T105" s="105">
        <v>-19.899999999999999</v>
      </c>
      <c r="U105" s="65">
        <v>-27.5</v>
      </c>
      <c r="V105" s="65">
        <f t="shared" ref="V105" si="441">-V25</f>
        <v>-27.101359999999996</v>
      </c>
      <c r="W105" s="105">
        <f t="shared" si="431"/>
        <v>-54.60136</v>
      </c>
      <c r="X105" s="65">
        <f t="shared" ref="X105:Y105" si="442">-X25</f>
        <v>-28.767440000000004</v>
      </c>
      <c r="Y105" s="65">
        <f t="shared" si="442"/>
        <v>-28.642338400000003</v>
      </c>
      <c r="Z105" s="105">
        <f t="shared" si="432"/>
        <v>-57.409778400000008</v>
      </c>
      <c r="AA105" s="65">
        <f t="shared" ref="AA105:AB105" si="443">-AA25</f>
        <v>-30.344828800000013</v>
      </c>
      <c r="AB105" s="65">
        <f t="shared" si="443"/>
        <v>-30.239876576000015</v>
      </c>
      <c r="AC105" s="105">
        <f t="shared" si="433"/>
        <v>-60.584705376000031</v>
      </c>
      <c r="AD105" s="65">
        <f t="shared" ref="AD105:AE105" si="444">-AD25</f>
        <v>-31.977458240000001</v>
      </c>
      <c r="AE105" s="65">
        <f t="shared" si="444"/>
        <v>-31.896664983039997</v>
      </c>
      <c r="AF105" s="105">
        <f t="shared" si="434"/>
        <v>-63.874123223040002</v>
      </c>
      <c r="AG105" s="65">
        <f t="shared" ref="AG105:AH105" si="445">-AG25</f>
        <v>-34.201991249920013</v>
      </c>
      <c r="AH105" s="65">
        <f t="shared" si="445"/>
        <v>-34.372331852518428</v>
      </c>
      <c r="AI105" s="67">
        <f t="shared" si="435"/>
        <v>-68.574323102438441</v>
      </c>
    </row>
    <row r="106" spans="2:38" s="65" customFormat="1" x14ac:dyDescent="0.3">
      <c r="B106" s="275" t="s">
        <v>125</v>
      </c>
      <c r="C106" s="25">
        <f t="shared" ref="C106:M106" si="446">SUM(C103:C105)</f>
        <v>-50.1</v>
      </c>
      <c r="D106" s="25">
        <f t="shared" si="446"/>
        <v>-49.499999999999993</v>
      </c>
      <c r="E106" s="276">
        <f>SUM(E103:E105)-0.1</f>
        <v>-99.699999999999989</v>
      </c>
      <c r="F106" s="25">
        <f t="shared" si="446"/>
        <v>-29.7</v>
      </c>
      <c r="G106" s="25">
        <f t="shared" si="446"/>
        <v>-52.800000000000004</v>
      </c>
      <c r="H106" s="276">
        <f t="shared" si="446"/>
        <v>-82.5</v>
      </c>
      <c r="I106" s="25">
        <f t="shared" si="446"/>
        <v>-53.8</v>
      </c>
      <c r="J106" s="25">
        <f t="shared" si="446"/>
        <v>-44.5</v>
      </c>
      <c r="K106" s="276">
        <f t="shared" si="446"/>
        <v>-98.3</v>
      </c>
      <c r="L106" s="25">
        <f t="shared" si="446"/>
        <v>-84.8</v>
      </c>
      <c r="M106" s="25">
        <f t="shared" si="446"/>
        <v>-78.100000000000009</v>
      </c>
      <c r="N106" s="276">
        <f>SUM(N103:N105)+0.1</f>
        <v>-162.80000000000001</v>
      </c>
      <c r="O106" s="25">
        <f>SUM(O103:O105)</f>
        <v>-75.7</v>
      </c>
      <c r="P106" s="25">
        <f t="shared" ref="P106" si="447">SUM(P103:P105)</f>
        <v>-41.900000000000006</v>
      </c>
      <c r="Q106" s="276">
        <f>SUM(Q103:Q105)+0.1</f>
        <v>-117.50000000000001</v>
      </c>
      <c r="R106" s="25">
        <f>SUM(R103:R105)</f>
        <v>-36.4</v>
      </c>
      <c r="S106" s="25">
        <f t="shared" ref="S106" si="448">SUM(S103:S105)</f>
        <v>-29.299999999999997</v>
      </c>
      <c r="T106" s="276">
        <f>SUM(T103:T105)</f>
        <v>-65.699999999999989</v>
      </c>
      <c r="U106" s="25">
        <f>SUM(U103:U105)</f>
        <v>-60.1</v>
      </c>
      <c r="V106" s="25">
        <f t="shared" ref="V106" si="449">SUM(V103:V105)</f>
        <v>-44.420359999999995</v>
      </c>
      <c r="W106" s="276">
        <f t="shared" ref="W106:Y106" si="450">SUM(W103:W105)</f>
        <v>-104.52036</v>
      </c>
      <c r="X106" s="25">
        <f t="shared" si="450"/>
        <v>-45.486440000000002</v>
      </c>
      <c r="Y106" s="25">
        <f t="shared" si="450"/>
        <v>-45.061338399999997</v>
      </c>
      <c r="Z106" s="276">
        <f t="shared" ref="Z106:AI106" si="451">SUM(Z103:Z105)</f>
        <v>-90.547778399999999</v>
      </c>
      <c r="AA106" s="25">
        <f t="shared" si="451"/>
        <v>-46.163828800000012</v>
      </c>
      <c r="AB106" s="25">
        <f t="shared" si="451"/>
        <v>-45.758876576000013</v>
      </c>
      <c r="AC106" s="276">
        <f t="shared" si="451"/>
        <v>-91.922705376000025</v>
      </c>
      <c r="AD106" s="25">
        <f t="shared" si="451"/>
        <v>-46.896458240000001</v>
      </c>
      <c r="AE106" s="25">
        <f t="shared" si="451"/>
        <v>-46.515664983039997</v>
      </c>
      <c r="AF106" s="276">
        <f t="shared" si="451"/>
        <v>-93.412123223039998</v>
      </c>
      <c r="AG106" s="25">
        <f t="shared" si="451"/>
        <v>-48.220991249920012</v>
      </c>
      <c r="AH106" s="25">
        <f t="shared" si="451"/>
        <v>-48.091331852518422</v>
      </c>
      <c r="AI106" s="26">
        <f t="shared" si="451"/>
        <v>-96.312323102438441</v>
      </c>
    </row>
    <row r="107" spans="2:38" s="65" customFormat="1" x14ac:dyDescent="0.3">
      <c r="B107" s="275" t="s">
        <v>126</v>
      </c>
      <c r="C107" s="25">
        <f t="shared" ref="C107:M107" si="452">C102+C106</f>
        <v>31.100000000000016</v>
      </c>
      <c r="D107" s="25">
        <f t="shared" si="452"/>
        <v>49.300000000000004</v>
      </c>
      <c r="E107" s="276">
        <f t="shared" si="452"/>
        <v>80.500000000000028</v>
      </c>
      <c r="F107" s="25">
        <f t="shared" si="452"/>
        <v>53.100000000000009</v>
      </c>
      <c r="G107" s="25">
        <f t="shared" si="452"/>
        <v>124.1</v>
      </c>
      <c r="H107" s="276">
        <f t="shared" si="452"/>
        <v>177.10000000000008</v>
      </c>
      <c r="I107" s="25">
        <f>I102+I106-0.1</f>
        <v>53.199999999999996</v>
      </c>
      <c r="J107" s="25">
        <f t="shared" si="452"/>
        <v>91.499999999999972</v>
      </c>
      <c r="K107" s="276">
        <f>K102+K106+0.1</f>
        <v>144.79999999999998</v>
      </c>
      <c r="L107" s="25">
        <f>L102+L106+0.1</f>
        <v>48.300000000000004</v>
      </c>
      <c r="M107" s="25">
        <f t="shared" si="452"/>
        <v>75.8</v>
      </c>
      <c r="N107" s="276">
        <f>N102+N106-0.1</f>
        <v>124.1</v>
      </c>
      <c r="O107" s="25">
        <f>O102+O106</f>
        <v>-53.200000000000031</v>
      </c>
      <c r="P107" s="25">
        <f t="shared" ref="P107" si="453">P102+P106</f>
        <v>147.69999999999999</v>
      </c>
      <c r="Q107" s="276">
        <f>Q102+Q106-0.1</f>
        <v>94.700000000000031</v>
      </c>
      <c r="R107" s="25">
        <f>R102+R106-0.1</f>
        <v>19.100000000000051</v>
      </c>
      <c r="S107" s="25">
        <f t="shared" ref="S107" si="454">S102+S106</f>
        <v>51.299999999999969</v>
      </c>
      <c r="T107" s="276">
        <f>T102+T106</f>
        <v>70.400000000000034</v>
      </c>
      <c r="U107" s="25">
        <f>U102+U106</f>
        <v>3.1000000000000441</v>
      </c>
      <c r="V107" s="25">
        <f t="shared" ref="V107" si="455">V102+V106</f>
        <v>-178.9320723287675</v>
      </c>
      <c r="W107" s="276">
        <f t="shared" ref="W107:Y107" si="456">W102+W106</f>
        <v>-175.7320723287674</v>
      </c>
      <c r="X107" s="25">
        <f t="shared" si="456"/>
        <v>-68.412326849314738</v>
      </c>
      <c r="Y107" s="25">
        <f t="shared" si="456"/>
        <v>56.495493709588672</v>
      </c>
      <c r="Z107" s="276">
        <f t="shared" ref="Z107:AI107" si="457">Z102+Z106</f>
        <v>-11.916833139726037</v>
      </c>
      <c r="AA107" s="25">
        <f t="shared" si="457"/>
        <v>-47.283838568227914</v>
      </c>
      <c r="AB107" s="25">
        <f t="shared" si="457"/>
        <v>110.40120880891791</v>
      </c>
      <c r="AC107" s="276">
        <f t="shared" si="457"/>
        <v>63.117370240689795</v>
      </c>
      <c r="AD107" s="25">
        <f t="shared" si="457"/>
        <v>-9.7295324471113105</v>
      </c>
      <c r="AE107" s="25">
        <f t="shared" si="457"/>
        <v>115.4068135304063</v>
      </c>
      <c r="AF107" s="276">
        <f t="shared" si="457"/>
        <v>105.6772810832951</v>
      </c>
      <c r="AG107" s="25">
        <f t="shared" si="457"/>
        <v>-42.443292633974998</v>
      </c>
      <c r="AH107" s="25">
        <f t="shared" si="457"/>
        <v>114.90526983405788</v>
      </c>
      <c r="AI107" s="26">
        <f t="shared" si="457"/>
        <v>72.461977200082956</v>
      </c>
    </row>
    <row r="108" spans="2:38" s="65" customFormat="1" x14ac:dyDescent="0.3">
      <c r="B108" s="274"/>
      <c r="E108" s="105"/>
      <c r="H108" s="105"/>
      <c r="K108" s="105"/>
      <c r="N108" s="105"/>
      <c r="Q108" s="105"/>
      <c r="T108" s="105"/>
      <c r="W108" s="105"/>
      <c r="Z108" s="105"/>
      <c r="AC108" s="105"/>
      <c r="AF108" s="105"/>
      <c r="AI108" s="67"/>
    </row>
    <row r="109" spans="2:38" s="65" customFormat="1" x14ac:dyDescent="0.3">
      <c r="B109" s="274" t="s">
        <v>127</v>
      </c>
      <c r="C109" s="65">
        <v>-26.1</v>
      </c>
      <c r="D109" s="65">
        <f t="shared" ref="D109:D113" si="458">E109-C109</f>
        <v>-38.699999999999996</v>
      </c>
      <c r="E109" s="105">
        <v>-64.8</v>
      </c>
      <c r="F109" s="65">
        <v>-20.5</v>
      </c>
      <c r="G109" s="65">
        <f t="shared" ref="G109:G113" si="459">H109-F109</f>
        <v>-33.5</v>
      </c>
      <c r="H109" s="105">
        <v>-54</v>
      </c>
      <c r="I109" s="65">
        <v>-23.7</v>
      </c>
      <c r="J109" s="65">
        <f t="shared" ref="J109:J113" si="460">K109-I109</f>
        <v>-30.8</v>
      </c>
      <c r="K109" s="105">
        <v>-54.5</v>
      </c>
      <c r="L109" s="65">
        <v>-31.7</v>
      </c>
      <c r="M109" s="65">
        <f t="shared" ref="M109:M113" si="461">N109-L109</f>
        <v>-43.899999999999991</v>
      </c>
      <c r="N109" s="105">
        <v>-75.599999999999994</v>
      </c>
      <c r="O109" s="65">
        <v>-45.8</v>
      </c>
      <c r="P109" s="65">
        <f t="shared" ref="P109" si="462">Q109-O109</f>
        <v>-35.100000000000009</v>
      </c>
      <c r="Q109" s="105">
        <v>-80.900000000000006</v>
      </c>
      <c r="R109" s="65">
        <v>-18.5</v>
      </c>
      <c r="S109" s="65">
        <f t="shared" ref="S109" si="463">T109-R109</f>
        <v>-32.700000000000003</v>
      </c>
      <c r="T109" s="105">
        <v>-51.2</v>
      </c>
      <c r="U109" s="65">
        <v>-19.600000000000001</v>
      </c>
      <c r="V109" s="65">
        <f>-Schedules!V5-Schedules!V19-Schedules!V33</f>
        <v>-24.311000000000003</v>
      </c>
      <c r="W109" s="105">
        <f>U109+V109</f>
        <v>-43.911000000000001</v>
      </c>
      <c r="X109" s="65">
        <f>-Schedules!X5</f>
        <v>-25.4726</v>
      </c>
      <c r="Y109" s="65">
        <f>-Schedules!Y5</f>
        <v>-25.316368000000004</v>
      </c>
      <c r="Z109" s="105">
        <f>-Schedules!Z5-Schedules!Z19-Schedules!Z33</f>
        <v>-50.788968000000004</v>
      </c>
      <c r="AA109" s="65">
        <f>-Schedules!AA5</f>
        <v>-26.505976000000004</v>
      </c>
      <c r="AB109" s="65">
        <f>-Schedules!AB5</f>
        <v>-26.365243520000007</v>
      </c>
      <c r="AC109" s="105">
        <f>-Schedules!AC5-Schedules!AC19-Schedules!AC33</f>
        <v>-52.871219520000011</v>
      </c>
      <c r="AD109" s="65">
        <f>-Schedules!AD5</f>
        <v>-27.581844799999999</v>
      </c>
      <c r="AE109" s="65">
        <f>-Schedules!AE5</f>
        <v>-27.459696140800006</v>
      </c>
      <c r="AF109" s="105">
        <f>-Schedules!AF5-Schedules!AF19-Schedules!AF33</f>
        <v>-55.041540940800004</v>
      </c>
      <c r="AG109" s="65">
        <f>-Schedules!AG5</f>
        <v>-29.113024038400006</v>
      </c>
      <c r="AH109" s="65">
        <f>-Schedules!AH5</f>
        <v>-29.184055271168013</v>
      </c>
      <c r="AI109" s="67">
        <f>-Schedules!AI5-Schedules!AI19-Schedules!AI33</f>
        <v>-58.297079309568019</v>
      </c>
    </row>
    <row r="110" spans="2:38" s="65" customFormat="1" x14ac:dyDescent="0.3">
      <c r="B110" s="274" t="s">
        <v>141</v>
      </c>
      <c r="C110" s="65">
        <v>0</v>
      </c>
      <c r="D110" s="65">
        <f>E110-C110</f>
        <v>0</v>
      </c>
      <c r="E110" s="105">
        <v>0</v>
      </c>
      <c r="F110" s="65">
        <v>-9.5</v>
      </c>
      <c r="G110" s="65">
        <f>H110-F110</f>
        <v>2.8</v>
      </c>
      <c r="H110" s="105">
        <v>-6.7</v>
      </c>
      <c r="I110" s="65">
        <v>0</v>
      </c>
      <c r="J110" s="65">
        <f>K110-I110</f>
        <v>0</v>
      </c>
      <c r="K110" s="105">
        <v>0</v>
      </c>
      <c r="L110" s="65">
        <v>0</v>
      </c>
      <c r="M110" s="65">
        <f>N110-L110</f>
        <v>0</v>
      </c>
      <c r="N110" s="105">
        <v>0</v>
      </c>
      <c r="O110" s="65">
        <v>0</v>
      </c>
      <c r="P110" s="65">
        <f>Q110-O110</f>
        <v>0</v>
      </c>
      <c r="Q110" s="105">
        <v>0</v>
      </c>
      <c r="R110" s="65">
        <v>0</v>
      </c>
      <c r="S110" s="65">
        <f>T110-R110</f>
        <v>0</v>
      </c>
      <c r="T110" s="105"/>
      <c r="U110" s="65">
        <v>-4</v>
      </c>
      <c r="W110" s="105">
        <f t="shared" ref="W110:W113" si="464">U110+V110</f>
        <v>-4</v>
      </c>
      <c r="Z110" s="105">
        <f t="shared" ref="Z110:Z113" si="465">X110+Y110</f>
        <v>0</v>
      </c>
      <c r="AC110" s="105">
        <f t="shared" ref="AC110:AC113" si="466">AA110+AB110</f>
        <v>0</v>
      </c>
      <c r="AF110" s="105">
        <f t="shared" ref="AF110:AF113" si="467">AD110+AE110</f>
        <v>0</v>
      </c>
      <c r="AI110" s="67">
        <f t="shared" ref="AI110:AI113" si="468">AG110+AH110</f>
        <v>0</v>
      </c>
      <c r="AL110" s="65" t="s">
        <v>204</v>
      </c>
    </row>
    <row r="111" spans="2:38" s="65" customFormat="1" x14ac:dyDescent="0.3">
      <c r="B111" s="274" t="s">
        <v>142</v>
      </c>
      <c r="C111" s="65">
        <v>0.7</v>
      </c>
      <c r="D111" s="65">
        <f>E111-C111</f>
        <v>0.30000000000000004</v>
      </c>
      <c r="E111" s="105">
        <v>1</v>
      </c>
      <c r="F111" s="65">
        <v>0.2</v>
      </c>
      <c r="G111" s="65">
        <f>H111-F111</f>
        <v>1.2</v>
      </c>
      <c r="H111" s="105">
        <v>1.4</v>
      </c>
      <c r="I111" s="65">
        <v>0</v>
      </c>
      <c r="J111" s="65">
        <f>K111-I111</f>
        <v>0</v>
      </c>
      <c r="K111" s="105">
        <v>0</v>
      </c>
      <c r="L111" s="65">
        <v>0</v>
      </c>
      <c r="M111" s="65">
        <f>N111-L111</f>
        <v>0</v>
      </c>
      <c r="N111" s="105">
        <v>0</v>
      </c>
      <c r="O111" s="65">
        <v>0</v>
      </c>
      <c r="P111" s="65">
        <f>Q111-O111</f>
        <v>0</v>
      </c>
      <c r="Q111" s="105">
        <v>0</v>
      </c>
      <c r="R111" s="65">
        <v>0</v>
      </c>
      <c r="S111" s="65">
        <f>T111-R111</f>
        <v>0</v>
      </c>
      <c r="T111" s="105"/>
      <c r="V111" s="65">
        <f>Schedules!V7</f>
        <v>0</v>
      </c>
      <c r="W111" s="105">
        <f t="shared" si="464"/>
        <v>0</v>
      </c>
      <c r="X111" s="65">
        <f>Schedules!X7</f>
        <v>0</v>
      </c>
      <c r="Y111" s="65">
        <f>Schedules!Y7</f>
        <v>0</v>
      </c>
      <c r="Z111" s="105">
        <f t="shared" si="465"/>
        <v>0</v>
      </c>
      <c r="AA111" s="65">
        <f>Schedules!AA7</f>
        <v>0</v>
      </c>
      <c r="AB111" s="65">
        <f>Schedules!AB7</f>
        <v>0</v>
      </c>
      <c r="AC111" s="105">
        <f t="shared" si="466"/>
        <v>0</v>
      </c>
      <c r="AD111" s="65">
        <f>Schedules!AD7</f>
        <v>0</v>
      </c>
      <c r="AE111" s="65">
        <f>Schedules!AE7</f>
        <v>0</v>
      </c>
      <c r="AF111" s="105">
        <f t="shared" si="467"/>
        <v>0</v>
      </c>
      <c r="AG111" s="65">
        <f>Schedules!AG7</f>
        <v>0</v>
      </c>
      <c r="AH111" s="65">
        <f>Schedules!AH7</f>
        <v>0</v>
      </c>
      <c r="AI111" s="67">
        <f t="shared" si="468"/>
        <v>0</v>
      </c>
    </row>
    <row r="112" spans="2:38" s="65" customFormat="1" x14ac:dyDescent="0.3">
      <c r="B112" s="274" t="s">
        <v>143</v>
      </c>
      <c r="C112" s="65">
        <v>0</v>
      </c>
      <c r="D112" s="65">
        <f t="shared" si="458"/>
        <v>9.1</v>
      </c>
      <c r="E112" s="105">
        <v>9.1</v>
      </c>
      <c r="F112" s="65">
        <v>0</v>
      </c>
      <c r="G112" s="65">
        <f t="shared" si="459"/>
        <v>71.3</v>
      </c>
      <c r="H112" s="105">
        <v>71.3</v>
      </c>
      <c r="I112" s="65">
        <v>0</v>
      </c>
      <c r="J112" s="65">
        <f t="shared" si="460"/>
        <v>0</v>
      </c>
      <c r="K112" s="105">
        <v>0</v>
      </c>
      <c r="L112" s="65">
        <v>0.2</v>
      </c>
      <c r="M112" s="65">
        <f t="shared" si="461"/>
        <v>-0.2</v>
      </c>
      <c r="N112" s="105">
        <v>0</v>
      </c>
      <c r="O112" s="65">
        <v>0.4</v>
      </c>
      <c r="P112" s="65">
        <f t="shared" ref="P112:P113" si="469">Q112-O112</f>
        <v>-0.4</v>
      </c>
      <c r="Q112" s="105">
        <v>0</v>
      </c>
      <c r="R112" s="65">
        <v>-8.3000000000000007</v>
      </c>
      <c r="S112" s="65">
        <f t="shared" ref="S112:S113" si="470">T112-R112</f>
        <v>8.3000000000000007</v>
      </c>
      <c r="T112" s="105"/>
      <c r="U112" s="65">
        <v>0.1</v>
      </c>
      <c r="W112" s="105">
        <f t="shared" si="464"/>
        <v>0.1</v>
      </c>
      <c r="Z112" s="105">
        <f t="shared" si="465"/>
        <v>0</v>
      </c>
      <c r="AC112" s="105">
        <f t="shared" si="466"/>
        <v>0</v>
      </c>
      <c r="AF112" s="105">
        <f t="shared" si="467"/>
        <v>0</v>
      </c>
      <c r="AI112" s="67">
        <f t="shared" si="468"/>
        <v>0</v>
      </c>
    </row>
    <row r="113" spans="2:35" s="65" customFormat="1" x14ac:dyDescent="0.3">
      <c r="B113" s="274" t="s">
        <v>128</v>
      </c>
      <c r="C113" s="65">
        <v>0.7</v>
      </c>
      <c r="D113" s="65">
        <f t="shared" si="458"/>
        <v>1.5999999999999999</v>
      </c>
      <c r="E113" s="105">
        <v>2.2999999999999998</v>
      </c>
      <c r="F113" s="65">
        <v>-2</v>
      </c>
      <c r="G113" s="65">
        <f t="shared" si="459"/>
        <v>-1.5</v>
      </c>
      <c r="H113" s="105">
        <v>-3.5</v>
      </c>
      <c r="I113" s="65">
        <v>-13.1</v>
      </c>
      <c r="J113" s="65">
        <f t="shared" si="460"/>
        <v>1.7999999999999989</v>
      </c>
      <c r="K113" s="105">
        <v>-11.3</v>
      </c>
      <c r="L113" s="65">
        <v>-3.5</v>
      </c>
      <c r="M113" s="65">
        <f t="shared" si="461"/>
        <v>19.8</v>
      </c>
      <c r="N113" s="105">
        <v>16.3</v>
      </c>
      <c r="O113" s="65">
        <v>-0.1</v>
      </c>
      <c r="P113" s="65">
        <f t="shared" si="469"/>
        <v>0.6</v>
      </c>
      <c r="Q113" s="105">
        <v>0.5</v>
      </c>
      <c r="R113" s="65">
        <v>3.2</v>
      </c>
      <c r="S113" s="65">
        <f t="shared" si="470"/>
        <v>-0.39999999999999991</v>
      </c>
      <c r="T113" s="105">
        <f>3.6+0.2-1</f>
        <v>2.8000000000000003</v>
      </c>
      <c r="U113" s="65">
        <v>-0.1</v>
      </c>
      <c r="W113" s="105">
        <f t="shared" si="464"/>
        <v>-0.1</v>
      </c>
      <c r="Z113" s="105">
        <f t="shared" si="465"/>
        <v>0</v>
      </c>
      <c r="AC113" s="105">
        <f t="shared" si="466"/>
        <v>0</v>
      </c>
      <c r="AF113" s="105">
        <f t="shared" si="467"/>
        <v>0</v>
      </c>
      <c r="AI113" s="67">
        <f t="shared" si="468"/>
        <v>0</v>
      </c>
    </row>
    <row r="114" spans="2:35" s="65" customFormat="1" x14ac:dyDescent="0.3">
      <c r="B114" s="275" t="s">
        <v>129</v>
      </c>
      <c r="C114" s="25">
        <f>SUM(C109:C113)+0.1</f>
        <v>-24.6</v>
      </c>
      <c r="D114" s="25">
        <f>SUM(D109:D113)</f>
        <v>-27.699999999999996</v>
      </c>
      <c r="E114" s="276">
        <f>SUM(E109:E113)-0.1</f>
        <v>-52.5</v>
      </c>
      <c r="F114" s="25">
        <f>SUM(F109:F113)</f>
        <v>-31.8</v>
      </c>
      <c r="G114" s="25">
        <f>SUM(G109:G113)</f>
        <v>40.299999999999997</v>
      </c>
      <c r="H114" s="276">
        <f>SUM(H109:H113)-0.1</f>
        <v>8.3999999999999932</v>
      </c>
      <c r="I114" s="25">
        <f>SUM(I109:I113)</f>
        <v>-36.799999999999997</v>
      </c>
      <c r="J114" s="25">
        <f>SUM(J109:J113)</f>
        <v>-29</v>
      </c>
      <c r="K114" s="276">
        <f>SUM(K109:K113)+0.1</f>
        <v>-65.7</v>
      </c>
      <c r="L114" s="25">
        <f t="shared" ref="L114:V114" si="471">SUM(L109:L113)</f>
        <v>-35</v>
      </c>
      <c r="M114" s="25">
        <f t="shared" si="471"/>
        <v>-24.299999999999994</v>
      </c>
      <c r="N114" s="276">
        <f t="shared" si="471"/>
        <v>-59.3</v>
      </c>
      <c r="O114" s="25">
        <f t="shared" si="471"/>
        <v>-45.5</v>
      </c>
      <c r="P114" s="25">
        <f t="shared" ref="P114:Q114" si="472">SUM(P109:P113)</f>
        <v>-34.900000000000006</v>
      </c>
      <c r="Q114" s="276">
        <f t="shared" si="472"/>
        <v>-80.400000000000006</v>
      </c>
      <c r="R114" s="25">
        <f>SUM(R109:R113)+0.1</f>
        <v>-23.5</v>
      </c>
      <c r="S114" s="25">
        <f t="shared" ref="S114:U114" si="473">SUM(S109:S113)</f>
        <v>-24.8</v>
      </c>
      <c r="T114" s="276">
        <f t="shared" si="473"/>
        <v>-48.400000000000006</v>
      </c>
      <c r="U114" s="25">
        <f t="shared" si="473"/>
        <v>-23.6</v>
      </c>
      <c r="V114" s="25">
        <f t="shared" si="471"/>
        <v>-24.311000000000003</v>
      </c>
      <c r="W114" s="276">
        <f t="shared" ref="W114:Y114" si="474">SUM(W109:W113)</f>
        <v>-47.911000000000001</v>
      </c>
      <c r="X114" s="25">
        <f t="shared" si="474"/>
        <v>-25.4726</v>
      </c>
      <c r="Y114" s="25">
        <f t="shared" si="474"/>
        <v>-25.316368000000004</v>
      </c>
      <c r="Z114" s="276">
        <f t="shared" ref="Z114:AI114" si="475">SUM(Z109:Z113)</f>
        <v>-50.788968000000004</v>
      </c>
      <c r="AA114" s="25">
        <f t="shared" si="475"/>
        <v>-26.505976000000004</v>
      </c>
      <c r="AB114" s="25">
        <f t="shared" si="475"/>
        <v>-26.365243520000007</v>
      </c>
      <c r="AC114" s="276">
        <f t="shared" si="475"/>
        <v>-52.871219520000011</v>
      </c>
      <c r="AD114" s="25">
        <f t="shared" si="475"/>
        <v>-27.581844799999999</v>
      </c>
      <c r="AE114" s="25">
        <f t="shared" si="475"/>
        <v>-27.459696140800006</v>
      </c>
      <c r="AF114" s="276">
        <f t="shared" si="475"/>
        <v>-55.041540940800004</v>
      </c>
      <c r="AG114" s="25">
        <f t="shared" si="475"/>
        <v>-29.113024038400006</v>
      </c>
      <c r="AH114" s="25">
        <f t="shared" si="475"/>
        <v>-29.184055271168013</v>
      </c>
      <c r="AI114" s="26">
        <f t="shared" si="475"/>
        <v>-58.297079309568019</v>
      </c>
    </row>
    <row r="115" spans="2:35" s="65" customFormat="1" x14ac:dyDescent="0.3">
      <c r="B115" s="274"/>
      <c r="E115" s="105"/>
      <c r="H115" s="105"/>
      <c r="K115" s="105"/>
      <c r="N115" s="105"/>
      <c r="Q115" s="105"/>
      <c r="T115" s="105"/>
      <c r="W115" s="105"/>
      <c r="Z115" s="105"/>
      <c r="AC115" s="105"/>
      <c r="AF115" s="105"/>
      <c r="AI115" s="67"/>
    </row>
    <row r="116" spans="2:35" s="65" customFormat="1" x14ac:dyDescent="0.3">
      <c r="B116" s="274" t="s">
        <v>130</v>
      </c>
      <c r="C116" s="65">
        <v>0</v>
      </c>
      <c r="D116" s="65">
        <f t="shared" ref="D116:D121" si="476">E116-C116</f>
        <v>0</v>
      </c>
      <c r="E116" s="105">
        <v>0</v>
      </c>
      <c r="F116" s="65">
        <v>0</v>
      </c>
      <c r="G116" s="65">
        <f t="shared" ref="G116:G121" si="477">H116-F116</f>
        <v>0</v>
      </c>
      <c r="H116" s="105">
        <v>0</v>
      </c>
      <c r="I116" s="65">
        <v>3.1</v>
      </c>
      <c r="J116" s="65">
        <f t="shared" ref="J116:J121" si="478">K116-I116</f>
        <v>0</v>
      </c>
      <c r="K116" s="105">
        <v>3.1</v>
      </c>
      <c r="L116" s="65">
        <v>0</v>
      </c>
      <c r="M116" s="65">
        <f t="shared" ref="M116:M121" si="479">N116-L116</f>
        <v>1.8</v>
      </c>
      <c r="N116" s="105">
        <v>1.8</v>
      </c>
      <c r="O116" s="65">
        <v>0</v>
      </c>
      <c r="P116" s="65">
        <f t="shared" ref="P116:P117" si="480">Q116-O116</f>
        <v>0</v>
      </c>
      <c r="Q116" s="105">
        <v>0</v>
      </c>
      <c r="R116" s="65">
        <v>0</v>
      </c>
      <c r="S116" s="65">
        <f t="shared" ref="S116:S117" si="481">T116-R116</f>
        <v>0</v>
      </c>
      <c r="T116" s="105">
        <v>0</v>
      </c>
      <c r="W116" s="105"/>
      <c r="Z116" s="105"/>
      <c r="AC116" s="105"/>
      <c r="AF116" s="105"/>
      <c r="AI116" s="67"/>
    </row>
    <row r="117" spans="2:35" s="65" customFormat="1" x14ac:dyDescent="0.3">
      <c r="B117" s="274" t="s">
        <v>95</v>
      </c>
      <c r="C117" s="65">
        <v>-0.6</v>
      </c>
      <c r="D117" s="65">
        <f t="shared" si="476"/>
        <v>-1.2999999999999998</v>
      </c>
      <c r="E117" s="105">
        <v>-1.9</v>
      </c>
      <c r="F117" s="65">
        <v>2.5</v>
      </c>
      <c r="G117" s="65">
        <f t="shared" si="477"/>
        <v>-0.60000000000000009</v>
      </c>
      <c r="H117" s="105">
        <v>1.9</v>
      </c>
      <c r="I117" s="65">
        <v>-155.1</v>
      </c>
      <c r="J117" s="65">
        <f t="shared" si="478"/>
        <v>-16.700000000000017</v>
      </c>
      <c r="K117" s="105">
        <v>-171.8</v>
      </c>
      <c r="L117" s="65">
        <v>-61.5</v>
      </c>
      <c r="M117" s="65">
        <f t="shared" si="479"/>
        <v>-100.1</v>
      </c>
      <c r="N117" s="105">
        <v>-161.6</v>
      </c>
      <c r="O117" s="65">
        <v>0</v>
      </c>
      <c r="P117" s="65">
        <f t="shared" si="480"/>
        <v>0</v>
      </c>
      <c r="Q117" s="105">
        <v>0</v>
      </c>
      <c r="R117" s="65">
        <v>0</v>
      </c>
      <c r="S117" s="65">
        <f t="shared" si="481"/>
        <v>0</v>
      </c>
      <c r="T117" s="105"/>
      <c r="W117" s="105"/>
      <c r="Z117" s="105"/>
      <c r="AC117" s="105"/>
      <c r="AF117" s="105"/>
      <c r="AI117" s="67"/>
    </row>
    <row r="118" spans="2:35" s="65" customFormat="1" x14ac:dyDescent="0.3">
      <c r="B118" s="274" t="s">
        <v>144</v>
      </c>
      <c r="C118" s="65">
        <v>-3.4</v>
      </c>
      <c r="D118" s="65">
        <f t="shared" si="476"/>
        <v>-3.4</v>
      </c>
      <c r="E118" s="105">
        <v>-6.8</v>
      </c>
      <c r="F118" s="65">
        <v>-3.2</v>
      </c>
      <c r="G118" s="65">
        <f>H118-F118</f>
        <v>3.2</v>
      </c>
      <c r="H118" s="105">
        <v>0</v>
      </c>
      <c r="I118" s="65">
        <v>0</v>
      </c>
      <c r="J118" s="65">
        <f>K118-I118</f>
        <v>0</v>
      </c>
      <c r="K118" s="105">
        <v>0</v>
      </c>
      <c r="N118" s="105"/>
      <c r="Q118" s="105">
        <v>0</v>
      </c>
      <c r="R118" s="65">
        <v>0</v>
      </c>
      <c r="T118" s="105"/>
      <c r="W118" s="105"/>
      <c r="Z118" s="105"/>
      <c r="AC118" s="105"/>
      <c r="AF118" s="105"/>
      <c r="AI118" s="67"/>
    </row>
    <row r="119" spans="2:35" s="65" customFormat="1" x14ac:dyDescent="0.3">
      <c r="B119" s="274" t="s">
        <v>131</v>
      </c>
      <c r="C119" s="65">
        <v>111.9</v>
      </c>
      <c r="D119" s="65">
        <f t="shared" si="476"/>
        <v>109</v>
      </c>
      <c r="E119" s="105">
        <v>220.9</v>
      </c>
      <c r="F119" s="65">
        <v>0</v>
      </c>
      <c r="G119" s="65">
        <f t="shared" si="477"/>
        <v>4.5999999999999996</v>
      </c>
      <c r="H119" s="105">
        <v>4.5999999999999996</v>
      </c>
      <c r="I119" s="65">
        <v>97.7</v>
      </c>
      <c r="J119" s="65">
        <f t="shared" si="478"/>
        <v>16.700000000000003</v>
      </c>
      <c r="K119" s="105">
        <v>114.4</v>
      </c>
      <c r="L119" s="65">
        <v>62.1</v>
      </c>
      <c r="M119" s="65">
        <f t="shared" si="479"/>
        <v>110.5</v>
      </c>
      <c r="N119" s="105">
        <v>172.6</v>
      </c>
      <c r="O119" s="65">
        <v>431.1</v>
      </c>
      <c r="P119" s="65">
        <f t="shared" ref="P119:P121" si="482">Q119-O119</f>
        <v>-40.900000000000034</v>
      </c>
      <c r="Q119" s="105">
        <v>390.2</v>
      </c>
      <c r="R119" s="65">
        <v>18.8</v>
      </c>
      <c r="S119" s="65">
        <f t="shared" ref="S119:S121" si="483">T119-R119</f>
        <v>95.9</v>
      </c>
      <c r="T119" s="105">
        <v>114.7</v>
      </c>
      <c r="U119" s="65">
        <v>71.400000000000006</v>
      </c>
      <c r="V119" s="65">
        <f>Schedules!V68</f>
        <v>10</v>
      </c>
      <c r="W119" s="105">
        <f>U119+V119</f>
        <v>81.400000000000006</v>
      </c>
      <c r="X119" s="65">
        <f>Schedules!X68</f>
        <v>10</v>
      </c>
      <c r="Y119" s="65">
        <f>Schedules!Y68</f>
        <v>10</v>
      </c>
      <c r="Z119" s="105">
        <f t="shared" ref="Z119:Z120" si="484">X119+Y119</f>
        <v>20</v>
      </c>
      <c r="AA119" s="65">
        <f>Schedules!AA68</f>
        <v>10</v>
      </c>
      <c r="AB119" s="65">
        <f>Schedules!AB68</f>
        <v>10</v>
      </c>
      <c r="AC119" s="105">
        <f t="shared" ref="AC119:AC120" si="485">AA119+AB119</f>
        <v>20</v>
      </c>
      <c r="AD119" s="65">
        <f>Schedules!AD68</f>
        <v>10</v>
      </c>
      <c r="AE119" s="65">
        <f>Schedules!AE68</f>
        <v>10</v>
      </c>
      <c r="AF119" s="105">
        <f t="shared" ref="AF119:AF120" si="486">AD119+AE119</f>
        <v>20</v>
      </c>
      <c r="AG119" s="65">
        <f>Schedules!AG68</f>
        <v>10</v>
      </c>
      <c r="AH119" s="65">
        <f>Schedules!AH68</f>
        <v>10</v>
      </c>
      <c r="AI119" s="67">
        <f t="shared" ref="AI119:AI120" si="487">AG119+AH119</f>
        <v>20</v>
      </c>
    </row>
    <row r="120" spans="2:35" s="65" customFormat="1" x14ac:dyDescent="0.3">
      <c r="B120" s="274" t="s">
        <v>132</v>
      </c>
      <c r="C120" s="65">
        <v>-42.8</v>
      </c>
      <c r="D120" s="65">
        <f t="shared" si="476"/>
        <v>24.699999999999996</v>
      </c>
      <c r="E120" s="105">
        <v>-18.100000000000001</v>
      </c>
      <c r="F120" s="65">
        <v>-201.9</v>
      </c>
      <c r="G120" s="65">
        <f t="shared" si="477"/>
        <v>-48.299999999999983</v>
      </c>
      <c r="H120" s="105">
        <v>-250.2</v>
      </c>
      <c r="I120" s="65">
        <v>-67.3</v>
      </c>
      <c r="J120" s="65">
        <f t="shared" si="478"/>
        <v>40.199999999999996</v>
      </c>
      <c r="K120" s="105">
        <v>-27.1</v>
      </c>
      <c r="L120" s="65">
        <v>-49</v>
      </c>
      <c r="M120" s="65">
        <f t="shared" si="479"/>
        <v>40</v>
      </c>
      <c r="N120" s="105">
        <v>-9</v>
      </c>
      <c r="O120" s="65">
        <v>-124.4</v>
      </c>
      <c r="P120" s="65">
        <f t="shared" si="482"/>
        <v>-106</v>
      </c>
      <c r="Q120" s="105">
        <v>-230.4</v>
      </c>
      <c r="R120" s="65">
        <v>-58.4</v>
      </c>
      <c r="S120" s="65">
        <f t="shared" si="483"/>
        <v>-47.199999999999996</v>
      </c>
      <c r="T120" s="105">
        <v>-105.6</v>
      </c>
      <c r="U120" s="65">
        <v>-58.8</v>
      </c>
      <c r="V120" s="65">
        <f>Schedules!V67</f>
        <v>-20</v>
      </c>
      <c r="W120" s="105">
        <f>U120+V120</f>
        <v>-78.8</v>
      </c>
      <c r="X120" s="65">
        <f>Schedules!X67</f>
        <v>-30</v>
      </c>
      <c r="Y120" s="65">
        <f>Schedules!Y67</f>
        <v>-20</v>
      </c>
      <c r="Z120" s="105">
        <f t="shared" si="484"/>
        <v>-50</v>
      </c>
      <c r="AA120" s="65">
        <f>Schedules!AA67</f>
        <v>-30</v>
      </c>
      <c r="AB120" s="65">
        <f>Schedules!AB67</f>
        <v>-20</v>
      </c>
      <c r="AC120" s="105">
        <f t="shared" si="485"/>
        <v>-50</v>
      </c>
      <c r="AD120" s="65">
        <f>Schedules!AD67</f>
        <v>-30</v>
      </c>
      <c r="AE120" s="65">
        <f>Schedules!AE67</f>
        <v>-20</v>
      </c>
      <c r="AF120" s="105">
        <f t="shared" si="486"/>
        <v>-50</v>
      </c>
      <c r="AG120" s="65">
        <f>Schedules!AG67</f>
        <v>-30</v>
      </c>
      <c r="AH120" s="65">
        <f>Schedules!AH67</f>
        <v>-20</v>
      </c>
      <c r="AI120" s="67">
        <f t="shared" si="487"/>
        <v>-50</v>
      </c>
    </row>
    <row r="121" spans="2:35" s="65" customFormat="1" x14ac:dyDescent="0.3">
      <c r="B121" s="274" t="s">
        <v>133</v>
      </c>
      <c r="C121" s="65">
        <v>-132</v>
      </c>
      <c r="D121" s="65">
        <f t="shared" si="476"/>
        <v>0</v>
      </c>
      <c r="E121" s="105">
        <v>-132</v>
      </c>
      <c r="F121" s="65">
        <v>0</v>
      </c>
      <c r="G121" s="65">
        <f t="shared" si="477"/>
        <v>-9.6</v>
      </c>
      <c r="H121" s="105">
        <v>-9.6</v>
      </c>
      <c r="I121" s="65">
        <v>0</v>
      </c>
      <c r="J121" s="65">
        <f t="shared" si="478"/>
        <v>-93.7</v>
      </c>
      <c r="K121" s="105">
        <v>-93.7</v>
      </c>
      <c r="L121" s="65">
        <v>0</v>
      </c>
      <c r="M121" s="65">
        <f t="shared" si="479"/>
        <v>-111</v>
      </c>
      <c r="N121" s="105">
        <v>-111</v>
      </c>
      <c r="O121" s="65">
        <v>0</v>
      </c>
      <c r="P121" s="65">
        <f t="shared" si="482"/>
        <v>-152.69999999999999</v>
      </c>
      <c r="Q121" s="105">
        <v>-152.69999999999999</v>
      </c>
      <c r="R121" s="65">
        <v>0</v>
      </c>
      <c r="S121" s="65">
        <f t="shared" si="483"/>
        <v>-41</v>
      </c>
      <c r="T121" s="105">
        <v>-41</v>
      </c>
      <c r="U121" s="65">
        <v>0</v>
      </c>
      <c r="V121" s="65">
        <f>Schedules!V47</f>
        <v>0</v>
      </c>
      <c r="W121" s="105">
        <f>SUM(U121:V121)</f>
        <v>0</v>
      </c>
      <c r="X121" s="65">
        <f>Schedules!X47</f>
        <v>0</v>
      </c>
      <c r="Y121" s="65">
        <f>Schedules!Y47</f>
        <v>0</v>
      </c>
      <c r="Z121" s="105">
        <f t="shared" ref="Z121" si="488">SUM(X121:Y121)</f>
        <v>0</v>
      </c>
      <c r="AA121" s="65">
        <f>Schedules!AA47</f>
        <v>0</v>
      </c>
      <c r="AB121" s="65">
        <f>Schedules!AB47</f>
        <v>0</v>
      </c>
      <c r="AC121" s="105">
        <f t="shared" ref="AC121" si="489">SUM(AA121:AB121)</f>
        <v>0</v>
      </c>
      <c r="AD121" s="65">
        <f>Schedules!AD47</f>
        <v>0</v>
      </c>
      <c r="AE121" s="65">
        <f>Schedules!AE47</f>
        <v>0</v>
      </c>
      <c r="AF121" s="105">
        <f t="shared" ref="AF121" si="490">SUM(AD121:AE121)</f>
        <v>0</v>
      </c>
      <c r="AG121" s="65">
        <f>Schedules!AG47</f>
        <v>0</v>
      </c>
      <c r="AH121" s="65">
        <f>Schedules!AH47</f>
        <v>0</v>
      </c>
      <c r="AI121" s="67">
        <f t="shared" ref="AI121" si="491">SUM(AG121:AH121)</f>
        <v>0</v>
      </c>
    </row>
    <row r="122" spans="2:35" s="65" customFormat="1" x14ac:dyDescent="0.3">
      <c r="B122" s="274" t="s">
        <v>145</v>
      </c>
      <c r="C122" s="65">
        <v>9.1</v>
      </c>
      <c r="E122" s="105"/>
      <c r="H122" s="105"/>
      <c r="K122" s="105"/>
      <c r="N122" s="105"/>
      <c r="Q122" s="105"/>
      <c r="T122" s="105"/>
      <c r="W122" s="105"/>
      <c r="Z122" s="105"/>
      <c r="AC122" s="105"/>
      <c r="AF122" s="105"/>
      <c r="AI122" s="67"/>
    </row>
    <row r="123" spans="2:35" s="65" customFormat="1" x14ac:dyDescent="0.3">
      <c r="B123" s="275" t="s">
        <v>134</v>
      </c>
      <c r="C123" s="25">
        <f>SUM(C116:C122)</f>
        <v>-57.79999999999999</v>
      </c>
      <c r="D123" s="25">
        <f t="shared" ref="D123:V123" si="492">SUM(D116:D122)</f>
        <v>129</v>
      </c>
      <c r="E123" s="276">
        <f t="shared" si="492"/>
        <v>62.100000000000023</v>
      </c>
      <c r="F123" s="25">
        <f t="shared" si="492"/>
        <v>-202.6</v>
      </c>
      <c r="G123" s="25">
        <f t="shared" si="492"/>
        <v>-50.699999999999982</v>
      </c>
      <c r="H123" s="276">
        <f t="shared" si="492"/>
        <v>-253.29999999999998</v>
      </c>
      <c r="I123" s="25">
        <f t="shared" si="492"/>
        <v>-121.6</v>
      </c>
      <c r="J123" s="25">
        <f t="shared" si="492"/>
        <v>-53.500000000000021</v>
      </c>
      <c r="K123" s="276">
        <f t="shared" si="492"/>
        <v>-175.10000000000002</v>
      </c>
      <c r="L123" s="25">
        <f t="shared" si="492"/>
        <v>-48.4</v>
      </c>
      <c r="M123" s="25">
        <f t="shared" si="492"/>
        <v>-58.8</v>
      </c>
      <c r="N123" s="276">
        <f t="shared" si="492"/>
        <v>-107.19999999999999</v>
      </c>
      <c r="O123" s="25">
        <f t="shared" si="492"/>
        <v>306.70000000000005</v>
      </c>
      <c r="P123" s="25">
        <f t="shared" ref="P123" si="493">SUM(P116:P122)</f>
        <v>-299.60000000000002</v>
      </c>
      <c r="Q123" s="276">
        <f>SUM(Q116:Q122)+0.1</f>
        <v>7.199999999999994</v>
      </c>
      <c r="R123" s="25">
        <f t="shared" ref="R123:S123" si="494">SUM(R116:R122)</f>
        <v>-39.599999999999994</v>
      </c>
      <c r="S123" s="25">
        <f t="shared" si="494"/>
        <v>7.7000000000000099</v>
      </c>
      <c r="T123" s="276">
        <f>SUM(T116:T122)</f>
        <v>-31.899999999999991</v>
      </c>
      <c r="U123" s="25">
        <f t="shared" ref="U123" si="495">SUM(U116:U122)</f>
        <v>12.600000000000009</v>
      </c>
      <c r="V123" s="25">
        <f t="shared" si="492"/>
        <v>-10</v>
      </c>
      <c r="W123" s="276">
        <f t="shared" ref="W123:Y123" si="496">SUM(W116:W122)</f>
        <v>2.6000000000000085</v>
      </c>
      <c r="X123" s="25">
        <f t="shared" si="496"/>
        <v>-20</v>
      </c>
      <c r="Y123" s="25">
        <f t="shared" si="496"/>
        <v>-10</v>
      </c>
      <c r="Z123" s="276">
        <f t="shared" ref="Z123:AI123" si="497">SUM(Z116:Z122)</f>
        <v>-30</v>
      </c>
      <c r="AA123" s="25">
        <f t="shared" si="497"/>
        <v>-20</v>
      </c>
      <c r="AB123" s="25">
        <f t="shared" si="497"/>
        <v>-10</v>
      </c>
      <c r="AC123" s="276">
        <f t="shared" si="497"/>
        <v>-30</v>
      </c>
      <c r="AD123" s="25">
        <f t="shared" si="497"/>
        <v>-20</v>
      </c>
      <c r="AE123" s="25">
        <f t="shared" si="497"/>
        <v>-10</v>
      </c>
      <c r="AF123" s="276">
        <f t="shared" si="497"/>
        <v>-30</v>
      </c>
      <c r="AG123" s="25">
        <f t="shared" si="497"/>
        <v>-20</v>
      </c>
      <c r="AH123" s="25">
        <f t="shared" si="497"/>
        <v>-10</v>
      </c>
      <c r="AI123" s="26">
        <f t="shared" si="497"/>
        <v>-30</v>
      </c>
    </row>
    <row r="124" spans="2:35" s="65" customFormat="1" x14ac:dyDescent="0.3">
      <c r="B124" s="274" t="s">
        <v>135</v>
      </c>
      <c r="C124" s="65">
        <v>-1.3</v>
      </c>
      <c r="D124" s="65">
        <f t="shared" ref="D124" si="498">E124-C124</f>
        <v>1.9</v>
      </c>
      <c r="E124" s="105">
        <v>0.6</v>
      </c>
      <c r="F124" s="65">
        <v>1.7</v>
      </c>
      <c r="G124" s="65">
        <f t="shared" ref="G124" si="499">H124-F124</f>
        <v>-2.2999999999999998</v>
      </c>
      <c r="H124" s="105">
        <v>-0.6</v>
      </c>
      <c r="I124" s="65">
        <v>3.3</v>
      </c>
      <c r="J124" s="65">
        <f t="shared" ref="J124" si="500">K124-I124</f>
        <v>8.1000000000000014</v>
      </c>
      <c r="K124" s="105">
        <v>11.4</v>
      </c>
      <c r="L124" s="65">
        <v>13.8</v>
      </c>
      <c r="M124" s="65">
        <f t="shared" ref="M124" si="501">N124-L124</f>
        <v>-14</v>
      </c>
      <c r="N124" s="105">
        <v>-0.2</v>
      </c>
      <c r="O124" s="65">
        <v>-4.0999999999999996</v>
      </c>
      <c r="P124" s="65">
        <f t="shared" ref="P124" si="502">Q124-O124</f>
        <v>1.8999999999999995</v>
      </c>
      <c r="Q124" s="105">
        <v>-2.2000000000000002</v>
      </c>
      <c r="R124" s="65">
        <v>-0.4</v>
      </c>
      <c r="S124" s="65">
        <f t="shared" ref="S124" si="503">T124-R124</f>
        <v>0.4</v>
      </c>
      <c r="T124" s="105">
        <v>0</v>
      </c>
      <c r="U124" s="65">
        <v>-4.7</v>
      </c>
      <c r="W124" s="105">
        <f>U124+V124</f>
        <v>-4.7</v>
      </c>
      <c r="Z124" s="105">
        <f t="shared" ref="Z124" si="504">X124+Y124</f>
        <v>0</v>
      </c>
      <c r="AC124" s="105">
        <f t="shared" ref="AC124" si="505">AA124+AB124</f>
        <v>0</v>
      </c>
      <c r="AF124" s="105">
        <f t="shared" ref="AF124" si="506">AD124+AE124</f>
        <v>0</v>
      </c>
      <c r="AI124" s="67">
        <f t="shared" ref="AI124" si="507">AG124+AH124</f>
        <v>0</v>
      </c>
    </row>
    <row r="125" spans="2:35" s="65" customFormat="1" x14ac:dyDescent="0.3">
      <c r="B125" s="275" t="s">
        <v>136</v>
      </c>
      <c r="C125" s="25">
        <f>C107+C114+C123+C124</f>
        <v>-52.599999999999973</v>
      </c>
      <c r="D125" s="25">
        <f>D107+D114+D123+D124</f>
        <v>152.50000000000003</v>
      </c>
      <c r="E125" s="276">
        <f>E107+E114+E123+E124+0.1</f>
        <v>90.80000000000004</v>
      </c>
      <c r="F125" s="25">
        <f>F107+F114+F123+F124</f>
        <v>-179.6</v>
      </c>
      <c r="G125" s="25">
        <f>G107+G114+G123+G124</f>
        <v>111.39999999999999</v>
      </c>
      <c r="H125" s="276">
        <f>H107+H114+H123+H124-0.1</f>
        <v>-68.499999999999886</v>
      </c>
      <c r="I125" s="25">
        <f t="shared" ref="I125:V125" si="508">I107+I114+I123+I124</f>
        <v>-101.89999999999999</v>
      </c>
      <c r="J125" s="25">
        <f t="shared" si="508"/>
        <v>17.099999999999952</v>
      </c>
      <c r="K125" s="276">
        <f t="shared" si="508"/>
        <v>-84.600000000000037</v>
      </c>
      <c r="L125" s="25">
        <f t="shared" si="508"/>
        <v>-21.299999999999994</v>
      </c>
      <c r="M125" s="25">
        <f t="shared" si="508"/>
        <v>-21.299999999999997</v>
      </c>
      <c r="N125" s="276">
        <f t="shared" si="508"/>
        <v>-42.599999999999994</v>
      </c>
      <c r="O125" s="25">
        <f t="shared" si="508"/>
        <v>203.9</v>
      </c>
      <c r="P125" s="25">
        <f t="shared" ref="P125:R125" si="509">P107+P114+P123+P124</f>
        <v>-184.90000000000003</v>
      </c>
      <c r="Q125" s="276">
        <f t="shared" si="509"/>
        <v>19.300000000000022</v>
      </c>
      <c r="R125" s="25">
        <f t="shared" si="509"/>
        <v>-44.399999999999942</v>
      </c>
      <c r="S125" s="25">
        <f t="shared" ref="S125" si="510">S107+S114+S123+S124</f>
        <v>34.599999999999973</v>
      </c>
      <c r="T125" s="276">
        <f>T107+T114+T123+T124-0.2</f>
        <v>-10.099999999999962</v>
      </c>
      <c r="U125" s="25">
        <f t="shared" ref="U125" si="511">U107+U114+U123+U124</f>
        <v>-12.599999999999948</v>
      </c>
      <c r="V125" s="25">
        <f t="shared" si="508"/>
        <v>-213.24307232876751</v>
      </c>
      <c r="W125" s="276">
        <f t="shared" ref="W125:Y125" si="512">W107+W114+W123+W124</f>
        <v>-225.74307232876737</v>
      </c>
      <c r="X125" s="25">
        <f t="shared" si="512"/>
        <v>-113.88492684931474</v>
      </c>
      <c r="Y125" s="25">
        <f t="shared" si="512"/>
        <v>21.179125709588668</v>
      </c>
      <c r="Z125" s="276">
        <f t="shared" ref="Z125:AI125" si="513">Z107+Z114+Z123+Z124</f>
        <v>-92.705801139726049</v>
      </c>
      <c r="AA125" s="25">
        <f t="shared" si="513"/>
        <v>-93.789814568227911</v>
      </c>
      <c r="AB125" s="25">
        <f t="shared" si="513"/>
        <v>74.035965288917907</v>
      </c>
      <c r="AC125" s="276">
        <f t="shared" si="513"/>
        <v>-19.753849279310217</v>
      </c>
      <c r="AD125" s="25">
        <f t="shared" si="513"/>
        <v>-57.311377247111309</v>
      </c>
      <c r="AE125" s="25">
        <f t="shared" si="513"/>
        <v>77.947117389606291</v>
      </c>
      <c r="AF125" s="276">
        <f t="shared" si="513"/>
        <v>20.635740142495095</v>
      </c>
      <c r="AG125" s="25">
        <f t="shared" si="513"/>
        <v>-91.556316672375004</v>
      </c>
      <c r="AH125" s="25">
        <f t="shared" si="513"/>
        <v>75.721214562889855</v>
      </c>
      <c r="AI125" s="26">
        <f t="shared" si="513"/>
        <v>-15.835102109485064</v>
      </c>
    </row>
    <row r="126" spans="2:35" s="65" customFormat="1" x14ac:dyDescent="0.3">
      <c r="B126" s="274"/>
      <c r="E126" s="105"/>
      <c r="H126" s="105"/>
      <c r="K126" s="105"/>
      <c r="N126" s="105"/>
      <c r="Q126" s="105"/>
      <c r="T126" s="105"/>
      <c r="W126" s="105"/>
      <c r="Z126" s="105"/>
      <c r="AC126" s="105"/>
      <c r="AF126" s="105"/>
      <c r="AI126" s="67"/>
    </row>
    <row r="127" spans="2:35" s="65" customFormat="1" x14ac:dyDescent="0.3">
      <c r="B127" s="275" t="s">
        <v>137</v>
      </c>
      <c r="C127" s="65">
        <v>178.6</v>
      </c>
      <c r="D127" s="65">
        <f>C128</f>
        <v>126.00000000000003</v>
      </c>
      <c r="E127" s="105">
        <v>178.6</v>
      </c>
      <c r="F127" s="65">
        <f>E128</f>
        <v>269.40000000000003</v>
      </c>
      <c r="G127" s="65">
        <f>F128</f>
        <v>89.6</v>
      </c>
      <c r="H127" s="105">
        <v>269.39999999999998</v>
      </c>
      <c r="I127" s="65">
        <f>H128</f>
        <v>200.90000000000009</v>
      </c>
      <c r="J127" s="65">
        <f>I128</f>
        <v>99.000000000000099</v>
      </c>
      <c r="K127" s="105">
        <v>201</v>
      </c>
      <c r="L127" s="65">
        <f>K128</f>
        <v>116.29999999999997</v>
      </c>
      <c r="M127" s="65">
        <f>L128</f>
        <v>94.999999999999972</v>
      </c>
      <c r="N127" s="105">
        <v>116.3</v>
      </c>
      <c r="O127" s="65">
        <v>73.7</v>
      </c>
      <c r="P127" s="65">
        <f>O128</f>
        <v>277.60000000000002</v>
      </c>
      <c r="Q127" s="105">
        <f>N128</f>
        <v>73.7</v>
      </c>
      <c r="R127" s="65">
        <f>Q128</f>
        <v>93.000000000000028</v>
      </c>
      <c r="S127" s="65">
        <f>R128</f>
        <v>48.600000000000087</v>
      </c>
      <c r="T127" s="105">
        <f>Q128</f>
        <v>93.000000000000028</v>
      </c>
      <c r="U127" s="65">
        <f>S128</f>
        <v>83.100000000000065</v>
      </c>
      <c r="V127" s="65">
        <f>U128</f>
        <v>70.500000000000114</v>
      </c>
      <c r="W127" s="105">
        <f>U127</f>
        <v>83.100000000000065</v>
      </c>
      <c r="X127" s="65">
        <f t="shared" ref="X127:Y127" si="514">W128</f>
        <v>-142.64307232876729</v>
      </c>
      <c r="Y127" s="65">
        <f t="shared" si="514"/>
        <v>-256.52799917808204</v>
      </c>
      <c r="Z127" s="105">
        <f t="shared" ref="Z127" si="515">X127</f>
        <v>-142.64307232876729</v>
      </c>
      <c r="AA127" s="65">
        <f t="shared" ref="AA127:AB127" si="516">Z128</f>
        <v>-235.34887346849334</v>
      </c>
      <c r="AB127" s="65">
        <f t="shared" si="516"/>
        <v>-329.13868803672125</v>
      </c>
      <c r="AC127" s="105">
        <f t="shared" ref="AC127" si="517">AA127</f>
        <v>-235.34887346849334</v>
      </c>
      <c r="AD127" s="65">
        <f t="shared" ref="AD127:AE127" si="518">AC128</f>
        <v>-255.10272274780357</v>
      </c>
      <c r="AE127" s="65">
        <f t="shared" si="518"/>
        <v>-312.41409999491486</v>
      </c>
      <c r="AF127" s="105">
        <f t="shared" ref="AF127" si="519">AD127</f>
        <v>-255.10272274780357</v>
      </c>
      <c r="AG127" s="65">
        <f t="shared" ref="AG127:AH127" si="520">AF128</f>
        <v>-234.46698260530849</v>
      </c>
      <c r="AH127" s="65">
        <f t="shared" si="520"/>
        <v>-326.02329927768346</v>
      </c>
      <c r="AI127" s="67">
        <f t="shared" ref="AI127" si="521">AG127</f>
        <v>-234.46698260530849</v>
      </c>
    </row>
    <row r="128" spans="2:35" s="65" customFormat="1" ht="15" thickBot="1" x14ac:dyDescent="0.35">
      <c r="B128" s="277" t="s">
        <v>138</v>
      </c>
      <c r="C128" s="240">
        <f>+C125+C127</f>
        <v>126.00000000000003</v>
      </c>
      <c r="D128" s="240">
        <f>D125+D127</f>
        <v>278.50000000000006</v>
      </c>
      <c r="E128" s="278">
        <f>+E125+E127</f>
        <v>269.40000000000003</v>
      </c>
      <c r="F128" s="240">
        <v>89.6</v>
      </c>
      <c r="G128" s="240">
        <f>G125+G127</f>
        <v>201</v>
      </c>
      <c r="H128" s="278">
        <f>+H125+H127</f>
        <v>200.90000000000009</v>
      </c>
      <c r="I128" s="240">
        <f>I125+I127</f>
        <v>99.000000000000099</v>
      </c>
      <c r="J128" s="240">
        <f>J125+J127</f>
        <v>116.10000000000005</v>
      </c>
      <c r="K128" s="278">
        <f>+K125+K127-0.1</f>
        <v>116.29999999999997</v>
      </c>
      <c r="L128" s="240">
        <f>L125+L127</f>
        <v>94.999999999999972</v>
      </c>
      <c r="M128" s="240">
        <f>M125+M127</f>
        <v>73.699999999999974</v>
      </c>
      <c r="N128" s="278">
        <f>+N125+N127</f>
        <v>73.7</v>
      </c>
      <c r="O128" s="240">
        <f>O125+O127</f>
        <v>277.60000000000002</v>
      </c>
      <c r="P128" s="240">
        <f>P125+P127</f>
        <v>92.699999999999989</v>
      </c>
      <c r="Q128" s="278">
        <f>+Q125+Q127</f>
        <v>93.000000000000028</v>
      </c>
      <c r="R128" s="240">
        <f>R125+R127</f>
        <v>48.600000000000087</v>
      </c>
      <c r="S128" s="240">
        <f>S125+S127-0.1</f>
        <v>83.100000000000065</v>
      </c>
      <c r="T128" s="278">
        <f>+T125+T127-0.1</f>
        <v>82.800000000000068</v>
      </c>
      <c r="U128" s="240">
        <f>U125+U127</f>
        <v>70.500000000000114</v>
      </c>
      <c r="V128" s="240">
        <f>V127+V125</f>
        <v>-142.7430723287674</v>
      </c>
      <c r="W128" s="278">
        <f>W125+W127</f>
        <v>-142.64307232876729</v>
      </c>
      <c r="X128" s="240">
        <f t="shared" ref="X128" si="522">X125+X127</f>
        <v>-256.52799917808204</v>
      </c>
      <c r="Y128" s="240">
        <f t="shared" ref="Y128" si="523">Y127+Y125</f>
        <v>-235.34887346849337</v>
      </c>
      <c r="Z128" s="278">
        <f t="shared" ref="Z128:AA128" si="524">Z125+Z127</f>
        <v>-235.34887346849334</v>
      </c>
      <c r="AA128" s="240">
        <f t="shared" si="524"/>
        <v>-329.13868803672125</v>
      </c>
      <c r="AB128" s="240">
        <f t="shared" ref="AB128" si="525">AB127+AB125</f>
        <v>-255.10272274780334</v>
      </c>
      <c r="AC128" s="278">
        <f t="shared" ref="AC128:AD128" si="526">AC125+AC127</f>
        <v>-255.10272274780357</v>
      </c>
      <c r="AD128" s="240">
        <f t="shared" si="526"/>
        <v>-312.41409999491486</v>
      </c>
      <c r="AE128" s="240">
        <f t="shared" ref="AE128" si="527">AE127+AE125</f>
        <v>-234.46698260530857</v>
      </c>
      <c r="AF128" s="278">
        <f t="shared" ref="AF128:AG128" si="528">AF125+AF127</f>
        <v>-234.46698260530849</v>
      </c>
      <c r="AG128" s="240">
        <f t="shared" si="528"/>
        <v>-326.02329927768346</v>
      </c>
      <c r="AH128" s="240">
        <f t="shared" ref="AH128" si="529">AH127+AH125</f>
        <v>-250.30208471479361</v>
      </c>
      <c r="AI128" s="241">
        <f t="shared" ref="AI128" si="530">AI125+AI127</f>
        <v>-250.30208471479355</v>
      </c>
    </row>
    <row r="131" spans="2:2" x14ac:dyDescent="0.3">
      <c r="B131" t="s">
        <v>320</v>
      </c>
    </row>
    <row r="132" spans="2:2" x14ac:dyDescent="0.3">
      <c r="B132" t="s">
        <v>293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0C01-97A5-490A-94AF-C54D3EEAAA0E}">
  <dimension ref="B1:AS72"/>
  <sheetViews>
    <sheetView showGridLines="0" zoomScale="69" zoomScaleNormal="85" workbookViewId="0">
      <pane xSplit="2" ySplit="2" topLeftCell="H32" activePane="bottomRight" state="frozen"/>
      <selection pane="topRight" activeCell="C1" sqref="C1"/>
      <selection pane="bottomLeft" activeCell="A3" sqref="A3"/>
      <selection pane="bottomRight" activeCell="V64" sqref="V64"/>
    </sheetView>
  </sheetViews>
  <sheetFormatPr defaultRowHeight="14.4" x14ac:dyDescent="0.3"/>
  <cols>
    <col min="1" max="1" width="1.5546875" customWidth="1"/>
    <col min="2" max="2" width="24.109375" bestFit="1" customWidth="1"/>
    <col min="12" max="12" width="9.109375" customWidth="1"/>
    <col min="15" max="15" width="10.109375" bestFit="1" customWidth="1"/>
    <col min="17" max="17" width="9.44140625" bestFit="1" customWidth="1"/>
    <col min="18" max="18" width="10.109375" bestFit="1" customWidth="1"/>
    <col min="21" max="21" width="10.109375" bestFit="1" customWidth="1"/>
  </cols>
  <sheetData>
    <row r="1" spans="2:37" ht="15" thickBot="1" x14ac:dyDescent="0.35"/>
    <row r="2" spans="2:37" x14ac:dyDescent="0.3">
      <c r="B2" s="90" t="s">
        <v>198</v>
      </c>
      <c r="C2" s="91" t="str">
        <f>'Financial Statements'!C47</f>
        <v>H1'20</v>
      </c>
      <c r="D2" s="91" t="str">
        <f>'Financial Statements'!D47</f>
        <v>H2'20</v>
      </c>
      <c r="E2" s="91" t="str">
        <f>'Financial Statements'!E47</f>
        <v>FY20</v>
      </c>
      <c r="F2" s="91" t="str">
        <f>'Financial Statements'!F47</f>
        <v>H1'21</v>
      </c>
      <c r="G2" s="91" t="str">
        <f>'Financial Statements'!G47</f>
        <v>H2'21</v>
      </c>
      <c r="H2" s="91" t="str">
        <f>'Financial Statements'!H47</f>
        <v>FY21</v>
      </c>
      <c r="I2" s="91" t="str">
        <f>'Financial Statements'!I47</f>
        <v>H1'22</v>
      </c>
      <c r="J2" s="91" t="str">
        <f>'Financial Statements'!J47</f>
        <v>H2'22</v>
      </c>
      <c r="K2" s="91" t="str">
        <f>'Financial Statements'!K47</f>
        <v>FY22</v>
      </c>
      <c r="L2" s="91" t="str">
        <f>'Financial Statements'!L47</f>
        <v>H1'23</v>
      </c>
      <c r="M2" s="91" t="str">
        <f>'Financial Statements'!M47</f>
        <v>H2'23</v>
      </c>
      <c r="N2" s="91" t="str">
        <f>'Financial Statements'!N47</f>
        <v>FY23</v>
      </c>
      <c r="O2" s="91" t="str">
        <f>'Financial Statements'!O47</f>
        <v>H1'24</v>
      </c>
      <c r="P2" s="91" t="str">
        <f>'Financial Statements'!P47</f>
        <v>H2'24</v>
      </c>
      <c r="Q2" s="91" t="str">
        <f>'Financial Statements'!Q47</f>
        <v>FY24</v>
      </c>
      <c r="R2" s="91" t="str">
        <f>'Financial Statements'!R47</f>
        <v>H1'25</v>
      </c>
      <c r="S2" s="91" t="s">
        <v>60</v>
      </c>
      <c r="T2" s="103" t="s">
        <v>61</v>
      </c>
      <c r="U2" s="91" t="str">
        <f>'Financial Statements'!U47</f>
        <v>H1'26</v>
      </c>
      <c r="V2" s="179" t="str">
        <f>'Financial Statements'!V47</f>
        <v>H2'26</v>
      </c>
      <c r="W2" s="179" t="str">
        <f>'Financial Statements'!W47</f>
        <v>FY26</v>
      </c>
      <c r="X2" s="179" t="str">
        <f>'Financial Statements'!X47</f>
        <v>H1'27</v>
      </c>
      <c r="Y2" s="179" t="str">
        <f>'Financial Statements'!Y47</f>
        <v>H2'27</v>
      </c>
      <c r="Z2" s="179" t="str">
        <f>'Financial Statements'!Z47</f>
        <v>FY27</v>
      </c>
      <c r="AA2" s="179" t="str">
        <f>'Financial Statements'!AA47</f>
        <v>H1'28</v>
      </c>
      <c r="AB2" s="179" t="str">
        <f>'Financial Statements'!AB47</f>
        <v>H2'28</v>
      </c>
      <c r="AC2" s="179" t="str">
        <f>'Financial Statements'!AC47</f>
        <v>FY28</v>
      </c>
      <c r="AD2" s="179" t="str">
        <f>'Financial Statements'!AD47</f>
        <v>H1'29</v>
      </c>
      <c r="AE2" s="179" t="str">
        <f>'Financial Statements'!AE47</f>
        <v>H2'29</v>
      </c>
      <c r="AF2" s="179" t="str">
        <f>'Financial Statements'!AF47</f>
        <v>FY29</v>
      </c>
      <c r="AG2" s="179" t="str">
        <f>'Financial Statements'!AG47</f>
        <v>H1'30</v>
      </c>
      <c r="AH2" s="179" t="str">
        <f>'Financial Statements'!AH47</f>
        <v>H2'30</v>
      </c>
      <c r="AI2" s="180" t="str">
        <f>'Financial Statements'!AI47</f>
        <v>FY30</v>
      </c>
    </row>
    <row r="3" spans="2:37" x14ac:dyDescent="0.3">
      <c r="B3" s="169" t="s">
        <v>82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2"/>
    </row>
    <row r="4" spans="2:37" x14ac:dyDescent="0.3">
      <c r="B4" s="94" t="s">
        <v>167</v>
      </c>
      <c r="E4" s="87"/>
      <c r="F4" s="3"/>
      <c r="G4" s="3"/>
      <c r="H4" s="98"/>
      <c r="I4" s="3"/>
      <c r="J4" s="3"/>
      <c r="K4" s="98"/>
      <c r="L4" s="3"/>
      <c r="M4" s="3"/>
      <c r="N4" s="98"/>
      <c r="O4" s="3"/>
      <c r="P4" s="3">
        <f>O9</f>
        <v>735.1</v>
      </c>
      <c r="Q4" s="98">
        <f>P4</f>
        <v>735.1</v>
      </c>
      <c r="R4" s="3">
        <f>Q9</f>
        <v>764.9</v>
      </c>
      <c r="S4" s="3">
        <f>R9</f>
        <v>778.8</v>
      </c>
      <c r="T4" s="98">
        <f>S4</f>
        <v>778.8</v>
      </c>
      <c r="U4" s="3">
        <f>T9</f>
        <v>807.2</v>
      </c>
      <c r="V4" s="25">
        <f>U9</f>
        <v>801.9</v>
      </c>
      <c r="W4" s="238">
        <f>T9</f>
        <v>807.2</v>
      </c>
      <c r="X4" s="25">
        <f>W9</f>
        <v>826.21100000000001</v>
      </c>
      <c r="Y4" s="25">
        <f>X9</f>
        <v>851.68360000000007</v>
      </c>
      <c r="Z4" s="238">
        <f>W9</f>
        <v>826.21100000000001</v>
      </c>
      <c r="AA4" s="25">
        <f>Z9</f>
        <v>876.99996799999997</v>
      </c>
      <c r="AB4" s="25">
        <f>AA9</f>
        <v>903.505944</v>
      </c>
      <c r="AC4" s="238">
        <f>Z9</f>
        <v>876.99996799999997</v>
      </c>
      <c r="AD4" s="25">
        <f>AC9</f>
        <v>929.87118751999992</v>
      </c>
      <c r="AE4" s="25">
        <f>AD9</f>
        <v>957.45303231999992</v>
      </c>
      <c r="AF4" s="238">
        <f>AC9</f>
        <v>929.87118751999992</v>
      </c>
      <c r="AG4" s="25">
        <f>AF9</f>
        <v>984.91272846079994</v>
      </c>
      <c r="AH4" s="25">
        <f>AG9</f>
        <v>1014.0257524991999</v>
      </c>
      <c r="AI4" s="238">
        <f>AF9</f>
        <v>984.91272846079994</v>
      </c>
    </row>
    <row r="5" spans="2:37" x14ac:dyDescent="0.3">
      <c r="B5" s="89" t="s">
        <v>217</v>
      </c>
      <c r="E5" s="23"/>
      <c r="H5" s="23"/>
      <c r="K5" s="23"/>
      <c r="N5" s="23"/>
      <c r="O5">
        <f>-'Financial Statements'!O109</f>
        <v>45.8</v>
      </c>
      <c r="Q5" s="23"/>
      <c r="R5">
        <v>16.600000000000001</v>
      </c>
      <c r="T5" s="23"/>
      <c r="U5">
        <v>11.4</v>
      </c>
      <c r="V5" s="65">
        <f>V6*'Financial Statements'!V4</f>
        <v>24.311000000000003</v>
      </c>
      <c r="W5" s="67">
        <f>SUM(U5:V5)</f>
        <v>35.711000000000006</v>
      </c>
      <c r="X5" s="65">
        <f>X6*'Financial Statements'!X4</f>
        <v>25.4726</v>
      </c>
      <c r="Y5" s="65">
        <f>Y6*'Financial Statements'!Y4</f>
        <v>25.316368000000004</v>
      </c>
      <c r="Z5" s="67">
        <f>SUM(X5:Y5)</f>
        <v>50.788968000000004</v>
      </c>
      <c r="AA5" s="65">
        <f>AA6*'Financial Statements'!AA4</f>
        <v>26.505976000000004</v>
      </c>
      <c r="AB5" s="65">
        <f>AB6*'Financial Statements'!AB4</f>
        <v>26.365243520000007</v>
      </c>
      <c r="AC5" s="67">
        <f>SUM(AA5:AB5)</f>
        <v>52.871219520000011</v>
      </c>
      <c r="AD5" s="65">
        <f>AD6*'Financial Statements'!AD4</f>
        <v>27.581844799999999</v>
      </c>
      <c r="AE5" s="65">
        <f>AE6*'Financial Statements'!AE4</f>
        <v>27.459696140800006</v>
      </c>
      <c r="AF5" s="67">
        <f>SUM(AD5:AE5)</f>
        <v>55.041540940800004</v>
      </c>
      <c r="AG5" s="65">
        <f>AG6*'Financial Statements'!AG4</f>
        <v>29.113024038400006</v>
      </c>
      <c r="AH5" s="65">
        <f>AH6*'Financial Statements'!AH4</f>
        <v>29.184055271168013</v>
      </c>
      <c r="AI5" s="67">
        <f>SUM(AG5:AH5)</f>
        <v>58.297079309568019</v>
      </c>
    </row>
    <row r="6" spans="2:37" s="7" customFormat="1" ht="13.8" x14ac:dyDescent="0.3">
      <c r="B6" s="236" t="s">
        <v>146</v>
      </c>
      <c r="E6" s="58"/>
      <c r="H6" s="58"/>
      <c r="K6" s="58"/>
      <c r="N6" s="58"/>
      <c r="O6" s="7">
        <f>O5/'Financial Statements'!O4</f>
        <v>7.1933406627925231E-2</v>
      </c>
      <c r="P6" s="7">
        <f>P5/'Financial Statements'!P4</f>
        <v>0</v>
      </c>
      <c r="Q6" s="58">
        <f>Q5/'Financial Statements'!Q4</f>
        <v>0</v>
      </c>
      <c r="R6" s="7">
        <f>R5/'Financial Statements'!R4</f>
        <v>3.1103616263818624E-2</v>
      </c>
      <c r="S6" s="7">
        <f>S5/'Financial Statements'!S4</f>
        <v>0</v>
      </c>
      <c r="T6" s="58">
        <f>T5/'Financial Statements'!T4</f>
        <v>0</v>
      </c>
      <c r="U6" s="7">
        <f>U5/'Financial Statements'!U4</f>
        <v>2.32843137254902E-2</v>
      </c>
      <c r="V6" s="237">
        <v>0.05</v>
      </c>
      <c r="W6" s="58">
        <f>W5/'Financial Statements'!W4</f>
        <v>3.659588858600972E-2</v>
      </c>
      <c r="X6" s="237">
        <v>0.05</v>
      </c>
      <c r="Y6" s="237">
        <v>0.05</v>
      </c>
      <c r="Z6" s="58">
        <f>Z5/'Financial Statements'!Z4</f>
        <v>4.9999999999999996E-2</v>
      </c>
      <c r="AA6" s="237">
        <v>0.05</v>
      </c>
      <c r="AB6" s="237">
        <v>0.05</v>
      </c>
      <c r="AC6" s="58">
        <f>AC5/'Financial Statements'!AC4</f>
        <v>5.000000000000001E-2</v>
      </c>
      <c r="AD6" s="237">
        <v>0.05</v>
      </c>
      <c r="AE6" s="237">
        <v>0.05</v>
      </c>
      <c r="AF6" s="58">
        <f>AF5/'Financial Statements'!AF4</f>
        <v>4.9999999999999996E-2</v>
      </c>
      <c r="AG6" s="237">
        <v>0.05</v>
      </c>
      <c r="AH6" s="237">
        <v>0.05</v>
      </c>
      <c r="AI6" s="58">
        <f>AI5/'Financial Statements'!AI4</f>
        <v>0.05</v>
      </c>
      <c r="AK6" s="279">
        <f>+S5-S11</f>
        <v>0</v>
      </c>
    </row>
    <row r="7" spans="2:37" x14ac:dyDescent="0.3">
      <c r="B7" s="89" t="s">
        <v>147</v>
      </c>
      <c r="E7" s="23"/>
      <c r="H7" s="23"/>
      <c r="K7" s="23"/>
      <c r="N7" s="23"/>
      <c r="O7">
        <f>O4+O5-O11-O15</f>
        <v>-406.00000000000006</v>
      </c>
      <c r="Q7" s="23"/>
      <c r="R7">
        <v>-0.2</v>
      </c>
      <c r="T7" s="23"/>
      <c r="U7">
        <v>-2.1</v>
      </c>
      <c r="V7" s="189"/>
      <c r="W7" s="27">
        <f>SUM(U7:V7)</f>
        <v>-2.1</v>
      </c>
      <c r="X7" s="189"/>
      <c r="Y7" s="189"/>
      <c r="Z7" s="27">
        <f>SUM(X7:Y7)</f>
        <v>0</v>
      </c>
      <c r="AA7" s="189"/>
      <c r="AB7" s="189"/>
      <c r="AC7" s="27">
        <f>SUM(AA7:AB7)</f>
        <v>0</v>
      </c>
      <c r="AD7" s="189"/>
      <c r="AE7" s="189"/>
      <c r="AF7" s="27">
        <f>SUM(AD7:AE7)</f>
        <v>0</v>
      </c>
      <c r="AG7" s="189"/>
      <c r="AH7" s="189"/>
      <c r="AI7" s="27">
        <f>SUM(AG7:AH7)</f>
        <v>0</v>
      </c>
    </row>
    <row r="8" spans="2:37" x14ac:dyDescent="0.3">
      <c r="B8" s="89" t="s">
        <v>216</v>
      </c>
      <c r="E8" s="23"/>
      <c r="H8" s="23"/>
      <c r="K8" s="23"/>
      <c r="N8" s="23"/>
      <c r="Q8" s="23"/>
      <c r="R8">
        <f>0.1-2.6</f>
        <v>-2.5</v>
      </c>
      <c r="T8" s="23"/>
      <c r="U8">
        <f>-0.1-14.4</f>
        <v>-14.5</v>
      </c>
      <c r="V8" s="189"/>
      <c r="W8" s="27">
        <f>SUM(U8:V8)</f>
        <v>-14.5</v>
      </c>
      <c r="X8" s="189"/>
      <c r="Y8" s="189"/>
      <c r="Z8" s="27"/>
      <c r="AA8" s="189"/>
      <c r="AB8" s="189"/>
      <c r="AC8" s="27"/>
      <c r="AD8" s="189"/>
      <c r="AE8" s="189"/>
      <c r="AF8" s="27"/>
      <c r="AG8" s="189"/>
      <c r="AH8" s="189"/>
      <c r="AI8" s="27"/>
    </row>
    <row r="9" spans="2:37" x14ac:dyDescent="0.3">
      <c r="B9" s="171" t="s">
        <v>218</v>
      </c>
      <c r="E9" s="23"/>
      <c r="H9" s="23"/>
      <c r="K9" s="23"/>
      <c r="N9" s="23"/>
      <c r="O9" s="3">
        <v>735.1</v>
      </c>
      <c r="P9" s="3">
        <v>764.9</v>
      </c>
      <c r="Q9" s="24">
        <f>P9</f>
        <v>764.9</v>
      </c>
      <c r="R9" s="25">
        <f t="shared" ref="R9:AI9" si="0">R4+R5+R7+R8</f>
        <v>778.8</v>
      </c>
      <c r="S9" s="3">
        <v>807.2</v>
      </c>
      <c r="T9" s="24">
        <f>S9</f>
        <v>807.2</v>
      </c>
      <c r="U9" s="25">
        <f>U4+U5+U7+U8-0.1</f>
        <v>801.9</v>
      </c>
      <c r="V9" s="25">
        <f t="shared" si="0"/>
        <v>826.21100000000001</v>
      </c>
      <c r="W9" s="26">
        <f>W4+W5+W7+W8-0.1</f>
        <v>826.21100000000001</v>
      </c>
      <c r="X9" s="25">
        <f t="shared" si="0"/>
        <v>851.68360000000007</v>
      </c>
      <c r="Y9" s="25">
        <f t="shared" si="0"/>
        <v>876.99996800000008</v>
      </c>
      <c r="Z9" s="26">
        <f t="shared" si="0"/>
        <v>876.99996799999997</v>
      </c>
      <c r="AA9" s="25">
        <f t="shared" si="0"/>
        <v>903.505944</v>
      </c>
      <c r="AB9" s="25">
        <f t="shared" si="0"/>
        <v>929.87118752000003</v>
      </c>
      <c r="AC9" s="26">
        <f t="shared" si="0"/>
        <v>929.87118751999992</v>
      </c>
      <c r="AD9" s="25">
        <f t="shared" si="0"/>
        <v>957.45303231999992</v>
      </c>
      <c r="AE9" s="25">
        <f t="shared" si="0"/>
        <v>984.91272846079994</v>
      </c>
      <c r="AF9" s="26">
        <f t="shared" si="0"/>
        <v>984.91272846079994</v>
      </c>
      <c r="AG9" s="25">
        <f t="shared" si="0"/>
        <v>1014.0257524991999</v>
      </c>
      <c r="AH9" s="25">
        <f t="shared" si="0"/>
        <v>1043.2098077703679</v>
      </c>
      <c r="AI9" s="26">
        <f t="shared" si="0"/>
        <v>1043.2098077703679</v>
      </c>
    </row>
    <row r="10" spans="2:37" s="3" customFormat="1" x14ac:dyDescent="0.3">
      <c r="B10" s="171" t="s">
        <v>219</v>
      </c>
      <c r="E10" s="24"/>
      <c r="H10" s="24"/>
      <c r="K10" s="24"/>
      <c r="N10" s="24"/>
      <c r="P10" s="3">
        <v>304.89999999999998</v>
      </c>
      <c r="Q10" s="230">
        <f>P10</f>
        <v>304.89999999999998</v>
      </c>
      <c r="R10" s="25">
        <f>Q14</f>
        <v>314.3</v>
      </c>
      <c r="S10" s="3">
        <v>304.89999999999998</v>
      </c>
      <c r="T10" s="230">
        <f>S10</f>
        <v>304.89999999999998</v>
      </c>
      <c r="U10" s="25">
        <f>T14</f>
        <v>342.8</v>
      </c>
      <c r="V10" s="50">
        <f>U14</f>
        <v>351.7</v>
      </c>
      <c r="W10" s="233">
        <f>T14</f>
        <v>342.8</v>
      </c>
      <c r="X10" s="50">
        <f>W14</f>
        <v>367.738</v>
      </c>
      <c r="Y10" s="50">
        <f>X14</f>
        <v>384.26222000000001</v>
      </c>
      <c r="Z10" s="233">
        <f>W14</f>
        <v>367.738</v>
      </c>
      <c r="AA10" s="50">
        <f>Z14</f>
        <v>401.29589199999998</v>
      </c>
      <c r="AB10" s="50">
        <f>AA14</f>
        <v>418.83589136000001</v>
      </c>
      <c r="AC10" s="233">
        <f>Z14</f>
        <v>401.29589199999998</v>
      </c>
      <c r="AD10" s="50">
        <f>AC14</f>
        <v>436.90601024</v>
      </c>
      <c r="AE10" s="50">
        <f>AD14</f>
        <v>455.50343399040003</v>
      </c>
      <c r="AF10" s="233">
        <f>AC14</f>
        <v>436.90601024</v>
      </c>
      <c r="AG10" s="50">
        <f>AF14</f>
        <v>474.65249463679999</v>
      </c>
      <c r="AH10" s="50">
        <f>AG14</f>
        <v>494.35074920601596</v>
      </c>
      <c r="AI10" s="233">
        <f>AF14</f>
        <v>474.65249463679999</v>
      </c>
    </row>
    <row r="11" spans="2:37" x14ac:dyDescent="0.3">
      <c r="B11" s="89" t="s">
        <v>150</v>
      </c>
      <c r="E11" s="23"/>
      <c r="H11" s="23"/>
      <c r="K11" s="23"/>
      <c r="N11" s="23"/>
      <c r="O11">
        <f>'Financial Statements'!O16</f>
        <v>21.6</v>
      </c>
      <c r="Q11" s="23">
        <f>'Financial Statements'!Q16</f>
        <v>45.1</v>
      </c>
      <c r="R11" s="18">
        <v>15.4</v>
      </c>
      <c r="T11" s="23">
        <f>'Financial Statements'!T16</f>
        <v>46.8</v>
      </c>
      <c r="U11" s="18">
        <v>16.2</v>
      </c>
      <c r="V11" s="18">
        <f>V12*V4</f>
        <v>16.038</v>
      </c>
      <c r="W11" s="27">
        <f>SUM(U11:V11)</f>
        <v>32.238</v>
      </c>
      <c r="X11" s="18">
        <f>X12*X4</f>
        <v>16.52422</v>
      </c>
      <c r="Y11" s="18">
        <f>Y12*Y4</f>
        <v>17.033672000000003</v>
      </c>
      <c r="Z11" s="27">
        <f>SUM(X11:Y11)</f>
        <v>33.557892000000002</v>
      </c>
      <c r="AA11" s="18">
        <f>AA12*AA4</f>
        <v>17.539999359999999</v>
      </c>
      <c r="AB11" s="18">
        <f>AB12*AB4</f>
        <v>18.070118879999999</v>
      </c>
      <c r="AC11" s="27">
        <f>SUM(AA11:AB11)</f>
        <v>35.610118239999998</v>
      </c>
      <c r="AD11" s="18">
        <f>AD12*AD4</f>
        <v>18.597423750399997</v>
      </c>
      <c r="AE11" s="18">
        <f>AE12*AE4</f>
        <v>19.149060646399999</v>
      </c>
      <c r="AF11" s="27">
        <f>SUM(AD11:AE11)</f>
        <v>37.7464843968</v>
      </c>
      <c r="AG11" s="18">
        <f>AG12*AG4</f>
        <v>19.698254569216001</v>
      </c>
      <c r="AH11" s="18">
        <f>AH12*AH4</f>
        <v>20.280515049984</v>
      </c>
      <c r="AI11" s="27">
        <f>SUM(AG11:AH11)</f>
        <v>39.978769619200001</v>
      </c>
    </row>
    <row r="12" spans="2:37" s="7" customFormat="1" ht="13.8" x14ac:dyDescent="0.3">
      <c r="B12" s="236" t="s">
        <v>148</v>
      </c>
      <c r="E12" s="58"/>
      <c r="H12" s="58"/>
      <c r="K12" s="58"/>
      <c r="N12" s="58"/>
      <c r="O12" s="7" t="e">
        <f t="shared" ref="O12:T12" si="1">O11/O4</f>
        <v>#DIV/0!</v>
      </c>
      <c r="P12" s="7">
        <f t="shared" si="1"/>
        <v>0</v>
      </c>
      <c r="Q12" s="58">
        <f t="shared" si="1"/>
        <v>6.1352196980002723E-2</v>
      </c>
      <c r="R12" s="7">
        <f t="shared" si="1"/>
        <v>2.0133350764805859E-2</v>
      </c>
      <c r="S12" s="7">
        <f t="shared" si="1"/>
        <v>0</v>
      </c>
      <c r="T12" s="58">
        <f t="shared" si="1"/>
        <v>6.0092449922958396E-2</v>
      </c>
      <c r="U12" s="7">
        <f t="shared" ref="U12" si="2">U11/U4</f>
        <v>2.0069375619425171E-2</v>
      </c>
      <c r="V12" s="237">
        <v>0.02</v>
      </c>
      <c r="W12" s="58">
        <f>W11/W4</f>
        <v>3.9938057482656095E-2</v>
      </c>
      <c r="X12" s="237">
        <v>0.02</v>
      </c>
      <c r="Y12" s="237">
        <v>0.02</v>
      </c>
      <c r="Z12" s="58">
        <f>Z11/Z4</f>
        <v>4.0616612463402209E-2</v>
      </c>
      <c r="AA12" s="237">
        <v>0.02</v>
      </c>
      <c r="AB12" s="237">
        <v>0.02</v>
      </c>
      <c r="AC12" s="58">
        <f>AC11/AC4</f>
        <v>4.0604469258087819E-2</v>
      </c>
      <c r="AD12" s="237">
        <v>0.02</v>
      </c>
      <c r="AE12" s="237">
        <v>0.02</v>
      </c>
      <c r="AF12" s="58">
        <f>AF11/AF4</f>
        <v>4.0593240121216401E-2</v>
      </c>
      <c r="AG12" s="237">
        <v>0.02</v>
      </c>
      <c r="AH12" s="237">
        <v>0.02</v>
      </c>
      <c r="AI12" s="58">
        <f>AI11/AI4</f>
        <v>4.0591179770493931E-2</v>
      </c>
    </row>
    <row r="13" spans="2:37" s="10" customFormat="1" x14ac:dyDescent="0.3">
      <c r="B13" s="97" t="s">
        <v>216</v>
      </c>
      <c r="E13" s="59"/>
      <c r="H13" s="59"/>
      <c r="K13" s="59"/>
      <c r="N13" s="59"/>
      <c r="Q13" s="59"/>
      <c r="R13" s="51">
        <f>-1.1+0-0.2</f>
        <v>-1.3</v>
      </c>
      <c r="T13" s="59"/>
      <c r="U13" s="51">
        <v>-7.3</v>
      </c>
      <c r="V13" s="100"/>
      <c r="W13" s="27">
        <f>SUM(U13:V13)</f>
        <v>-7.3</v>
      </c>
      <c r="X13" s="100"/>
      <c r="Y13" s="100"/>
      <c r="Z13" s="59"/>
      <c r="AA13" s="100"/>
      <c r="AB13" s="100"/>
      <c r="AC13" s="59"/>
      <c r="AD13" s="100"/>
      <c r="AE13" s="100"/>
      <c r="AF13" s="59"/>
      <c r="AG13" s="100"/>
      <c r="AH13" s="100"/>
      <c r="AI13" s="59"/>
    </row>
    <row r="14" spans="2:37" s="228" customFormat="1" x14ac:dyDescent="0.3">
      <c r="B14" s="229" t="s">
        <v>220</v>
      </c>
      <c r="E14" s="230"/>
      <c r="H14" s="230"/>
      <c r="K14" s="230"/>
      <c r="N14" s="230"/>
      <c r="O14" s="25">
        <v>304.89999999999998</v>
      </c>
      <c r="P14" s="25">
        <v>314.3</v>
      </c>
      <c r="Q14" s="26">
        <f>P14</f>
        <v>314.3</v>
      </c>
      <c r="R14" s="25">
        <f>R10+R11+R13</f>
        <v>328.4</v>
      </c>
      <c r="S14" s="25">
        <v>342.8</v>
      </c>
      <c r="T14" s="26">
        <f>S14</f>
        <v>342.8</v>
      </c>
      <c r="U14" s="25">
        <f>U10+U11+U13</f>
        <v>351.7</v>
      </c>
      <c r="V14" s="239">
        <f t="shared" ref="V14:AI14" si="3">V10+V11+V13</f>
        <v>367.738</v>
      </c>
      <c r="W14" s="26">
        <f>W10+W11+W13</f>
        <v>367.738</v>
      </c>
      <c r="X14" s="239">
        <f t="shared" si="3"/>
        <v>384.26222000000001</v>
      </c>
      <c r="Y14" s="239">
        <f t="shared" si="3"/>
        <v>401.29589200000004</v>
      </c>
      <c r="Z14" s="26">
        <f t="shared" si="3"/>
        <v>401.29589199999998</v>
      </c>
      <c r="AA14" s="239">
        <f t="shared" si="3"/>
        <v>418.83589136000001</v>
      </c>
      <c r="AB14" s="239">
        <f t="shared" si="3"/>
        <v>436.90601024</v>
      </c>
      <c r="AC14" s="26">
        <f t="shared" si="3"/>
        <v>436.90601024</v>
      </c>
      <c r="AD14" s="239">
        <f t="shared" si="3"/>
        <v>455.50343399040003</v>
      </c>
      <c r="AE14" s="239">
        <f t="shared" si="3"/>
        <v>474.65249463680004</v>
      </c>
      <c r="AF14" s="26">
        <f t="shared" si="3"/>
        <v>474.65249463679999</v>
      </c>
      <c r="AG14" s="239">
        <f t="shared" si="3"/>
        <v>494.35074920601596</v>
      </c>
      <c r="AH14" s="239">
        <f t="shared" si="3"/>
        <v>514.63126425600001</v>
      </c>
      <c r="AI14" s="26">
        <f t="shared" si="3"/>
        <v>514.63126425600001</v>
      </c>
    </row>
    <row r="15" spans="2:37" s="3" customFormat="1" ht="15" thickBot="1" x14ac:dyDescent="0.35">
      <c r="B15" s="92" t="s">
        <v>149</v>
      </c>
      <c r="C15" s="82"/>
      <c r="D15" s="82"/>
      <c r="E15" s="93"/>
      <c r="F15" s="82"/>
      <c r="G15" s="82"/>
      <c r="H15" s="99"/>
      <c r="I15" s="82"/>
      <c r="J15" s="82"/>
      <c r="K15" s="93"/>
      <c r="L15" s="82"/>
      <c r="M15" s="88"/>
      <c r="N15" s="93"/>
      <c r="O15" s="240">
        <f>O9-O14</f>
        <v>430.20000000000005</v>
      </c>
      <c r="P15" s="240">
        <f>'Financial Statements'!P51</f>
        <v>450.6</v>
      </c>
      <c r="Q15" s="241">
        <f t="shared" ref="Q15:AI15" si="4">Q9-Q14</f>
        <v>450.59999999999997</v>
      </c>
      <c r="R15" s="240">
        <f t="shared" si="4"/>
        <v>450.4</v>
      </c>
      <c r="S15" s="240">
        <f>'Financial Statements'!S51</f>
        <v>464.4</v>
      </c>
      <c r="T15" s="241">
        <v>464.4</v>
      </c>
      <c r="U15" s="240">
        <f t="shared" ref="U15" si="5">U9-U14</f>
        <v>450.2</v>
      </c>
      <c r="V15" s="240">
        <f t="shared" si="4"/>
        <v>458.47300000000001</v>
      </c>
      <c r="W15" s="241">
        <f t="shared" si="4"/>
        <v>458.47300000000001</v>
      </c>
      <c r="X15" s="240">
        <f t="shared" si="4"/>
        <v>467.42138000000006</v>
      </c>
      <c r="Y15" s="240">
        <f t="shared" si="4"/>
        <v>475.70407600000004</v>
      </c>
      <c r="Z15" s="241">
        <f t="shared" si="4"/>
        <v>475.70407599999999</v>
      </c>
      <c r="AA15" s="240">
        <f t="shared" si="4"/>
        <v>484.67005263999999</v>
      </c>
      <c r="AB15" s="240">
        <f t="shared" si="4"/>
        <v>492.96517728000003</v>
      </c>
      <c r="AC15" s="241">
        <f t="shared" si="4"/>
        <v>492.96517727999992</v>
      </c>
      <c r="AD15" s="240">
        <f t="shared" si="4"/>
        <v>501.94959832959989</v>
      </c>
      <c r="AE15" s="240">
        <f t="shared" si="4"/>
        <v>510.2602338239999</v>
      </c>
      <c r="AF15" s="241">
        <f t="shared" si="4"/>
        <v>510.26023382399995</v>
      </c>
      <c r="AG15" s="240">
        <f t="shared" si="4"/>
        <v>519.67500329318398</v>
      </c>
      <c r="AH15" s="240">
        <f t="shared" si="4"/>
        <v>528.57854351436788</v>
      </c>
      <c r="AI15" s="241">
        <f t="shared" si="4"/>
        <v>528.57854351436788</v>
      </c>
    </row>
    <row r="16" spans="2:37" s="3" customFormat="1" ht="15" thickBot="1" x14ac:dyDescent="0.35">
      <c r="H16" s="50"/>
      <c r="M16" s="50"/>
      <c r="P16" s="50"/>
      <c r="Q16" s="228"/>
      <c r="R16" s="228"/>
      <c r="S16" s="50"/>
      <c r="T16" s="228"/>
      <c r="U16" s="228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35" s="3" customFormat="1" x14ac:dyDescent="0.3">
      <c r="B17" s="170" t="s">
        <v>80</v>
      </c>
      <c r="C17" s="254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80"/>
    </row>
    <row r="18" spans="2:35" s="3" customFormat="1" x14ac:dyDescent="0.3">
      <c r="B18" s="94" t="s">
        <v>167</v>
      </c>
      <c r="C18"/>
      <c r="D18"/>
      <c r="E18" s="23"/>
      <c r="H18" s="24"/>
      <c r="K18" s="24"/>
      <c r="N18" s="24"/>
      <c r="P18" s="3">
        <f>O23</f>
        <v>647.4</v>
      </c>
      <c r="Q18" s="24">
        <f>P18</f>
        <v>647.4</v>
      </c>
      <c r="R18" s="3">
        <f>Q23</f>
        <v>648.70000000000005</v>
      </c>
      <c r="S18" s="3">
        <f>R23</f>
        <v>648.80000000000007</v>
      </c>
      <c r="T18" s="24">
        <f>S18</f>
        <v>648.80000000000007</v>
      </c>
      <c r="U18" s="3">
        <f>T23</f>
        <v>648.70000000000005</v>
      </c>
      <c r="V18" s="50">
        <f>U23</f>
        <v>647.30000000000007</v>
      </c>
      <c r="W18" s="233">
        <f>T23</f>
        <v>648.70000000000005</v>
      </c>
      <c r="X18" s="50">
        <f>W23</f>
        <v>647.30000000000007</v>
      </c>
      <c r="Y18" s="50">
        <f>X23</f>
        <v>647.30000000000007</v>
      </c>
      <c r="Z18" s="233">
        <f>W23</f>
        <v>647.30000000000007</v>
      </c>
      <c r="AA18" s="50">
        <f>Z23</f>
        <v>647.30000000000007</v>
      </c>
      <c r="AB18" s="50">
        <f>AA23</f>
        <v>647.30000000000007</v>
      </c>
      <c r="AC18" s="233">
        <f>Z23</f>
        <v>647.30000000000007</v>
      </c>
      <c r="AD18" s="50">
        <f>AC23</f>
        <v>647.30000000000007</v>
      </c>
      <c r="AE18" s="50">
        <f>AD23</f>
        <v>647.30000000000007</v>
      </c>
      <c r="AF18" s="233">
        <f>AC23</f>
        <v>647.30000000000007</v>
      </c>
      <c r="AG18" s="50">
        <f>AF23</f>
        <v>647.30000000000007</v>
      </c>
      <c r="AH18" s="50">
        <f>AG23</f>
        <v>647.30000000000007</v>
      </c>
      <c r="AI18" s="233">
        <f>AF23</f>
        <v>647.30000000000007</v>
      </c>
    </row>
    <row r="19" spans="2:35" s="3" customFormat="1" x14ac:dyDescent="0.3">
      <c r="B19" s="89" t="s">
        <v>217</v>
      </c>
      <c r="C19"/>
      <c r="D19"/>
      <c r="E19" s="23"/>
      <c r="F19"/>
      <c r="G19"/>
      <c r="H19" s="23"/>
      <c r="I19"/>
      <c r="J19"/>
      <c r="K19" s="23"/>
      <c r="L19"/>
      <c r="M19"/>
      <c r="N19" s="23"/>
      <c r="O19">
        <f>-'Financial Statements'!O123</f>
        <v>-306.70000000000005</v>
      </c>
      <c r="P19"/>
      <c r="Q19" s="23"/>
      <c r="R19">
        <v>1.7</v>
      </c>
      <c r="S19"/>
      <c r="T19" s="23"/>
      <c r="U19"/>
      <c r="V19">
        <f>V20*'Financial Statements'!V21</f>
        <v>0</v>
      </c>
      <c r="W19" s="23">
        <f>SUM(U19:V19)</f>
        <v>0</v>
      </c>
      <c r="X19">
        <f>X20*'Financial Statements'!X21</f>
        <v>0</v>
      </c>
      <c r="Y19">
        <f>Y20*'Financial Statements'!Y21</f>
        <v>0</v>
      </c>
      <c r="Z19" s="23">
        <f>SUM(X19:Y19)</f>
        <v>0</v>
      </c>
      <c r="AA19">
        <f>AA20*'Financial Statements'!AA21</f>
        <v>0</v>
      </c>
      <c r="AB19">
        <f>AB20*'Financial Statements'!AB21</f>
        <v>0</v>
      </c>
      <c r="AC19" s="23">
        <f>SUM(AA19:AB19)</f>
        <v>0</v>
      </c>
      <c r="AD19">
        <f>AD20*'Financial Statements'!AD21</f>
        <v>0</v>
      </c>
      <c r="AE19">
        <f>AE20*'Financial Statements'!AE21</f>
        <v>0</v>
      </c>
      <c r="AF19" s="23">
        <f>SUM(AD19:AE19)</f>
        <v>0</v>
      </c>
      <c r="AG19">
        <f>AG20*'Financial Statements'!AG21</f>
        <v>0</v>
      </c>
      <c r="AH19">
        <f>AH20*'Financial Statements'!AH21</f>
        <v>0</v>
      </c>
      <c r="AI19" s="23">
        <f>SUM(AG19:AH19)</f>
        <v>0</v>
      </c>
    </row>
    <row r="20" spans="2:35" s="3" customFormat="1" x14ac:dyDescent="0.3">
      <c r="B20" s="96" t="s">
        <v>146</v>
      </c>
      <c r="C20" s="10"/>
      <c r="D20" s="10"/>
      <c r="E20" s="59"/>
      <c r="F20" s="10"/>
      <c r="G20" s="10"/>
      <c r="H20" s="59"/>
      <c r="I20" s="10"/>
      <c r="J20" s="10"/>
      <c r="K20" s="59"/>
      <c r="L20" s="10"/>
      <c r="M20" s="10"/>
      <c r="N20" s="59"/>
      <c r="O20" s="10">
        <f>O19/'Financial Statements'!O21</f>
        <v>-26.21367521367522</v>
      </c>
      <c r="P20" s="10">
        <f>P19/'Financial Statements'!P21</f>
        <v>0</v>
      </c>
      <c r="Q20" s="59">
        <f>Q19/'Financial Statements'!Q21</f>
        <v>0</v>
      </c>
      <c r="R20" s="10">
        <f>R19/'Financial Statements'!R21</f>
        <v>0.10179640718562874</v>
      </c>
      <c r="S20" s="10">
        <f>S19/'Financial Statements'!S21</f>
        <v>0</v>
      </c>
      <c r="T20" s="59">
        <f>T19/'Financial Statements'!T21</f>
        <v>0</v>
      </c>
      <c r="U20" s="10">
        <f>U19/'Financial Statements'!U21</f>
        <v>0</v>
      </c>
      <c r="V20" s="100"/>
      <c r="W20" s="59">
        <f>W19/'Financial Statements'!W21</f>
        <v>0</v>
      </c>
      <c r="X20" s="100"/>
      <c r="Y20" s="100"/>
      <c r="Z20" s="59">
        <f>Z19/'Financial Statements'!Z21</f>
        <v>0</v>
      </c>
      <c r="AA20" s="100"/>
      <c r="AB20" s="100"/>
      <c r="AC20" s="59">
        <f>AC19/'Financial Statements'!AC21</f>
        <v>0</v>
      </c>
      <c r="AD20" s="100"/>
      <c r="AE20" s="100"/>
      <c r="AF20" s="59">
        <f>AF19/'Financial Statements'!AF21</f>
        <v>0</v>
      </c>
      <c r="AG20" s="100"/>
      <c r="AH20" s="100"/>
      <c r="AI20" s="59">
        <f>AI19/'Financial Statements'!AI21</f>
        <v>0</v>
      </c>
    </row>
    <row r="21" spans="2:35" s="3" customFormat="1" x14ac:dyDescent="0.3">
      <c r="B21" s="89" t="s">
        <v>147</v>
      </c>
      <c r="C21"/>
      <c r="D21"/>
      <c r="E21" s="23"/>
      <c r="F21"/>
      <c r="G21"/>
      <c r="H21" s="23"/>
      <c r="I21"/>
      <c r="J21"/>
      <c r="K21" s="23"/>
      <c r="L21"/>
      <c r="M21"/>
      <c r="N21" s="23"/>
      <c r="O21">
        <f>O18+O19-O25-O29</f>
        <v>-812.40000000000009</v>
      </c>
      <c r="P21"/>
      <c r="Q21" s="23"/>
      <c r="R21">
        <v>0</v>
      </c>
      <c r="S21"/>
      <c r="T21" s="23"/>
      <c r="U21"/>
      <c r="V21" s="189"/>
      <c r="W21" s="27">
        <f>SUM(U21:V21)</f>
        <v>0</v>
      </c>
      <c r="X21" s="189"/>
      <c r="Y21" s="189"/>
      <c r="Z21" s="27">
        <f>SUM(X21:Y21)</f>
        <v>0</v>
      </c>
      <c r="AA21" s="189"/>
      <c r="AB21" s="189"/>
      <c r="AC21" s="27">
        <f>SUM(AA21:AB21)</f>
        <v>0</v>
      </c>
      <c r="AD21" s="189"/>
      <c r="AE21" s="189"/>
      <c r="AF21" s="27">
        <f>SUM(AD21:AE21)</f>
        <v>0</v>
      </c>
      <c r="AG21" s="189"/>
      <c r="AH21" s="189"/>
      <c r="AI21" s="27">
        <f>SUM(AG21:AH21)</f>
        <v>0</v>
      </c>
    </row>
    <row r="22" spans="2:35" s="3" customFormat="1" x14ac:dyDescent="0.3">
      <c r="B22" s="89" t="s">
        <v>216</v>
      </c>
      <c r="C22"/>
      <c r="D22"/>
      <c r="E22" s="23"/>
      <c r="F22"/>
      <c r="G22"/>
      <c r="H22" s="23"/>
      <c r="I22"/>
      <c r="J22"/>
      <c r="K22" s="23"/>
      <c r="L22"/>
      <c r="M22"/>
      <c r="N22" s="23"/>
      <c r="O22"/>
      <c r="P22"/>
      <c r="Q22" s="23"/>
      <c r="R22">
        <f>-0.1-1.4</f>
        <v>-1.5</v>
      </c>
      <c r="S22"/>
      <c r="T22" s="23"/>
      <c r="U22">
        <f>-0.1-1.4</f>
        <v>-1.5</v>
      </c>
      <c r="V22" s="189"/>
      <c r="W22" s="23">
        <f>SUM(U22:V22)</f>
        <v>-1.5</v>
      </c>
      <c r="X22" s="189"/>
      <c r="Y22" s="189"/>
      <c r="Z22" s="27"/>
      <c r="AA22" s="189"/>
      <c r="AB22" s="189"/>
      <c r="AC22" s="27"/>
      <c r="AD22" s="189"/>
      <c r="AE22" s="189"/>
      <c r="AF22" s="27"/>
      <c r="AG22" s="189"/>
      <c r="AH22" s="189"/>
      <c r="AI22" s="27"/>
    </row>
    <row r="23" spans="2:35" s="3" customFormat="1" x14ac:dyDescent="0.3">
      <c r="B23" s="171" t="s">
        <v>218</v>
      </c>
      <c r="C23"/>
      <c r="D23"/>
      <c r="E23" s="23"/>
      <c r="F23"/>
      <c r="G23"/>
      <c r="H23" s="23"/>
      <c r="I23"/>
      <c r="J23"/>
      <c r="K23" s="23"/>
      <c r="L23"/>
      <c r="M23"/>
      <c r="N23" s="23"/>
      <c r="O23" s="3">
        <v>647.4</v>
      </c>
      <c r="P23" s="3">
        <v>648.70000000000005</v>
      </c>
      <c r="Q23" s="24">
        <f>P23</f>
        <v>648.70000000000005</v>
      </c>
      <c r="R23" s="3">
        <f>R18+R19+R21+R22-0.1</f>
        <v>648.80000000000007</v>
      </c>
      <c r="S23" s="3">
        <v>648.70000000000005</v>
      </c>
      <c r="T23" s="24">
        <f>S23</f>
        <v>648.70000000000005</v>
      </c>
      <c r="U23" s="3">
        <f>U18+U19+U21+U22+0.1</f>
        <v>647.30000000000007</v>
      </c>
      <c r="V23" s="255">
        <f t="shared" ref="V23" si="6">V18+V19+V21+V22</f>
        <v>647.30000000000007</v>
      </c>
      <c r="W23" s="235">
        <f>W18+W19+W21+W22+0.1</f>
        <v>647.30000000000007</v>
      </c>
      <c r="X23" s="234">
        <f>X18+X19+X21+X22</f>
        <v>647.30000000000007</v>
      </c>
      <c r="Y23" s="255">
        <f t="shared" ref="Y23" si="7">Y18+Y19+Y21+Y22</f>
        <v>647.30000000000007</v>
      </c>
      <c r="Z23" s="235">
        <f t="shared" ref="Z23" si="8">Z18+Z19+Z21+Z22</f>
        <v>647.30000000000007</v>
      </c>
      <c r="AA23" s="234">
        <f>AA18+AA19+AA21+AA22</f>
        <v>647.30000000000007</v>
      </c>
      <c r="AB23" s="255">
        <f t="shared" ref="AB23" si="9">AB18+AB19+AB21+AB22</f>
        <v>647.30000000000007</v>
      </c>
      <c r="AC23" s="235">
        <f t="shared" ref="AC23" si="10">AC18+AC19+AC21+AC22</f>
        <v>647.30000000000007</v>
      </c>
      <c r="AD23" s="234">
        <f>AD18+AD19+AD21+AD22</f>
        <v>647.30000000000007</v>
      </c>
      <c r="AE23" s="255">
        <f t="shared" ref="AE23" si="11">AE18+AE19+AE21+AE22</f>
        <v>647.30000000000007</v>
      </c>
      <c r="AF23" s="235">
        <f t="shared" ref="AF23" si="12">AF18+AF19+AF21+AF22</f>
        <v>647.30000000000007</v>
      </c>
      <c r="AG23" s="234">
        <f>AG18+AG19+AG21+AG22</f>
        <v>647.30000000000007</v>
      </c>
      <c r="AH23" s="255">
        <f t="shared" ref="AH23" si="13">AH18+AH19+AH21+AH22</f>
        <v>647.30000000000007</v>
      </c>
      <c r="AI23" s="235">
        <f t="shared" ref="AI23" si="14">AI18+AI19+AI21+AI22</f>
        <v>647.30000000000007</v>
      </c>
    </row>
    <row r="24" spans="2:35" s="3" customFormat="1" x14ac:dyDescent="0.3">
      <c r="B24" s="171" t="s">
        <v>221</v>
      </c>
      <c r="E24" s="24"/>
      <c r="H24" s="24"/>
      <c r="K24" s="24"/>
      <c r="N24" s="24"/>
      <c r="P24" s="228">
        <f>O28</f>
        <v>141.69999999999999</v>
      </c>
      <c r="Q24" s="230">
        <f>P24</f>
        <v>141.69999999999999</v>
      </c>
      <c r="R24" s="228">
        <f>Q28</f>
        <v>143.9</v>
      </c>
      <c r="S24" s="228">
        <f>R28</f>
        <v>145.1</v>
      </c>
      <c r="T24" s="230">
        <f>S24</f>
        <v>145.1</v>
      </c>
      <c r="U24" s="228">
        <v>149.5</v>
      </c>
      <c r="V24" s="228">
        <f>U28</f>
        <v>148.19999999999999</v>
      </c>
      <c r="W24" s="230">
        <v>149.5</v>
      </c>
      <c r="X24" s="3">
        <f>W24+X25</f>
        <v>149.5</v>
      </c>
      <c r="Y24" s="3">
        <f>X24+Y25</f>
        <v>149.5</v>
      </c>
      <c r="Z24" s="24">
        <f>Y24</f>
        <v>149.5</v>
      </c>
      <c r="AA24" s="3">
        <f>Z24+AA25</f>
        <v>149.5</v>
      </c>
      <c r="AB24" s="3">
        <f>AA24+AB25</f>
        <v>149.5</v>
      </c>
      <c r="AC24" s="24">
        <f>AB24</f>
        <v>149.5</v>
      </c>
      <c r="AD24" s="3">
        <f>AC24+AD25</f>
        <v>149.5</v>
      </c>
      <c r="AE24" s="3">
        <f>AD24+AE25</f>
        <v>149.5</v>
      </c>
      <c r="AF24" s="24">
        <f>AE24</f>
        <v>149.5</v>
      </c>
      <c r="AG24" s="3">
        <f>AF24+AG25</f>
        <v>149.5</v>
      </c>
      <c r="AH24" s="3">
        <f>AG24+AH25</f>
        <v>149.5</v>
      </c>
      <c r="AI24" s="24">
        <f>AH24</f>
        <v>149.5</v>
      </c>
    </row>
    <row r="25" spans="2:35" s="3" customFormat="1" x14ac:dyDescent="0.3">
      <c r="B25" s="89" t="s">
        <v>150</v>
      </c>
      <c r="C25"/>
      <c r="D25"/>
      <c r="E25" s="23"/>
      <c r="F25"/>
      <c r="G25"/>
      <c r="H25" s="23"/>
      <c r="I25"/>
      <c r="J25"/>
      <c r="K25" s="23"/>
      <c r="L25"/>
      <c r="M25"/>
      <c r="N25" s="23"/>
      <c r="O25">
        <f>'Financial Statements'!O32</f>
        <v>0</v>
      </c>
      <c r="P25"/>
      <c r="Q25" s="23">
        <f>'Financial Statements'!Q32</f>
        <v>0</v>
      </c>
      <c r="R25" s="256">
        <v>3.1</v>
      </c>
      <c r="S25"/>
      <c r="T25" s="23">
        <f>'Financial Statements'!T32</f>
        <v>0</v>
      </c>
      <c r="U25" s="256">
        <v>-1.3</v>
      </c>
      <c r="V25">
        <f>V26*V18</f>
        <v>0</v>
      </c>
      <c r="W25" s="23">
        <f>SUM(U25:V25)</f>
        <v>-1.3</v>
      </c>
      <c r="X25">
        <f>X26*X18</f>
        <v>0</v>
      </c>
      <c r="Y25">
        <f>Y26*Y18</f>
        <v>0</v>
      </c>
      <c r="Z25" s="23">
        <f>SUM(X25:Y25)</f>
        <v>0</v>
      </c>
      <c r="AA25">
        <f>AA26*AA18</f>
        <v>0</v>
      </c>
      <c r="AB25">
        <f>AB26*AB18</f>
        <v>0</v>
      </c>
      <c r="AC25" s="23">
        <f>SUM(AA25:AB25)</f>
        <v>0</v>
      </c>
      <c r="AD25">
        <f>AD26*AD18</f>
        <v>0</v>
      </c>
      <c r="AE25">
        <f>AE26*AE18</f>
        <v>0</v>
      </c>
      <c r="AF25" s="23">
        <f>SUM(AD25:AE25)</f>
        <v>0</v>
      </c>
      <c r="AG25">
        <f>AG26*AG18</f>
        <v>0</v>
      </c>
      <c r="AH25">
        <f>AH26*AH18</f>
        <v>0</v>
      </c>
      <c r="AI25" s="23">
        <f>SUM(AG25:AH25)</f>
        <v>0</v>
      </c>
    </row>
    <row r="26" spans="2:35" s="3" customFormat="1" x14ac:dyDescent="0.3">
      <c r="B26" s="97" t="s">
        <v>148</v>
      </c>
      <c r="C26" s="10"/>
      <c r="D26" s="10"/>
      <c r="E26" s="59"/>
      <c r="F26" s="10"/>
      <c r="G26" s="10"/>
      <c r="H26" s="59"/>
      <c r="I26" s="10"/>
      <c r="J26" s="10"/>
      <c r="K26" s="59"/>
      <c r="L26" s="10"/>
      <c r="M26" s="10"/>
      <c r="N26" s="59"/>
      <c r="O26" s="10" t="e">
        <f t="shared" ref="O26:T26" si="15">O25/O18</f>
        <v>#DIV/0!</v>
      </c>
      <c r="P26" s="10">
        <f t="shared" si="15"/>
        <v>0</v>
      </c>
      <c r="Q26" s="59">
        <f t="shared" si="15"/>
        <v>0</v>
      </c>
      <c r="R26" s="10">
        <f t="shared" si="15"/>
        <v>4.7787883459226143E-3</v>
      </c>
      <c r="S26" s="10">
        <f t="shared" si="15"/>
        <v>0</v>
      </c>
      <c r="T26" s="59">
        <f t="shared" si="15"/>
        <v>0</v>
      </c>
      <c r="U26" s="10">
        <f t="shared" ref="U26" si="16">U25/U18</f>
        <v>-2.004008016032064E-3</v>
      </c>
      <c r="V26" s="100"/>
      <c r="W26" s="59">
        <f>W25/W18</f>
        <v>-2.004008016032064E-3</v>
      </c>
      <c r="X26" s="100"/>
      <c r="Y26" s="100"/>
      <c r="Z26" s="59">
        <f>Z25/Z18</f>
        <v>0</v>
      </c>
      <c r="AA26" s="100"/>
      <c r="AB26" s="100"/>
      <c r="AC26" s="59">
        <f>AC25/AC18</f>
        <v>0</v>
      </c>
      <c r="AD26" s="100"/>
      <c r="AE26" s="100"/>
      <c r="AF26" s="59">
        <f>AF25/AF18</f>
        <v>0</v>
      </c>
      <c r="AG26" s="100"/>
      <c r="AH26" s="100"/>
      <c r="AI26" s="59">
        <f>AI25/AI18</f>
        <v>0</v>
      </c>
    </row>
    <row r="27" spans="2:35" s="3" customFormat="1" x14ac:dyDescent="0.3">
      <c r="B27" s="97" t="s">
        <v>216</v>
      </c>
      <c r="C27" s="10"/>
      <c r="D27" s="10"/>
      <c r="E27" s="59"/>
      <c r="F27" s="10"/>
      <c r="G27" s="10"/>
      <c r="H27" s="59"/>
      <c r="I27" s="10"/>
      <c r="J27" s="10"/>
      <c r="K27" s="59"/>
      <c r="L27" s="10"/>
      <c r="M27" s="10"/>
      <c r="N27" s="59"/>
      <c r="O27" s="10"/>
      <c r="P27" s="10"/>
      <c r="Q27" s="59"/>
      <c r="R27" s="51">
        <v>-1.9</v>
      </c>
      <c r="S27" s="10"/>
      <c r="T27" s="59"/>
      <c r="U27" s="51"/>
      <c r="V27" s="100"/>
      <c r="W27" s="59"/>
      <c r="X27" s="100"/>
      <c r="Y27" s="100"/>
      <c r="Z27" s="59"/>
      <c r="AA27" s="100"/>
      <c r="AB27" s="100"/>
      <c r="AC27" s="59"/>
      <c r="AD27" s="100"/>
      <c r="AE27" s="100"/>
      <c r="AF27" s="59"/>
      <c r="AG27" s="100"/>
      <c r="AH27" s="100"/>
      <c r="AI27" s="59"/>
    </row>
    <row r="28" spans="2:35" s="3" customFormat="1" x14ac:dyDescent="0.3">
      <c r="B28" s="229" t="s">
        <v>222</v>
      </c>
      <c r="C28" s="228"/>
      <c r="D28" s="228"/>
      <c r="E28" s="230"/>
      <c r="F28" s="228"/>
      <c r="G28" s="228"/>
      <c r="H28" s="230"/>
      <c r="I28" s="228"/>
      <c r="J28" s="228"/>
      <c r="K28" s="230"/>
      <c r="L28" s="228"/>
      <c r="M28" s="228"/>
      <c r="N28" s="230"/>
      <c r="O28" s="228">
        <v>141.69999999999999</v>
      </c>
      <c r="P28" s="228">
        <v>143.9</v>
      </c>
      <c r="Q28" s="230">
        <f>P28</f>
        <v>143.9</v>
      </c>
      <c r="R28" s="228">
        <f>R24+R25+R27</f>
        <v>145.1</v>
      </c>
      <c r="S28" s="228">
        <v>143.9</v>
      </c>
      <c r="T28" s="230">
        <f>S28</f>
        <v>143.9</v>
      </c>
      <c r="U28" s="228">
        <f>U24+U25+U27</f>
        <v>148.19999999999999</v>
      </c>
      <c r="V28" s="257">
        <f>U28</f>
        <v>148.19999999999999</v>
      </c>
      <c r="W28" s="230">
        <f>W24+W25</f>
        <v>148.19999999999999</v>
      </c>
      <c r="X28" s="257">
        <f>W28</f>
        <v>148.19999999999999</v>
      </c>
      <c r="Y28" s="257">
        <f>X28</f>
        <v>148.19999999999999</v>
      </c>
      <c r="Z28" s="230">
        <f>W28</f>
        <v>148.19999999999999</v>
      </c>
      <c r="AA28" s="257">
        <f>Z28</f>
        <v>148.19999999999999</v>
      </c>
      <c r="AB28" s="257">
        <f>AA28</f>
        <v>148.19999999999999</v>
      </c>
      <c r="AC28" s="230">
        <f>Z28</f>
        <v>148.19999999999999</v>
      </c>
      <c r="AD28" s="257">
        <f>AC28</f>
        <v>148.19999999999999</v>
      </c>
      <c r="AE28" s="257">
        <f>AD28</f>
        <v>148.19999999999999</v>
      </c>
      <c r="AF28" s="230">
        <f>AC28</f>
        <v>148.19999999999999</v>
      </c>
      <c r="AG28" s="257">
        <f>AF28</f>
        <v>148.19999999999999</v>
      </c>
      <c r="AH28" s="257">
        <f>AG28</f>
        <v>148.19999999999999</v>
      </c>
      <c r="AI28" s="230">
        <f>AF28</f>
        <v>148.19999999999999</v>
      </c>
    </row>
    <row r="29" spans="2:35" s="3" customFormat="1" ht="15" thickBot="1" x14ac:dyDescent="0.35">
      <c r="B29" s="92" t="s">
        <v>149</v>
      </c>
      <c r="C29" s="82"/>
      <c r="D29" s="82"/>
      <c r="E29" s="93"/>
      <c r="F29" s="82"/>
      <c r="G29" s="82"/>
      <c r="H29" s="99"/>
      <c r="I29" s="82"/>
      <c r="J29" s="82"/>
      <c r="K29" s="93"/>
      <c r="L29" s="82"/>
      <c r="M29" s="88"/>
      <c r="N29" s="93"/>
      <c r="O29" s="232">
        <f t="shared" ref="O29:R29" si="17">O23-O28</f>
        <v>505.7</v>
      </c>
      <c r="P29" s="88">
        <f t="shared" si="17"/>
        <v>504.80000000000007</v>
      </c>
      <c r="Q29" s="231">
        <f t="shared" si="17"/>
        <v>504.80000000000007</v>
      </c>
      <c r="R29" s="232">
        <f t="shared" si="17"/>
        <v>503.70000000000005</v>
      </c>
      <c r="S29" s="88">
        <v>503.5</v>
      </c>
      <c r="T29" s="231">
        <f t="shared" ref="T29" si="18">T23-T28</f>
        <v>504.80000000000007</v>
      </c>
      <c r="U29" s="232">
        <f>U23-U28-0.1</f>
        <v>499.00000000000006</v>
      </c>
      <c r="V29" s="88">
        <f>V23-V28</f>
        <v>499.10000000000008</v>
      </c>
      <c r="W29" s="99">
        <f>W23-W28</f>
        <v>499.10000000000008</v>
      </c>
      <c r="X29" s="88">
        <f t="shared" ref="X29:AI29" si="19">X23-X28+0.1</f>
        <v>499.2000000000001</v>
      </c>
      <c r="Y29" s="88">
        <f t="shared" si="19"/>
        <v>499.2000000000001</v>
      </c>
      <c r="Z29" s="99">
        <f t="shared" si="19"/>
        <v>499.2000000000001</v>
      </c>
      <c r="AA29" s="88">
        <f t="shared" si="19"/>
        <v>499.2000000000001</v>
      </c>
      <c r="AB29" s="88">
        <f t="shared" si="19"/>
        <v>499.2000000000001</v>
      </c>
      <c r="AC29" s="99">
        <f t="shared" si="19"/>
        <v>499.2000000000001</v>
      </c>
      <c r="AD29" s="88">
        <f t="shared" si="19"/>
        <v>499.2000000000001</v>
      </c>
      <c r="AE29" s="88">
        <f t="shared" si="19"/>
        <v>499.2000000000001</v>
      </c>
      <c r="AF29" s="99">
        <f t="shared" si="19"/>
        <v>499.2000000000001</v>
      </c>
      <c r="AG29" s="88">
        <f t="shared" si="19"/>
        <v>499.2000000000001</v>
      </c>
      <c r="AH29" s="88">
        <f t="shared" si="19"/>
        <v>499.2000000000001</v>
      </c>
      <c r="AI29" s="99">
        <f t="shared" si="19"/>
        <v>499.2000000000001</v>
      </c>
    </row>
    <row r="30" spans="2:35" s="3" customFormat="1" ht="15" thickBot="1" x14ac:dyDescent="0.35">
      <c r="H30" s="50"/>
      <c r="M30" s="50"/>
      <c r="O30" s="228"/>
      <c r="P30" s="50"/>
      <c r="Q30" s="228"/>
      <c r="R30" s="228"/>
      <c r="S30" s="50"/>
      <c r="T30" s="228"/>
      <c r="U30" s="228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</row>
    <row r="31" spans="2:35" s="3" customFormat="1" x14ac:dyDescent="0.3">
      <c r="B31" s="170" t="s">
        <v>223</v>
      </c>
      <c r="C31" s="254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80"/>
    </row>
    <row r="32" spans="2:35" s="3" customFormat="1" x14ac:dyDescent="0.3">
      <c r="B32" s="94" t="s">
        <v>167</v>
      </c>
      <c r="C32"/>
      <c r="D32"/>
      <c r="E32" s="23"/>
      <c r="H32" s="24"/>
      <c r="K32" s="24"/>
      <c r="N32" s="24"/>
      <c r="P32" s="3">
        <f>O37</f>
        <v>64</v>
      </c>
      <c r="Q32" s="24">
        <f>P32</f>
        <v>64</v>
      </c>
      <c r="R32" s="3">
        <f>Q37</f>
        <v>58.1</v>
      </c>
      <c r="S32" s="3">
        <f>R37</f>
        <v>52.900000000000006</v>
      </c>
      <c r="T32" s="24">
        <f>S32</f>
        <v>52.900000000000006</v>
      </c>
      <c r="U32" s="3">
        <v>58.8</v>
      </c>
      <c r="V32" s="50">
        <f>U37</f>
        <v>52.4</v>
      </c>
      <c r="W32" s="233">
        <v>58.8</v>
      </c>
      <c r="X32" s="50">
        <f>W37</f>
        <v>52.4</v>
      </c>
      <c r="Y32" s="50">
        <f>X37</f>
        <v>52.4</v>
      </c>
      <c r="Z32" s="233">
        <f>W37</f>
        <v>52.4</v>
      </c>
      <c r="AA32" s="50">
        <f>Z37</f>
        <v>52.4</v>
      </c>
      <c r="AB32" s="50">
        <f>AA37</f>
        <v>52.4</v>
      </c>
      <c r="AC32" s="233">
        <f>Z37</f>
        <v>52.4</v>
      </c>
      <c r="AD32" s="50">
        <f>AC37</f>
        <v>52.4</v>
      </c>
      <c r="AE32" s="50">
        <f>AD37</f>
        <v>52.4</v>
      </c>
      <c r="AF32" s="233">
        <f>AC37</f>
        <v>52.4</v>
      </c>
      <c r="AG32" s="50">
        <f>AF37</f>
        <v>52.4</v>
      </c>
      <c r="AH32" s="50">
        <f>AG37</f>
        <v>52.4</v>
      </c>
      <c r="AI32" s="233">
        <f>AF37</f>
        <v>52.4</v>
      </c>
    </row>
    <row r="33" spans="2:45" s="3" customFormat="1" x14ac:dyDescent="0.3">
      <c r="B33" s="89" t="s">
        <v>217</v>
      </c>
      <c r="C33"/>
      <c r="D33"/>
      <c r="E33" s="23"/>
      <c r="F33"/>
      <c r="G33"/>
      <c r="H33" s="23"/>
      <c r="I33"/>
      <c r="J33"/>
      <c r="K33" s="23"/>
      <c r="L33"/>
      <c r="M33"/>
      <c r="N33" s="23"/>
      <c r="O33">
        <f>-'Financial Statements'!O137</f>
        <v>0</v>
      </c>
      <c r="P33"/>
      <c r="Q33" s="23"/>
      <c r="R33">
        <v>0.2</v>
      </c>
      <c r="S33"/>
      <c r="T33" s="23"/>
      <c r="U33"/>
      <c r="V33">
        <f>V34*'Financial Statements'!V35</f>
        <v>0</v>
      </c>
      <c r="W33" s="23">
        <f>SUM(U33:V33)</f>
        <v>0</v>
      </c>
      <c r="X33">
        <f>X34*'Financial Statements'!X35</f>
        <v>0</v>
      </c>
      <c r="Y33">
        <f>Y34*'Financial Statements'!Y35</f>
        <v>0</v>
      </c>
      <c r="Z33" s="23">
        <f>SUM(X33:Y33)</f>
        <v>0</v>
      </c>
      <c r="AA33">
        <f>AA34*'Financial Statements'!AA35</f>
        <v>0</v>
      </c>
      <c r="AB33">
        <f>AB34*'Financial Statements'!AB35</f>
        <v>0</v>
      </c>
      <c r="AC33" s="23">
        <f>SUM(AA33:AB33)</f>
        <v>0</v>
      </c>
      <c r="AD33">
        <f>AD34*'Financial Statements'!AD35</f>
        <v>0</v>
      </c>
      <c r="AE33">
        <f>AE34*'Financial Statements'!AE35</f>
        <v>0</v>
      </c>
      <c r="AF33" s="23">
        <f>SUM(AD33:AE33)</f>
        <v>0</v>
      </c>
      <c r="AG33">
        <f>AG34*'Financial Statements'!AG35</f>
        <v>0</v>
      </c>
      <c r="AH33">
        <f>AH34*'Financial Statements'!AH35</f>
        <v>0</v>
      </c>
      <c r="AI33" s="23">
        <f>SUM(AG33:AH33)</f>
        <v>0</v>
      </c>
    </row>
    <row r="34" spans="2:45" s="3" customFormat="1" x14ac:dyDescent="0.3">
      <c r="B34" s="96" t="s">
        <v>146</v>
      </c>
      <c r="C34" s="10"/>
      <c r="D34" s="10"/>
      <c r="E34" s="59"/>
      <c r="F34" s="10"/>
      <c r="G34" s="10"/>
      <c r="H34" s="59"/>
      <c r="I34" s="10"/>
      <c r="J34" s="10"/>
      <c r="K34" s="59"/>
      <c r="L34" s="10"/>
      <c r="M34" s="10"/>
      <c r="N34" s="59"/>
      <c r="O34" s="10" t="e">
        <f>O33/'Financial Statements'!O35</f>
        <v>#DIV/0!</v>
      </c>
      <c r="P34" s="10" t="e">
        <f>P33/'Financial Statements'!P35</f>
        <v>#DIV/0!</v>
      </c>
      <c r="Q34" s="59" t="e">
        <f>Q33/'Financial Statements'!Q35</f>
        <v>#DIV/0!</v>
      </c>
      <c r="R34" s="10" t="e">
        <f>R33/'Financial Statements'!R35</f>
        <v>#DIV/0!</v>
      </c>
      <c r="S34" s="10" t="e">
        <f>S33/'Financial Statements'!S35</f>
        <v>#DIV/0!</v>
      </c>
      <c r="T34" s="59" t="e">
        <f>T33/'Financial Statements'!T35</f>
        <v>#DIV/0!</v>
      </c>
      <c r="U34" s="10" t="e">
        <f>U33/'Financial Statements'!U35</f>
        <v>#DIV/0!</v>
      </c>
      <c r="V34" s="100"/>
      <c r="W34" s="59" t="e">
        <f>W33/'Financial Statements'!W35</f>
        <v>#DIV/0!</v>
      </c>
      <c r="X34" s="100"/>
      <c r="Y34" s="100"/>
      <c r="Z34" s="59" t="e">
        <f>Z33/'Financial Statements'!Z35</f>
        <v>#DIV/0!</v>
      </c>
      <c r="AA34" s="100"/>
      <c r="AB34" s="100"/>
      <c r="AC34" s="59" t="e">
        <f>AC33/'Financial Statements'!AC35</f>
        <v>#DIV/0!</v>
      </c>
      <c r="AD34" s="100"/>
      <c r="AE34" s="100"/>
      <c r="AF34" s="59" t="e">
        <f>AF33/'Financial Statements'!AF35</f>
        <v>#DIV/0!</v>
      </c>
      <c r="AG34" s="100"/>
      <c r="AH34" s="100"/>
      <c r="AI34" s="59" t="e">
        <f>AI33/'Financial Statements'!AI35</f>
        <v>#DIV/0!</v>
      </c>
    </row>
    <row r="35" spans="2:45" s="3" customFormat="1" x14ac:dyDescent="0.3">
      <c r="B35" s="89" t="s">
        <v>147</v>
      </c>
      <c r="C35"/>
      <c r="D35"/>
      <c r="E35" s="23"/>
      <c r="F35"/>
      <c r="G35"/>
      <c r="H35" s="23"/>
      <c r="I35"/>
      <c r="J35"/>
      <c r="K35" s="23"/>
      <c r="L35"/>
      <c r="M35"/>
      <c r="N35" s="23"/>
      <c r="O35"/>
      <c r="P35"/>
      <c r="Q35" s="23"/>
      <c r="R35">
        <v>0</v>
      </c>
      <c r="S35"/>
      <c r="T35" s="23"/>
      <c r="U35"/>
      <c r="V35" s="189"/>
      <c r="W35" s="27">
        <f>SUM(U35:V35)</f>
        <v>0</v>
      </c>
      <c r="X35" s="189"/>
      <c r="Y35" s="189"/>
      <c r="Z35" s="27">
        <f>SUM(X35:Y35)</f>
        <v>0</v>
      </c>
      <c r="AA35" s="189"/>
      <c r="AB35" s="189"/>
      <c r="AC35" s="27">
        <f>SUM(AA35:AB35)</f>
        <v>0</v>
      </c>
      <c r="AD35" s="189"/>
      <c r="AE35" s="189"/>
      <c r="AF35" s="27">
        <f>SUM(AD35:AE35)</f>
        <v>0</v>
      </c>
      <c r="AG35" s="189"/>
      <c r="AH35" s="189"/>
      <c r="AI35" s="27">
        <f>SUM(AG35:AH35)</f>
        <v>0</v>
      </c>
    </row>
    <row r="36" spans="2:45" s="3" customFormat="1" x14ac:dyDescent="0.3">
      <c r="B36" s="89" t="s">
        <v>216</v>
      </c>
      <c r="C36"/>
      <c r="D36"/>
      <c r="E36" s="23"/>
      <c r="F36"/>
      <c r="G36"/>
      <c r="H36" s="23"/>
      <c r="I36"/>
      <c r="J36"/>
      <c r="K36" s="23"/>
      <c r="L36"/>
      <c r="M36"/>
      <c r="N36" s="23"/>
      <c r="O36"/>
      <c r="P36"/>
      <c r="Q36" s="23"/>
      <c r="R36">
        <f>-4.6-0.7</f>
        <v>-5.3</v>
      </c>
      <c r="S36"/>
      <c r="T36" s="23"/>
      <c r="U36">
        <f>-3.6-2.8</f>
        <v>-6.4</v>
      </c>
      <c r="V36" s="189"/>
      <c r="W36" s="23">
        <f>SUM(U36:V36)</f>
        <v>-6.4</v>
      </c>
      <c r="X36" s="189"/>
      <c r="Y36" s="189"/>
      <c r="Z36" s="27"/>
      <c r="AA36" s="189"/>
      <c r="AB36" s="189"/>
      <c r="AC36" s="27"/>
      <c r="AD36" s="189"/>
      <c r="AE36" s="189"/>
      <c r="AF36" s="27"/>
      <c r="AG36" s="189"/>
      <c r="AH36" s="189"/>
      <c r="AI36" s="27"/>
    </row>
    <row r="37" spans="2:45" s="3" customFormat="1" x14ac:dyDescent="0.3">
      <c r="B37" s="171" t="s">
        <v>218</v>
      </c>
      <c r="C37"/>
      <c r="D37"/>
      <c r="E37" s="23"/>
      <c r="F37"/>
      <c r="G37"/>
      <c r="H37" s="23"/>
      <c r="I37"/>
      <c r="J37"/>
      <c r="K37" s="23"/>
      <c r="L37"/>
      <c r="M37"/>
      <c r="N37" s="23"/>
      <c r="O37" s="3">
        <v>64</v>
      </c>
      <c r="P37" s="3">
        <v>58.1</v>
      </c>
      <c r="Q37" s="233">
        <f>P37</f>
        <v>58.1</v>
      </c>
      <c r="R37" s="50">
        <f>R32+R33+R35+R36-0.1</f>
        <v>52.900000000000006</v>
      </c>
      <c r="S37" s="3">
        <v>58.1</v>
      </c>
      <c r="T37" s="233">
        <f>S37</f>
        <v>58.1</v>
      </c>
      <c r="U37" s="50">
        <f>U32+U33+U35+U36</f>
        <v>52.4</v>
      </c>
      <c r="V37" s="50">
        <f t="shared" ref="V37" si="20">V32+V33+V35+V36</f>
        <v>52.4</v>
      </c>
      <c r="W37" s="233">
        <f>W32+W33+W35+W36</f>
        <v>52.4</v>
      </c>
      <c r="X37" s="50">
        <f t="shared" ref="X37" si="21">X32+X33+X35+X36</f>
        <v>52.4</v>
      </c>
      <c r="Y37" s="50">
        <f t="shared" ref="Y37" si="22">Y32+Y33+Y35+Y36</f>
        <v>52.4</v>
      </c>
      <c r="Z37" s="233">
        <f>Z32+Z33+Z35+Z36</f>
        <v>52.4</v>
      </c>
      <c r="AA37" s="50">
        <f t="shared" ref="AA37" si="23">AA32+AA33+AA35+AA36</f>
        <v>52.4</v>
      </c>
      <c r="AB37" s="50">
        <f t="shared" ref="AB37" si="24">AB32+AB33+AB35+AB36</f>
        <v>52.4</v>
      </c>
      <c r="AC37" s="233">
        <f>AC32+AC33+AC35+AC36</f>
        <v>52.4</v>
      </c>
      <c r="AD37" s="50">
        <f t="shared" ref="AD37" si="25">AD32+AD33+AD35+AD36</f>
        <v>52.4</v>
      </c>
      <c r="AE37" s="50">
        <f t="shared" ref="AE37" si="26">AE32+AE33+AE35+AE36</f>
        <v>52.4</v>
      </c>
      <c r="AF37" s="233">
        <f>AF32+AF33+AF35+AF36</f>
        <v>52.4</v>
      </c>
      <c r="AG37" s="50">
        <f t="shared" ref="AG37" si="27">AG32+AG33+AG35+AG36</f>
        <v>52.4</v>
      </c>
      <c r="AH37" s="50">
        <f t="shared" ref="AH37" si="28">AH32+AH33+AH35+AH36</f>
        <v>52.4</v>
      </c>
      <c r="AI37" s="233">
        <f>AI32+AI33+AI35+AI36</f>
        <v>52.4</v>
      </c>
      <c r="AJ37" s="50"/>
      <c r="AK37" s="50"/>
      <c r="AL37" s="50"/>
      <c r="AM37" s="50"/>
      <c r="AN37" s="50"/>
      <c r="AO37" s="50"/>
      <c r="AP37" s="50"/>
      <c r="AQ37" s="50"/>
      <c r="AR37" s="50"/>
      <c r="AS37" s="50"/>
    </row>
    <row r="38" spans="2:45" s="3" customFormat="1" x14ac:dyDescent="0.3">
      <c r="B38" s="171" t="s">
        <v>221</v>
      </c>
      <c r="E38" s="24"/>
      <c r="H38" s="24"/>
      <c r="K38" s="24"/>
      <c r="N38" s="24"/>
      <c r="P38" s="228"/>
      <c r="Q38" s="233">
        <f>P38</f>
        <v>0</v>
      </c>
      <c r="R38" s="50">
        <f>Q42</f>
        <v>21.7</v>
      </c>
      <c r="S38" s="228"/>
      <c r="T38" s="233">
        <f>S38</f>
        <v>0</v>
      </c>
      <c r="U38" s="50">
        <v>26.5</v>
      </c>
      <c r="V38" s="50">
        <f>U42</f>
        <v>25.7</v>
      </c>
      <c r="W38" s="233">
        <f>U38</f>
        <v>26.5</v>
      </c>
      <c r="X38" s="50">
        <f>W42</f>
        <v>25.7</v>
      </c>
      <c r="Y38" s="50">
        <f>X42</f>
        <v>25.7</v>
      </c>
      <c r="Z38" s="233">
        <f>X38</f>
        <v>25.7</v>
      </c>
      <c r="AA38" s="50">
        <f>Z42</f>
        <v>25.7</v>
      </c>
      <c r="AB38" s="50">
        <f>AA42</f>
        <v>25.7</v>
      </c>
      <c r="AC38" s="233">
        <f>AA38</f>
        <v>25.7</v>
      </c>
      <c r="AD38" s="50">
        <f>AC42</f>
        <v>25.7</v>
      </c>
      <c r="AE38" s="50">
        <f>AD42</f>
        <v>25.7</v>
      </c>
      <c r="AF38" s="233">
        <f>AD38</f>
        <v>25.7</v>
      </c>
      <c r="AG38" s="50">
        <f>AF42</f>
        <v>25.7</v>
      </c>
      <c r="AH38" s="50">
        <f>AG42</f>
        <v>25.7</v>
      </c>
      <c r="AI38" s="233">
        <f>AG38</f>
        <v>25.7</v>
      </c>
      <c r="AJ38" s="50"/>
      <c r="AK38" s="50"/>
      <c r="AL38" s="50"/>
      <c r="AM38" s="50"/>
      <c r="AN38" s="50"/>
      <c r="AO38" s="50"/>
      <c r="AP38" s="50"/>
      <c r="AQ38" s="50"/>
      <c r="AR38" s="50"/>
      <c r="AS38" s="50"/>
    </row>
    <row r="39" spans="2:45" s="3" customFormat="1" x14ac:dyDescent="0.3">
      <c r="B39" s="89" t="s">
        <v>150</v>
      </c>
      <c r="C39"/>
      <c r="D39"/>
      <c r="E39" s="23"/>
      <c r="F39"/>
      <c r="G39"/>
      <c r="H39" s="23"/>
      <c r="I39"/>
      <c r="J39"/>
      <c r="K39" s="23"/>
      <c r="L39"/>
      <c r="M39"/>
      <c r="N39" s="23"/>
      <c r="O39">
        <f>'Financial Statements'!O46</f>
        <v>0</v>
      </c>
      <c r="P39"/>
      <c r="Q39" s="27">
        <f>'Financial Statements'!Q46</f>
        <v>0</v>
      </c>
      <c r="R39" s="18">
        <v>4.4000000000000004</v>
      </c>
      <c r="S39"/>
      <c r="T39" s="27">
        <f>'Financial Statements'!T46</f>
        <v>0</v>
      </c>
      <c r="U39" s="18">
        <v>4</v>
      </c>
      <c r="V39" s="18">
        <f>V40*V32</f>
        <v>0</v>
      </c>
      <c r="W39" s="27">
        <f>SUM(U39:V39)</f>
        <v>4</v>
      </c>
      <c r="X39" s="18">
        <f>X40*X32</f>
        <v>0</v>
      </c>
      <c r="Y39" s="18">
        <f>Y40*Y32</f>
        <v>0</v>
      </c>
      <c r="Z39" s="27">
        <f>SUM(X39:Y39)</f>
        <v>0</v>
      </c>
      <c r="AA39" s="18">
        <f>AA40*AA32</f>
        <v>0</v>
      </c>
      <c r="AB39" s="18">
        <f>AB40*AB32</f>
        <v>0</v>
      </c>
      <c r="AC39" s="27">
        <f>SUM(AA39:AB39)</f>
        <v>0</v>
      </c>
      <c r="AD39" s="18">
        <f>AD40*AD32</f>
        <v>0</v>
      </c>
      <c r="AE39" s="18">
        <f>AE40*AE32</f>
        <v>0</v>
      </c>
      <c r="AF39" s="27">
        <f>SUM(AD39:AE39)</f>
        <v>0</v>
      </c>
      <c r="AG39" s="18">
        <f>AG40*AG32</f>
        <v>0</v>
      </c>
      <c r="AH39" s="18">
        <f>AH40*AH32</f>
        <v>0</v>
      </c>
      <c r="AI39" s="27">
        <f>SUM(AG39:AH39)</f>
        <v>0</v>
      </c>
      <c r="AJ39" s="50"/>
      <c r="AK39" s="50"/>
      <c r="AL39" s="50"/>
      <c r="AM39" s="50"/>
      <c r="AN39" s="50"/>
      <c r="AO39" s="50"/>
      <c r="AP39" s="50"/>
      <c r="AQ39" s="50"/>
      <c r="AR39" s="50"/>
      <c r="AS39" s="50"/>
    </row>
    <row r="40" spans="2:45" s="3" customFormat="1" x14ac:dyDescent="0.3">
      <c r="B40" s="97" t="s">
        <v>148</v>
      </c>
      <c r="C40" s="10"/>
      <c r="D40" s="10"/>
      <c r="E40" s="59"/>
      <c r="F40" s="10"/>
      <c r="G40" s="10"/>
      <c r="H40" s="59"/>
      <c r="I40" s="10"/>
      <c r="J40" s="10"/>
      <c r="K40" s="59"/>
      <c r="L40" s="10"/>
      <c r="M40" s="10"/>
      <c r="N40" s="59"/>
      <c r="O40" s="10" t="e">
        <f t="shared" ref="O40:T40" si="29">O39/O32</f>
        <v>#DIV/0!</v>
      </c>
      <c r="P40" s="10">
        <f t="shared" si="29"/>
        <v>0</v>
      </c>
      <c r="Q40" s="59">
        <f t="shared" si="29"/>
        <v>0</v>
      </c>
      <c r="R40" s="10">
        <f t="shared" si="29"/>
        <v>7.5731497418244406E-2</v>
      </c>
      <c r="S40" s="10">
        <f t="shared" si="29"/>
        <v>0</v>
      </c>
      <c r="T40" s="59">
        <f t="shared" si="29"/>
        <v>0</v>
      </c>
      <c r="U40" s="10">
        <f t="shared" ref="U40" si="30">U39/U32</f>
        <v>6.8027210884353748E-2</v>
      </c>
      <c r="V40" s="100">
        <v>0</v>
      </c>
      <c r="W40" s="59">
        <f>W39/W32</f>
        <v>6.8027210884353748E-2</v>
      </c>
      <c r="X40" s="100">
        <v>0</v>
      </c>
      <c r="Y40" s="100">
        <v>0</v>
      </c>
      <c r="Z40" s="59">
        <f>Z39/Z32</f>
        <v>0</v>
      </c>
      <c r="AA40" s="100">
        <v>0</v>
      </c>
      <c r="AB40" s="100">
        <v>0</v>
      </c>
      <c r="AC40" s="59">
        <f>AC39/AC32</f>
        <v>0</v>
      </c>
      <c r="AD40" s="100">
        <v>0</v>
      </c>
      <c r="AE40" s="100">
        <v>0</v>
      </c>
      <c r="AF40" s="59">
        <f>AF39/AF32</f>
        <v>0</v>
      </c>
      <c r="AG40" s="100">
        <v>0</v>
      </c>
      <c r="AH40" s="100">
        <v>0</v>
      </c>
      <c r="AI40" s="59">
        <f>AI39/AI32</f>
        <v>0</v>
      </c>
    </row>
    <row r="41" spans="2:45" s="3" customFormat="1" x14ac:dyDescent="0.3">
      <c r="B41" s="97" t="s">
        <v>216</v>
      </c>
      <c r="C41" s="10"/>
      <c r="D41" s="10"/>
      <c r="E41" s="59"/>
      <c r="F41" s="10"/>
      <c r="G41" s="10"/>
      <c r="H41" s="59"/>
      <c r="I41" s="10"/>
      <c r="J41" s="10"/>
      <c r="K41" s="59"/>
      <c r="L41" s="10"/>
      <c r="M41" s="10"/>
      <c r="N41" s="59"/>
      <c r="O41" s="65"/>
      <c r="P41" s="65"/>
      <c r="Q41" s="67"/>
      <c r="R41" s="65">
        <v>4.8</v>
      </c>
      <c r="S41" s="65"/>
      <c r="T41" s="67"/>
      <c r="U41" s="65">
        <v>-4.8</v>
      </c>
      <c r="V41" s="245"/>
      <c r="W41" s="23">
        <f>SUM(U41:V41)</f>
        <v>-4.8</v>
      </c>
      <c r="X41" s="245"/>
      <c r="Y41" s="245"/>
      <c r="Z41" s="67"/>
      <c r="AA41" s="245"/>
      <c r="AB41" s="245"/>
      <c r="AC41" s="67"/>
      <c r="AD41" s="245"/>
      <c r="AE41" s="245"/>
      <c r="AF41" s="67"/>
      <c r="AG41" s="245"/>
      <c r="AH41" s="245"/>
      <c r="AI41" s="67"/>
    </row>
    <row r="42" spans="2:45" s="3" customFormat="1" x14ac:dyDescent="0.3">
      <c r="B42" s="229" t="s">
        <v>222</v>
      </c>
      <c r="C42" s="228"/>
      <c r="D42" s="228"/>
      <c r="E42" s="230"/>
      <c r="F42" s="228"/>
      <c r="G42" s="228"/>
      <c r="H42" s="230"/>
      <c r="I42" s="228"/>
      <c r="J42" s="228"/>
      <c r="K42" s="230"/>
      <c r="L42" s="228"/>
      <c r="M42" s="228"/>
      <c r="N42" s="230"/>
      <c r="O42" s="25">
        <v>30.8</v>
      </c>
      <c r="P42" s="25">
        <v>21.7</v>
      </c>
      <c r="Q42" s="26">
        <f>P42</f>
        <v>21.7</v>
      </c>
      <c r="R42" s="25">
        <f>R38-R41+R39</f>
        <v>21.299999999999997</v>
      </c>
      <c r="S42" s="25">
        <v>21.7</v>
      </c>
      <c r="T42" s="26">
        <f>S42</f>
        <v>21.7</v>
      </c>
      <c r="U42" s="25">
        <f>U38+U41+U39</f>
        <v>25.7</v>
      </c>
      <c r="V42" s="239">
        <f t="shared" ref="V42:W42" si="31">V38+V41+V39</f>
        <v>25.7</v>
      </c>
      <c r="W42" s="26">
        <f t="shared" si="31"/>
        <v>25.7</v>
      </c>
      <c r="X42" s="239">
        <f t="shared" ref="X42:AI42" si="32">X38+X39</f>
        <v>25.7</v>
      </c>
      <c r="Y42" s="239">
        <f t="shared" si="32"/>
        <v>25.7</v>
      </c>
      <c r="Z42" s="26">
        <f t="shared" si="32"/>
        <v>25.7</v>
      </c>
      <c r="AA42" s="239">
        <f t="shared" si="32"/>
        <v>25.7</v>
      </c>
      <c r="AB42" s="239">
        <f t="shared" si="32"/>
        <v>25.7</v>
      </c>
      <c r="AC42" s="26">
        <f t="shared" si="32"/>
        <v>25.7</v>
      </c>
      <c r="AD42" s="239">
        <f t="shared" si="32"/>
        <v>25.7</v>
      </c>
      <c r="AE42" s="239">
        <f t="shared" si="32"/>
        <v>25.7</v>
      </c>
      <c r="AF42" s="26">
        <f t="shared" si="32"/>
        <v>25.7</v>
      </c>
      <c r="AG42" s="239">
        <f t="shared" si="32"/>
        <v>25.7</v>
      </c>
      <c r="AH42" s="239">
        <f t="shared" si="32"/>
        <v>25.7</v>
      </c>
      <c r="AI42" s="26">
        <f t="shared" si="32"/>
        <v>25.7</v>
      </c>
    </row>
    <row r="43" spans="2:45" ht="15" thickBot="1" x14ac:dyDescent="0.35">
      <c r="B43" s="171" t="s">
        <v>149</v>
      </c>
      <c r="C43" s="3"/>
      <c r="D43" s="3"/>
      <c r="E43" s="24"/>
      <c r="F43" s="3"/>
      <c r="G43" s="3"/>
      <c r="H43" s="233"/>
      <c r="I43" s="3"/>
      <c r="J43" s="3"/>
      <c r="K43" s="24"/>
      <c r="L43" s="3"/>
      <c r="M43" s="50"/>
      <c r="N43" s="24"/>
      <c r="O43" s="25">
        <f t="shared" ref="O43:AI43" si="33">O37-O42</f>
        <v>33.200000000000003</v>
      </c>
      <c r="P43" s="25">
        <f t="shared" si="33"/>
        <v>36.400000000000006</v>
      </c>
      <c r="Q43" s="26">
        <f t="shared" si="33"/>
        <v>36.400000000000006</v>
      </c>
      <c r="R43" s="25">
        <f t="shared" si="33"/>
        <v>31.600000000000009</v>
      </c>
      <c r="S43" s="25">
        <f t="shared" ref="S43:T43" si="34">S37-S42</f>
        <v>36.400000000000006</v>
      </c>
      <c r="T43" s="26">
        <f t="shared" si="34"/>
        <v>36.400000000000006</v>
      </c>
      <c r="U43" s="25">
        <f>U37-U42-0.1</f>
        <v>26.599999999999998</v>
      </c>
      <c r="V43" s="25">
        <f t="shared" si="33"/>
        <v>26.7</v>
      </c>
      <c r="W43" s="26">
        <f t="shared" si="33"/>
        <v>26.7</v>
      </c>
      <c r="X43" s="25">
        <f t="shared" si="33"/>
        <v>26.7</v>
      </c>
      <c r="Y43" s="25">
        <f t="shared" si="33"/>
        <v>26.7</v>
      </c>
      <c r="Z43" s="26">
        <f t="shared" si="33"/>
        <v>26.7</v>
      </c>
      <c r="AA43" s="25">
        <f t="shared" si="33"/>
        <v>26.7</v>
      </c>
      <c r="AB43" s="25">
        <f t="shared" si="33"/>
        <v>26.7</v>
      </c>
      <c r="AC43" s="26">
        <f t="shared" si="33"/>
        <v>26.7</v>
      </c>
      <c r="AD43" s="25">
        <f t="shared" si="33"/>
        <v>26.7</v>
      </c>
      <c r="AE43" s="25">
        <f t="shared" si="33"/>
        <v>26.7</v>
      </c>
      <c r="AF43" s="26">
        <f t="shared" si="33"/>
        <v>26.7</v>
      </c>
      <c r="AG43" s="25">
        <f t="shared" si="33"/>
        <v>26.7</v>
      </c>
      <c r="AH43" s="25">
        <f t="shared" si="33"/>
        <v>26.7</v>
      </c>
      <c r="AI43" s="26">
        <f t="shared" si="33"/>
        <v>26.7</v>
      </c>
    </row>
    <row r="44" spans="2:45" ht="15.6" thickTop="1" thickBot="1" x14ac:dyDescent="0.35">
      <c r="B44" s="247"/>
      <c r="C44" s="247"/>
      <c r="D44" s="247"/>
      <c r="E44" s="247"/>
      <c r="F44" s="247"/>
      <c r="G44" s="247"/>
      <c r="H44" s="248"/>
      <c r="I44" s="247"/>
      <c r="J44" s="247"/>
      <c r="K44" s="247"/>
      <c r="L44" s="247"/>
      <c r="M44" s="248"/>
      <c r="N44" s="247"/>
      <c r="O44" s="249"/>
      <c r="P44" s="248"/>
      <c r="Q44" s="249"/>
      <c r="R44" s="249"/>
      <c r="S44" s="248"/>
      <c r="T44" s="249"/>
      <c r="U44" s="249"/>
      <c r="V44" s="248"/>
      <c r="W44" s="248"/>
      <c r="X44" s="248"/>
      <c r="Y44" s="248"/>
      <c r="Z44" s="248"/>
      <c r="AA44" s="248"/>
      <c r="AB44" s="248"/>
      <c r="AC44" s="248"/>
      <c r="AD44" s="248"/>
      <c r="AE44" s="248"/>
      <c r="AF44" s="248"/>
      <c r="AG44" s="248"/>
      <c r="AH44" s="248"/>
      <c r="AI44" s="248"/>
    </row>
    <row r="45" spans="2:45" ht="15" thickBot="1" x14ac:dyDescent="0.35">
      <c r="B45" s="250" t="s">
        <v>151</v>
      </c>
      <c r="C45" s="251"/>
      <c r="D45" s="251"/>
      <c r="E45" s="251"/>
      <c r="F45" s="252">
        <f>E49</f>
        <v>534.4</v>
      </c>
      <c r="G45" s="252">
        <f>F49</f>
        <v>558.9</v>
      </c>
      <c r="H45" s="252">
        <f>E49</f>
        <v>534.4</v>
      </c>
      <c r="I45" s="252">
        <f>H49</f>
        <v>635.29999999999995</v>
      </c>
      <c r="J45" s="252">
        <f>I49</f>
        <v>666.9</v>
      </c>
      <c r="K45" s="252">
        <f>H49</f>
        <v>635.29999999999995</v>
      </c>
      <c r="L45" s="252">
        <f>K49</f>
        <v>748.4</v>
      </c>
      <c r="M45" s="252">
        <f>L49</f>
        <v>800</v>
      </c>
      <c r="N45" s="252">
        <f>K49</f>
        <v>748.4</v>
      </c>
      <c r="O45" s="252">
        <f>N49</f>
        <v>920.7</v>
      </c>
      <c r="P45" s="252">
        <f>O49</f>
        <v>889.7</v>
      </c>
      <c r="Q45" s="252">
        <f>N49</f>
        <v>920.7</v>
      </c>
      <c r="R45" s="252">
        <f>Q49</f>
        <v>954</v>
      </c>
      <c r="S45" s="252">
        <f>R49</f>
        <v>950.3</v>
      </c>
      <c r="T45" s="252">
        <f>Q49</f>
        <v>954</v>
      </c>
      <c r="U45" s="252">
        <f>T49</f>
        <v>972.1</v>
      </c>
      <c r="V45" s="252">
        <f>U49</f>
        <v>957.8</v>
      </c>
      <c r="W45" s="252">
        <f>T49</f>
        <v>972.1</v>
      </c>
      <c r="X45" s="252">
        <f>W49</f>
        <v>1035.0346399999999</v>
      </c>
      <c r="Y45" s="252">
        <f>X49</f>
        <v>1116.9111999999998</v>
      </c>
      <c r="Z45" s="252">
        <f>W49</f>
        <v>1035.0346399999999</v>
      </c>
      <c r="AA45" s="252">
        <f>Z49</f>
        <v>1198.4317015999998</v>
      </c>
      <c r="AB45" s="252">
        <f>AA49</f>
        <v>1284.7977527999999</v>
      </c>
      <c r="AC45" s="252">
        <f>Z49</f>
        <v>1198.4317015999998</v>
      </c>
      <c r="AD45" s="252">
        <f>AC49</f>
        <v>1370.8650938239998</v>
      </c>
      <c r="AE45" s="252">
        <f>AD49</f>
        <v>1461.8778595839999</v>
      </c>
      <c r="AF45" s="252">
        <f>AC49</f>
        <v>1370.8650938239998</v>
      </c>
      <c r="AG45" s="252">
        <f>AF49</f>
        <v>1552.6606753049598</v>
      </c>
      <c r="AH45" s="252">
        <f>AG49</f>
        <v>1650.0048042470398</v>
      </c>
      <c r="AI45" s="253">
        <f>AF49</f>
        <v>1552.6606753049598</v>
      </c>
    </row>
    <row r="46" spans="2:45" x14ac:dyDescent="0.3">
      <c r="B46" s="89" t="s">
        <v>152</v>
      </c>
      <c r="E46" s="23"/>
      <c r="F46" s="65">
        <f>'Financial Statements'!F28</f>
        <v>64.900000000000034</v>
      </c>
      <c r="G46" s="65">
        <f>'Financial Statements'!G28</f>
        <v>79.300000000000011</v>
      </c>
      <c r="H46" s="67">
        <f>'Financial Statements'!H28</f>
        <v>144.20000000000002</v>
      </c>
      <c r="I46" s="65">
        <f>'Financial Statements'!I28</f>
        <v>133.99999999999997</v>
      </c>
      <c r="J46" s="65">
        <f>'Financial Statements'!J28</f>
        <v>78.300000000000097</v>
      </c>
      <c r="K46" s="67">
        <f>'Financial Statements'!K28</f>
        <v>212.3000000000001</v>
      </c>
      <c r="L46" s="65">
        <f>'Financial Statements'!L28</f>
        <v>223.50000000000009</v>
      </c>
      <c r="M46" s="65">
        <f>'Financial Statements'!M28</f>
        <v>69.999999999999957</v>
      </c>
      <c r="N46" s="67">
        <f>'Financial Statements'!N28</f>
        <v>293.49999999999989</v>
      </c>
      <c r="O46" s="65">
        <f>'Financial Statements'!O28</f>
        <v>112.80000000000004</v>
      </c>
      <c r="P46" s="65">
        <f>'Financial Statements'!P28</f>
        <v>71.500000000000071</v>
      </c>
      <c r="Q46" s="67">
        <f>'Financial Statements'!Q28</f>
        <v>184.30000000000007</v>
      </c>
      <c r="R46" s="65">
        <f>'Financial Statements'!R28</f>
        <v>91.700000000000031</v>
      </c>
      <c r="S46" s="65">
        <f>'Financial Statements'!S28</f>
        <v>28.99999999999995</v>
      </c>
      <c r="T46" s="67">
        <f>'Financial Statements'!T28</f>
        <v>120.69999999999995</v>
      </c>
      <c r="U46" s="65">
        <f>'Financial Statements'!U28</f>
        <v>63.100000000000051</v>
      </c>
      <c r="V46" s="65">
        <f>'Financial Statements'!V28</f>
        <v>77.23463999999997</v>
      </c>
      <c r="W46" s="67">
        <f>U46+V46</f>
        <v>140.33464000000004</v>
      </c>
      <c r="X46" s="65">
        <f>'Financial Statements'!X28</f>
        <v>81.876559999999998</v>
      </c>
      <c r="Y46" s="65">
        <f>'Financial Statements'!Y28</f>
        <v>81.520501600000003</v>
      </c>
      <c r="Z46" s="67">
        <f>X46+Y46</f>
        <v>163.3970616</v>
      </c>
      <c r="AA46" s="65">
        <f>'Financial Statements'!AA28</f>
        <v>86.36605120000003</v>
      </c>
      <c r="AB46" s="65">
        <f>'Financial Statements'!AB28</f>
        <v>86.067341024000044</v>
      </c>
      <c r="AC46" s="67">
        <f>AA46+AB46</f>
        <v>172.43339222400007</v>
      </c>
      <c r="AD46" s="65">
        <f>'Financial Statements'!AD28</f>
        <v>91.012765759999994</v>
      </c>
      <c r="AE46" s="65">
        <f>'Financial Statements'!AE28</f>
        <v>90.782815720959988</v>
      </c>
      <c r="AF46" s="67">
        <f>AD46+AE46</f>
        <v>181.79558148095998</v>
      </c>
      <c r="AG46" s="65">
        <f>'Financial Statements'!AG28</f>
        <v>97.344128942080033</v>
      </c>
      <c r="AH46" s="65">
        <f>'Financial Statements'!AH28</f>
        <v>97.828944503321665</v>
      </c>
      <c r="AI46" s="67">
        <f>AG46+AH46</f>
        <v>195.17307344540171</v>
      </c>
    </row>
    <row r="47" spans="2:45" x14ac:dyDescent="0.3">
      <c r="B47" s="97" t="s">
        <v>153</v>
      </c>
      <c r="C47" s="10"/>
      <c r="D47" s="10"/>
      <c r="E47" s="59"/>
      <c r="F47" s="65">
        <f>'Financial Statements'!F121</f>
        <v>0</v>
      </c>
      <c r="G47" s="65">
        <f>'Financial Statements'!G121</f>
        <v>-9.6</v>
      </c>
      <c r="H47" s="67">
        <f>'Financial Statements'!H121</f>
        <v>-9.6</v>
      </c>
      <c r="I47" s="65">
        <f>'Financial Statements'!I121</f>
        <v>0</v>
      </c>
      <c r="J47" s="65">
        <f>'Financial Statements'!J121</f>
        <v>-93.7</v>
      </c>
      <c r="K47" s="67">
        <f>'Financial Statements'!K121</f>
        <v>-93.7</v>
      </c>
      <c r="L47" s="65">
        <f>'Financial Statements'!L121</f>
        <v>0</v>
      </c>
      <c r="M47" s="65">
        <f>N47-L47</f>
        <v>-111</v>
      </c>
      <c r="N47" s="108">
        <f>'Financial Statements'!N121</f>
        <v>-111</v>
      </c>
      <c r="O47" s="242">
        <f>'Financial Statements'!O121</f>
        <v>0</v>
      </c>
      <c r="P47" s="65">
        <f>Q47-O47</f>
        <v>-152.69999999999999</v>
      </c>
      <c r="Q47" s="108">
        <f>'Financial Statements'!Q121</f>
        <v>-152.69999999999999</v>
      </c>
      <c r="R47" s="242">
        <f>'Financial Statements'!R121</f>
        <v>0</v>
      </c>
      <c r="S47" s="65">
        <f>T47-R47</f>
        <v>-41</v>
      </c>
      <c r="T47" s="108">
        <f>'Financial Statements'!T121</f>
        <v>-41</v>
      </c>
      <c r="U47" s="242">
        <f>'Financial Statements'!U121</f>
        <v>0</v>
      </c>
      <c r="V47" s="242"/>
      <c r="W47" s="108">
        <f>SUM(U47:V47)</f>
        <v>0</v>
      </c>
      <c r="X47" s="242"/>
      <c r="Y47" s="242"/>
      <c r="Z47" s="108">
        <f>SUM(X47:Y47)</f>
        <v>0</v>
      </c>
      <c r="AA47" s="242"/>
      <c r="AB47" s="242"/>
      <c r="AC47" s="108">
        <f>SUM(AA47:AB47)</f>
        <v>0</v>
      </c>
      <c r="AD47" s="242"/>
      <c r="AE47" s="242"/>
      <c r="AF47" s="108">
        <f>SUM(AD47:AE47)</f>
        <v>0</v>
      </c>
      <c r="AG47" s="242"/>
      <c r="AH47" s="242"/>
      <c r="AI47" s="108">
        <f>SUM(AG47:AH47)</f>
        <v>0</v>
      </c>
    </row>
    <row r="48" spans="2:45" x14ac:dyDescent="0.3">
      <c r="B48" s="95" t="s">
        <v>154</v>
      </c>
      <c r="E48" s="23"/>
      <c r="F48" s="65"/>
      <c r="G48" s="65"/>
      <c r="H48" s="67"/>
      <c r="I48" s="65"/>
      <c r="J48" s="65"/>
      <c r="K48" s="67"/>
      <c r="L48" s="65"/>
      <c r="M48" s="65"/>
      <c r="N48" s="67">
        <f>N49-(N45+N46+N47)</f>
        <v>-10.199999999999818</v>
      </c>
      <c r="O48" s="101">
        <f>O49-(O45+O46+O47)</f>
        <v>-143.79999999999995</v>
      </c>
      <c r="P48" s="65"/>
      <c r="Q48" s="67">
        <f>Q49-(Q45+Q46+Q47)</f>
        <v>1.7000000000000455</v>
      </c>
      <c r="R48" s="101">
        <f>R49-(R45+R46+R47)</f>
        <v>-95.400000000000091</v>
      </c>
      <c r="S48" s="65"/>
      <c r="T48" s="67">
        <f>T49-(T45+T46+T47)</f>
        <v>-61.600000000000023</v>
      </c>
      <c r="U48" s="101">
        <f>U49-(U45+U46+U47)</f>
        <v>-77.400000000000091</v>
      </c>
      <c r="V48" s="65"/>
      <c r="W48" s="23">
        <f>SUM(U48:V48)</f>
        <v>-77.400000000000091</v>
      </c>
      <c r="X48" s="65"/>
      <c r="Y48" s="65"/>
      <c r="Z48" s="67"/>
      <c r="AA48" s="65"/>
      <c r="AB48" s="65"/>
      <c r="AC48" s="67"/>
      <c r="AD48" s="65"/>
      <c r="AE48" s="65"/>
      <c r="AF48" s="67"/>
      <c r="AG48" s="65"/>
      <c r="AH48" s="65"/>
      <c r="AI48" s="67"/>
    </row>
    <row r="49" spans="2:38" ht="15" thickBot="1" x14ac:dyDescent="0.35">
      <c r="B49" s="92" t="s">
        <v>155</v>
      </c>
      <c r="C49" s="82">
        <f>'Financial Statements'!C68</f>
        <v>519</v>
      </c>
      <c r="D49" s="82">
        <f>'Financial Statements'!D68</f>
        <v>534.4</v>
      </c>
      <c r="E49" s="93">
        <f>'Financial Statements'!E68</f>
        <v>534.4</v>
      </c>
      <c r="F49" s="240">
        <f>'Financial Statements'!F68</f>
        <v>558.9</v>
      </c>
      <c r="G49" s="240">
        <f>'Financial Statements'!G68</f>
        <v>635.29999999999995</v>
      </c>
      <c r="H49" s="241">
        <f>'Financial Statements'!H68</f>
        <v>635.29999999999995</v>
      </c>
      <c r="I49" s="240">
        <f>'Financial Statements'!I68</f>
        <v>666.9</v>
      </c>
      <c r="J49" s="240">
        <f>'Financial Statements'!J68</f>
        <v>748.4</v>
      </c>
      <c r="K49" s="241">
        <f>'Financial Statements'!K68</f>
        <v>748.4</v>
      </c>
      <c r="L49" s="240">
        <f>'Financial Statements'!L68</f>
        <v>800</v>
      </c>
      <c r="M49" s="240">
        <f>'Financial Statements'!M68</f>
        <v>920.7</v>
      </c>
      <c r="N49" s="241">
        <f>'Financial Statements'!N68</f>
        <v>920.7</v>
      </c>
      <c r="O49" s="240">
        <f>'Financial Statements'!O68</f>
        <v>889.7</v>
      </c>
      <c r="P49" s="240">
        <f>'Financial Statements'!P68</f>
        <v>954</v>
      </c>
      <c r="Q49" s="241">
        <f>'Financial Statements'!Q68</f>
        <v>954</v>
      </c>
      <c r="R49" s="240">
        <f>'Financial Statements'!R68</f>
        <v>950.3</v>
      </c>
      <c r="S49" s="240">
        <f>'Financial Statements'!S68</f>
        <v>972.1</v>
      </c>
      <c r="T49" s="241">
        <f>'Financial Statements'!T68</f>
        <v>972.1</v>
      </c>
      <c r="U49" s="240">
        <f>'Financial Statements'!U68</f>
        <v>957.8</v>
      </c>
      <c r="V49" s="240">
        <f t="shared" ref="V49:AI49" si="35">V45+V46+V47+V48</f>
        <v>1035.0346399999999</v>
      </c>
      <c r="W49" s="241">
        <f t="shared" si="35"/>
        <v>1035.0346399999999</v>
      </c>
      <c r="X49" s="240">
        <f t="shared" si="35"/>
        <v>1116.9111999999998</v>
      </c>
      <c r="Y49" s="240">
        <f t="shared" si="35"/>
        <v>1198.4317015999998</v>
      </c>
      <c r="Z49" s="241">
        <f t="shared" si="35"/>
        <v>1198.4317015999998</v>
      </c>
      <c r="AA49" s="240">
        <f t="shared" si="35"/>
        <v>1284.7977527999999</v>
      </c>
      <c r="AB49" s="240">
        <f t="shared" si="35"/>
        <v>1370.865093824</v>
      </c>
      <c r="AC49" s="241">
        <f t="shared" si="35"/>
        <v>1370.8650938239998</v>
      </c>
      <c r="AD49" s="240">
        <f t="shared" si="35"/>
        <v>1461.8778595839999</v>
      </c>
      <c r="AE49" s="240">
        <f t="shared" si="35"/>
        <v>1552.6606753049598</v>
      </c>
      <c r="AF49" s="241">
        <f t="shared" si="35"/>
        <v>1552.6606753049598</v>
      </c>
      <c r="AG49" s="240">
        <f t="shared" si="35"/>
        <v>1650.0048042470398</v>
      </c>
      <c r="AH49" s="240">
        <f t="shared" si="35"/>
        <v>1747.8337487503616</v>
      </c>
      <c r="AI49" s="241">
        <f t="shared" si="35"/>
        <v>1747.8337487503616</v>
      </c>
    </row>
    <row r="50" spans="2:38" ht="15" thickBot="1" x14ac:dyDescent="0.35"/>
    <row r="51" spans="2:38" x14ac:dyDescent="0.3">
      <c r="B51" s="170" t="s">
        <v>158</v>
      </c>
      <c r="C51" s="91" t="s">
        <v>29</v>
      </c>
      <c r="D51" s="91" t="s">
        <v>30</v>
      </c>
      <c r="E51" s="103" t="s">
        <v>0</v>
      </c>
      <c r="F51" s="91" t="s">
        <v>31</v>
      </c>
      <c r="G51" s="91" t="s">
        <v>32</v>
      </c>
      <c r="H51" s="103" t="s">
        <v>1</v>
      </c>
      <c r="I51" s="91" t="s">
        <v>33</v>
      </c>
      <c r="J51" s="91" t="s">
        <v>34</v>
      </c>
      <c r="K51" s="103" t="s">
        <v>2</v>
      </c>
      <c r="L51" s="91" t="s">
        <v>35</v>
      </c>
      <c r="M51" s="91" t="s">
        <v>36</v>
      </c>
      <c r="N51" s="103" t="s">
        <v>3</v>
      </c>
      <c r="O51" s="91" t="s">
        <v>37</v>
      </c>
      <c r="P51" s="91" t="s">
        <v>38</v>
      </c>
      <c r="Q51" s="103" t="s">
        <v>39</v>
      </c>
      <c r="R51" s="91" t="str">
        <f>R2</f>
        <v>H1'25</v>
      </c>
      <c r="S51" s="91" t="s">
        <v>60</v>
      </c>
      <c r="T51" s="103" t="s">
        <v>61</v>
      </c>
      <c r="U51" s="91" t="str">
        <f>U2</f>
        <v>H1'26</v>
      </c>
      <c r="V51" s="179" t="str">
        <f t="shared" ref="V51:AI51" si="36">V2</f>
        <v>H2'26</v>
      </c>
      <c r="W51" s="179" t="str">
        <f t="shared" si="36"/>
        <v>FY26</v>
      </c>
      <c r="X51" s="179" t="str">
        <f t="shared" si="36"/>
        <v>H1'27</v>
      </c>
      <c r="Y51" s="179" t="str">
        <f t="shared" si="36"/>
        <v>H2'27</v>
      </c>
      <c r="Z51" s="179" t="str">
        <f t="shared" si="36"/>
        <v>FY27</v>
      </c>
      <c r="AA51" s="179" t="str">
        <f t="shared" si="36"/>
        <v>H1'28</v>
      </c>
      <c r="AB51" s="179" t="str">
        <f t="shared" si="36"/>
        <v>H2'28</v>
      </c>
      <c r="AC51" s="179" t="str">
        <f t="shared" si="36"/>
        <v>FY28</v>
      </c>
      <c r="AD51" s="179" t="str">
        <f t="shared" si="36"/>
        <v>H1'29</v>
      </c>
      <c r="AE51" s="179" t="str">
        <f t="shared" si="36"/>
        <v>H2'29</v>
      </c>
      <c r="AF51" s="179" t="str">
        <f t="shared" si="36"/>
        <v>FY29</v>
      </c>
      <c r="AG51" s="179" t="str">
        <f t="shared" si="36"/>
        <v>H1'30</v>
      </c>
      <c r="AH51" s="179" t="str">
        <f t="shared" si="36"/>
        <v>H2'30</v>
      </c>
      <c r="AI51" s="180" t="str">
        <f t="shared" si="36"/>
        <v>FY30</v>
      </c>
    </row>
    <row r="52" spans="2:38" x14ac:dyDescent="0.3">
      <c r="B52" s="171" t="s">
        <v>162</v>
      </c>
      <c r="C52" s="102">
        <v>183</v>
      </c>
      <c r="D52" s="102">
        <v>183</v>
      </c>
      <c r="E52" s="104">
        <v>366</v>
      </c>
      <c r="F52" s="102">
        <v>182.5</v>
      </c>
      <c r="G52" s="102">
        <v>182.5</v>
      </c>
      <c r="H52" s="104">
        <v>365</v>
      </c>
      <c r="I52" s="102">
        <v>182.5</v>
      </c>
      <c r="J52" s="102">
        <v>182.5</v>
      </c>
      <c r="K52" s="104">
        <v>365</v>
      </c>
      <c r="L52" s="102">
        <v>182.5</v>
      </c>
      <c r="M52" s="102">
        <v>182.5</v>
      </c>
      <c r="N52" s="104">
        <v>365</v>
      </c>
      <c r="O52" s="102">
        <v>183</v>
      </c>
      <c r="P52" s="102">
        <v>183</v>
      </c>
      <c r="Q52" s="104">
        <v>366</v>
      </c>
      <c r="R52" s="102">
        <v>182.5</v>
      </c>
      <c r="S52" s="102">
        <v>183</v>
      </c>
      <c r="T52" s="104">
        <v>366</v>
      </c>
      <c r="U52" s="102">
        <v>182.5</v>
      </c>
      <c r="V52" s="181">
        <v>182.5</v>
      </c>
      <c r="W52" s="183">
        <v>365</v>
      </c>
      <c r="X52" s="181">
        <v>182.5</v>
      </c>
      <c r="Y52" s="181">
        <v>182.5</v>
      </c>
      <c r="Z52" s="183">
        <v>365</v>
      </c>
      <c r="AA52" s="181">
        <v>183</v>
      </c>
      <c r="AB52" s="181">
        <v>183</v>
      </c>
      <c r="AC52" s="183">
        <v>366</v>
      </c>
      <c r="AD52" s="181">
        <v>182.5</v>
      </c>
      <c r="AE52" s="181">
        <v>182.5</v>
      </c>
      <c r="AF52" s="183">
        <v>365</v>
      </c>
      <c r="AG52" s="181">
        <v>182.5</v>
      </c>
      <c r="AH52" s="181">
        <v>182.5</v>
      </c>
      <c r="AI52" s="184">
        <v>365</v>
      </c>
      <c r="AJ52" s="3"/>
      <c r="AK52" s="3"/>
      <c r="AL52" s="3"/>
    </row>
    <row r="53" spans="2:38" x14ac:dyDescent="0.3">
      <c r="B53" s="95" t="s">
        <v>4</v>
      </c>
      <c r="C53">
        <f>'Financial Statements'!C4</f>
        <v>523.9</v>
      </c>
      <c r="D53">
        <f>'Financial Statements'!D4</f>
        <v>500.9</v>
      </c>
      <c r="E53" s="19">
        <f>'Financial Statements'!E4</f>
        <v>1024.8</v>
      </c>
      <c r="F53">
        <f>'Financial Statements'!F4</f>
        <v>430.8</v>
      </c>
      <c r="G53">
        <f>'Financial Statements'!G4</f>
        <v>579.40000000000009</v>
      </c>
      <c r="H53" s="19">
        <f>'Financial Statements'!H4</f>
        <v>1010.2</v>
      </c>
      <c r="I53">
        <f>'Financial Statements'!I4</f>
        <v>645.29999999999995</v>
      </c>
      <c r="J53">
        <f>'Financial Statements'!J4</f>
        <v>667.60000000000014</v>
      </c>
      <c r="K53" s="19">
        <f>'Financial Statements'!K4</f>
        <v>1312.9</v>
      </c>
      <c r="L53">
        <f>'Financial Statements'!L4</f>
        <v>867.1</v>
      </c>
      <c r="M53">
        <f>'Financial Statements'!M4</f>
        <v>681.4</v>
      </c>
      <c r="N53" s="19">
        <f>'Financial Statements'!N4</f>
        <v>1548.5</v>
      </c>
      <c r="O53">
        <f>'Financial Statements'!O4</f>
        <v>636.70000000000005</v>
      </c>
      <c r="P53">
        <f>'Financial Statements'!P4</f>
        <v>557.5</v>
      </c>
      <c r="Q53" s="19">
        <f>'Financial Statements'!Q4</f>
        <v>1194.2</v>
      </c>
      <c r="R53" s="65">
        <f>'Financial Statements'!R4</f>
        <v>533.70000000000005</v>
      </c>
      <c r="S53">
        <f>'Financial Statements'!S4</f>
        <v>450.9</v>
      </c>
      <c r="T53" s="19">
        <f>'Financial Statements'!T4</f>
        <v>984.6</v>
      </c>
      <c r="U53" s="65">
        <f>'Financial Statements'!U4</f>
        <v>489.59999999999997</v>
      </c>
      <c r="V53" s="65">
        <f>'Financial Statements'!V4</f>
        <v>486.22</v>
      </c>
      <c r="W53" s="105">
        <f>'Financial Statements'!W4</f>
        <v>975.82</v>
      </c>
      <c r="X53" s="65">
        <f>'Financial Statements'!X4</f>
        <v>509.452</v>
      </c>
      <c r="Y53" s="65">
        <f>'Financial Statements'!Y4</f>
        <v>506.32736000000006</v>
      </c>
      <c r="Z53" s="105">
        <f>'Financial Statements'!Z4</f>
        <v>1015.7793600000001</v>
      </c>
      <c r="AA53" s="65">
        <f>'Financial Statements'!AA4</f>
        <v>530.11952000000008</v>
      </c>
      <c r="AB53" s="65">
        <f>'Financial Statements'!AB4</f>
        <v>527.30487040000014</v>
      </c>
      <c r="AC53" s="105">
        <f>'Financial Statements'!AC4</f>
        <v>1057.4243904</v>
      </c>
      <c r="AD53" s="65">
        <f>'Financial Statements'!AD4</f>
        <v>551.63689599999998</v>
      </c>
      <c r="AE53" s="65">
        <f>'Financial Statements'!AE4</f>
        <v>549.19392281600005</v>
      </c>
      <c r="AF53" s="105">
        <f>'Financial Statements'!AF4</f>
        <v>1100.8308188160001</v>
      </c>
      <c r="AG53" s="65">
        <f>'Financial Statements'!AG4</f>
        <v>582.26048076800009</v>
      </c>
      <c r="AH53" s="65">
        <f>'Financial Statements'!AH4</f>
        <v>583.68110542336024</v>
      </c>
      <c r="AI53" s="67">
        <f>'Financial Statements'!AI4</f>
        <v>1165.9415861913603</v>
      </c>
    </row>
    <row r="54" spans="2:38" x14ac:dyDescent="0.3">
      <c r="B54" s="95" t="s">
        <v>5</v>
      </c>
      <c r="C54">
        <f>'Financial Statements'!C5</f>
        <v>175.6</v>
      </c>
      <c r="D54">
        <f>'Financial Statements'!D5</f>
        <v>172.29999999999998</v>
      </c>
      <c r="E54" s="19">
        <f>'Financial Statements'!E5</f>
        <v>347.9</v>
      </c>
      <c r="F54">
        <f>'Financial Statements'!F5</f>
        <v>152.19999999999999</v>
      </c>
      <c r="G54">
        <f>'Financial Statements'!G5</f>
        <v>177.90000000000003</v>
      </c>
      <c r="H54" s="19">
        <f>'Financial Statements'!H5</f>
        <v>330.1</v>
      </c>
      <c r="I54">
        <f>'Financial Statements'!I5</f>
        <v>199.4</v>
      </c>
      <c r="J54">
        <f>'Financial Statements'!J5</f>
        <v>212.4</v>
      </c>
      <c r="K54" s="19">
        <f>'Financial Statements'!K5</f>
        <v>411.8</v>
      </c>
      <c r="L54">
        <f>'Financial Statements'!L5</f>
        <v>243.4</v>
      </c>
      <c r="M54">
        <f>'Financial Statements'!M5</f>
        <v>201.29999999999998</v>
      </c>
      <c r="N54" s="19">
        <f>'Financial Statements'!N5</f>
        <v>444.7</v>
      </c>
      <c r="O54">
        <f>'Financial Statements'!O5</f>
        <v>176.8</v>
      </c>
      <c r="P54">
        <f>'Financial Statements'!P5</f>
        <v>167.2</v>
      </c>
      <c r="Q54" s="19">
        <f>'Financial Statements'!Q5</f>
        <v>344</v>
      </c>
      <c r="R54" s="65">
        <f>'Financial Statements'!R5</f>
        <v>146.80000000000001</v>
      </c>
      <c r="S54">
        <f>'Financial Statements'!S5</f>
        <v>143</v>
      </c>
      <c r="T54" s="19">
        <f>'Financial Statements'!T5</f>
        <v>289.8</v>
      </c>
      <c r="U54" s="65">
        <f>'Financial Statements'!U5</f>
        <v>156.6</v>
      </c>
      <c r="V54" s="65">
        <f>'Financial Statements'!V5</f>
        <v>170.17700000000002</v>
      </c>
      <c r="W54" s="105">
        <f>'Financial Statements'!W5</f>
        <v>326.77700000000004</v>
      </c>
      <c r="X54" s="65">
        <f>'Financial Statements'!X5</f>
        <v>178.3082</v>
      </c>
      <c r="Y54" s="65">
        <f>'Financial Statements'!Y5</f>
        <v>177.21457600000002</v>
      </c>
      <c r="Z54" s="105">
        <f>'Financial Statements'!Z5</f>
        <v>355.52277600000002</v>
      </c>
      <c r="AA54" s="65">
        <f>'Financial Statements'!AA5</f>
        <v>185.541832</v>
      </c>
      <c r="AB54" s="65">
        <f>'Financial Statements'!AB5</f>
        <v>184.55670464000002</v>
      </c>
      <c r="AC54" s="105">
        <f>'Financial Statements'!AC5</f>
        <v>370.09853664000002</v>
      </c>
      <c r="AD54" s="65">
        <f>'Financial Statements'!AD5</f>
        <v>193.07291359999999</v>
      </c>
      <c r="AE54" s="65">
        <f>'Financial Statements'!AE5</f>
        <v>192.21787298560002</v>
      </c>
      <c r="AF54" s="105">
        <f>'Financial Statements'!AF5</f>
        <v>385.29078658560002</v>
      </c>
      <c r="AG54" s="65">
        <f>'Financial Statements'!AG5</f>
        <v>203.79116826879999</v>
      </c>
      <c r="AH54" s="65">
        <f>'Financial Statements'!AH5</f>
        <v>204.28838689817604</v>
      </c>
      <c r="AI54" s="67">
        <f>'Financial Statements'!AI5</f>
        <v>408.07955516697604</v>
      </c>
    </row>
    <row r="55" spans="2:38" x14ac:dyDescent="0.3">
      <c r="B55" s="89"/>
      <c r="E55" s="19"/>
      <c r="H55" s="19"/>
      <c r="K55" s="19"/>
      <c r="N55" s="19"/>
      <c r="Q55" s="19"/>
      <c r="R55" s="65"/>
      <c r="T55" s="19"/>
      <c r="U55" s="65"/>
      <c r="V55" s="65"/>
      <c r="W55" s="105"/>
      <c r="X55" s="65"/>
      <c r="Y55" s="65"/>
      <c r="Z55" s="105"/>
      <c r="AA55" s="65"/>
      <c r="AB55" s="65"/>
      <c r="AC55" s="105"/>
      <c r="AD55" s="65"/>
      <c r="AE55" s="65"/>
      <c r="AF55" s="105"/>
      <c r="AG55" s="65"/>
      <c r="AH55" s="65"/>
      <c r="AI55" s="67"/>
    </row>
    <row r="56" spans="2:38" x14ac:dyDescent="0.3">
      <c r="B56" s="89" t="s">
        <v>86</v>
      </c>
      <c r="C56" s="18">
        <f>'Financial Statements'!C57</f>
        <v>1269</v>
      </c>
      <c r="D56">
        <f>'Financial Statements'!D57</f>
        <v>1363.9</v>
      </c>
      <c r="E56" s="19">
        <f>'Financial Statements'!E57</f>
        <v>1363.9</v>
      </c>
      <c r="F56">
        <f>'Financial Statements'!F57</f>
        <v>1378.6</v>
      </c>
      <c r="G56">
        <f>'Financial Statements'!G57</f>
        <v>1492.5</v>
      </c>
      <c r="H56" s="19">
        <f>'Financial Statements'!H57</f>
        <v>1492.5</v>
      </c>
      <c r="I56">
        <f>'Financial Statements'!I57</f>
        <v>1512.6</v>
      </c>
      <c r="J56">
        <f>'Financial Statements'!J57</f>
        <v>1615.5</v>
      </c>
      <c r="K56" s="19">
        <f>'Financial Statements'!K57</f>
        <v>1615.5</v>
      </c>
      <c r="L56">
        <f>'Financial Statements'!L57</f>
        <v>1647.6</v>
      </c>
      <c r="M56">
        <f>'Financial Statements'!M57</f>
        <v>1815.8</v>
      </c>
      <c r="N56" s="19">
        <f>'Financial Statements'!N57</f>
        <v>1815.8</v>
      </c>
      <c r="O56">
        <f>'Financial Statements'!O57</f>
        <v>1839.3</v>
      </c>
      <c r="P56">
        <f>'Financial Statements'!P57</f>
        <v>1962.8</v>
      </c>
      <c r="Q56" s="19">
        <f>'Financial Statements'!Q57</f>
        <v>1962.8</v>
      </c>
      <c r="R56" s="65">
        <f>'Financial Statements'!R57</f>
        <v>1973</v>
      </c>
      <c r="S56">
        <f>'Financial Statements'!S57</f>
        <v>2105.6</v>
      </c>
      <c r="T56" s="19">
        <f>'Financial Statements'!T57</f>
        <v>2105.6</v>
      </c>
      <c r="U56" s="65">
        <f>'Financial Statements'!U57</f>
        <v>2102.1999999999998</v>
      </c>
      <c r="V56" s="65">
        <f>+W56</f>
        <v>2238.1986301369866</v>
      </c>
      <c r="W56" s="105">
        <f>(W60/W52)*W54</f>
        <v>2238.1986301369866</v>
      </c>
      <c r="X56" s="242">
        <f>X60*X54/X52</f>
        <v>2442.5780821917806</v>
      </c>
      <c r="Y56" s="65">
        <f>+Z56</f>
        <v>2483.7892569863016</v>
      </c>
      <c r="Z56" s="105">
        <f>Z60*Z54/Z52</f>
        <v>2483.7892569863016</v>
      </c>
      <c r="AA56" s="242">
        <f>AA60*AA54/AA52</f>
        <v>2636.1134601092895</v>
      </c>
      <c r="AB56" s="65">
        <f>+AC56</f>
        <v>2629.1152876065576</v>
      </c>
      <c r="AC56" s="105">
        <f>AC60*AC54/AC52</f>
        <v>2629.1152876065576</v>
      </c>
      <c r="AD56" s="242">
        <f>AD60*AD54/AD52</f>
        <v>2750.6278101917806</v>
      </c>
      <c r="AE56" s="65">
        <f>+AF56</f>
        <v>2744.5371099248218</v>
      </c>
      <c r="AF56" s="105">
        <f>AF60*AF54/AF52</f>
        <v>2744.5371099248218</v>
      </c>
      <c r="AG56" s="242">
        <f>AG60*AG54/AG52</f>
        <v>2903.326232870575</v>
      </c>
      <c r="AH56" s="65">
        <f>+AI56</f>
        <v>2906.8680642031172</v>
      </c>
      <c r="AI56" s="108">
        <f>AI60*AI54/AI52</f>
        <v>2906.8680642031172</v>
      </c>
    </row>
    <row r="57" spans="2:38" x14ac:dyDescent="0.3">
      <c r="B57" s="89" t="s">
        <v>156</v>
      </c>
      <c r="C57">
        <f>'Financial Statements'!C58</f>
        <v>249.6</v>
      </c>
      <c r="D57">
        <f>'Financial Statements'!D58</f>
        <v>199.4</v>
      </c>
      <c r="E57" s="19">
        <f>'Financial Statements'!E58</f>
        <v>199.4</v>
      </c>
      <c r="F57">
        <f>'Financial Statements'!F58</f>
        <v>270.5</v>
      </c>
      <c r="G57">
        <f>'Financial Statements'!G58</f>
        <v>158.1</v>
      </c>
      <c r="H57" s="19">
        <f>'Financial Statements'!H58</f>
        <v>158.1</v>
      </c>
      <c r="I57">
        <f>'Financial Statements'!I58</f>
        <v>286.39999999999998</v>
      </c>
      <c r="J57">
        <f>'Financial Statements'!J58</f>
        <v>253.6</v>
      </c>
      <c r="K57" s="19">
        <f>'Financial Statements'!K58</f>
        <v>253.6</v>
      </c>
      <c r="L57">
        <f>'Financial Statements'!L58</f>
        <v>389.2</v>
      </c>
      <c r="M57">
        <f>'Financial Statements'!M58</f>
        <v>268.7</v>
      </c>
      <c r="N57" s="19">
        <f>'Financial Statements'!N58</f>
        <v>268.7</v>
      </c>
      <c r="O57">
        <f>'Financial Statements'!O58</f>
        <v>364.2</v>
      </c>
      <c r="P57">
        <f>'Financial Statements'!P58</f>
        <v>238.2</v>
      </c>
      <c r="Q57" s="19">
        <f>'Financial Statements'!Q58</f>
        <v>238.2</v>
      </c>
      <c r="R57" s="65">
        <f>'Financial Statements'!R58</f>
        <v>307.8</v>
      </c>
      <c r="S57">
        <f>'Financial Statements'!S58</f>
        <v>187.5</v>
      </c>
      <c r="T57" s="19">
        <f>'Financial Statements'!T58</f>
        <v>187.5</v>
      </c>
      <c r="U57" s="65">
        <f>'Financial Statements'!U58</f>
        <v>254.6</v>
      </c>
      <c r="V57" s="65">
        <f>+W57</f>
        <v>334.1849315068493</v>
      </c>
      <c r="W57" s="105">
        <f>W61*W53/W52</f>
        <v>334.1849315068493</v>
      </c>
      <c r="X57" s="242">
        <f>X61*X53/X52</f>
        <v>348.93972602739728</v>
      </c>
      <c r="Y57" s="65">
        <f>+Z57</f>
        <v>347.8696438356165</v>
      </c>
      <c r="Z57" s="105">
        <f>Z61*Z53/Z52</f>
        <v>347.8696438356165</v>
      </c>
      <c r="AA57" s="242">
        <f>AA61*AA53/AA52</f>
        <v>362.10349726775968</v>
      </c>
      <c r="AB57" s="65">
        <f>+AC57</f>
        <v>361.14220983606555</v>
      </c>
      <c r="AC57" s="105">
        <f>AC61*AC53/AC52</f>
        <v>361.14220983606555</v>
      </c>
      <c r="AD57" s="242">
        <f>AD61*AD53/AD52</f>
        <v>377.83349041095886</v>
      </c>
      <c r="AE57" s="65">
        <f>+AF57</f>
        <v>376.99685575890413</v>
      </c>
      <c r="AF57" s="105">
        <f>AF61*AF53/AF52</f>
        <v>376.99685575890413</v>
      </c>
      <c r="AG57" s="242">
        <f>AG61*AG53/AG52</f>
        <v>398.80854847123294</v>
      </c>
      <c r="AH57" s="65">
        <f>+AI57</f>
        <v>399.29506376416452</v>
      </c>
      <c r="AI57" s="108">
        <f>AI61*AI53/AI52</f>
        <v>399.29506376416452</v>
      </c>
    </row>
    <row r="58" spans="2:38" x14ac:dyDescent="0.3">
      <c r="B58" s="89" t="s">
        <v>157</v>
      </c>
      <c r="C58">
        <f>'Financial Statements'!C81</f>
        <v>474.7</v>
      </c>
      <c r="D58">
        <f>'Financial Statements'!D81</f>
        <v>534.4</v>
      </c>
      <c r="E58" s="19">
        <f>'Financial Statements'!E81</f>
        <v>534.4</v>
      </c>
      <c r="F58">
        <f>'Financial Statements'!F81</f>
        <v>498.7</v>
      </c>
      <c r="G58">
        <f>'Financial Statements'!G81</f>
        <v>586.1</v>
      </c>
      <c r="H58" s="19">
        <f>'Financial Statements'!H81</f>
        <v>586.1</v>
      </c>
      <c r="I58">
        <f>'Financial Statements'!I81</f>
        <v>600.9</v>
      </c>
      <c r="J58">
        <f>'Financial Statements'!J81</f>
        <v>683.3</v>
      </c>
      <c r="K58" s="19">
        <f>'Financial Statements'!K81</f>
        <v>683.3</v>
      </c>
      <c r="L58">
        <f>'Financial Statements'!L81</f>
        <v>647.9</v>
      </c>
      <c r="M58">
        <f>'Financial Statements'!M81</f>
        <v>717.5</v>
      </c>
      <c r="N58" s="19">
        <f>'Financial Statements'!N81</f>
        <v>717.5</v>
      </c>
      <c r="O58">
        <f>'Financial Statements'!O81</f>
        <v>647.1</v>
      </c>
      <c r="P58">
        <f>'Financial Statements'!P81</f>
        <v>676.3</v>
      </c>
      <c r="Q58" s="19">
        <f>'Financial Statements'!Q81</f>
        <v>676.3</v>
      </c>
      <c r="R58" s="65">
        <f>'Financial Statements'!R81</f>
        <v>634.1</v>
      </c>
      <c r="S58">
        <f>'Financial Statements'!S81</f>
        <v>639.1</v>
      </c>
      <c r="T58" s="19">
        <f>'Financial Statements'!T81</f>
        <v>639.1</v>
      </c>
      <c r="U58" s="65">
        <f>'Financial Statements'!U81</f>
        <v>629.5</v>
      </c>
      <c r="V58" s="65">
        <f>+W58</f>
        <v>572.9788493150686</v>
      </c>
      <c r="W58" s="105">
        <f>W62*W54/W52</f>
        <v>572.9788493150686</v>
      </c>
      <c r="X58" s="242">
        <f>X62*X54/X52</f>
        <v>625.29998904109584</v>
      </c>
      <c r="Y58" s="65">
        <f>+Z58</f>
        <v>623.38240175342469</v>
      </c>
      <c r="Z58" s="105">
        <f>Z62*Z54/Z52</f>
        <v>623.38240175342469</v>
      </c>
      <c r="AA58" s="242">
        <f>AA62*AA54/AA52</f>
        <v>638.75056918032783</v>
      </c>
      <c r="AB58" s="65">
        <f>+AC58</f>
        <v>637.05485815081965</v>
      </c>
      <c r="AC58" s="105">
        <f>AC62*AC54/AC52</f>
        <v>637.05485815081965</v>
      </c>
      <c r="AD58" s="242">
        <f>AD62*AD54/AD52</f>
        <v>655.91893935342466</v>
      </c>
      <c r="AE58" s="65">
        <f>+AF58</f>
        <v>654.46654159745754</v>
      </c>
      <c r="AF58" s="105">
        <f>AF62*AF54/AF52</f>
        <v>654.46654159745754</v>
      </c>
      <c r="AG58" s="242">
        <f>AG62*AG54/AG52</f>
        <v>675.58168111026851</v>
      </c>
      <c r="AH58" s="65">
        <f>+AI58</f>
        <v>676.4058380164945</v>
      </c>
      <c r="AI58" s="108">
        <f>AI62*AI54/AI52</f>
        <v>676.4058380164945</v>
      </c>
    </row>
    <row r="59" spans="2:38" x14ac:dyDescent="0.3">
      <c r="B59" s="89"/>
      <c r="E59" s="19"/>
      <c r="H59" s="19"/>
      <c r="K59" s="19"/>
      <c r="N59" s="19"/>
      <c r="Q59" s="19"/>
      <c r="R59" s="65"/>
      <c r="T59" s="19"/>
      <c r="U59" s="65"/>
      <c r="V59" s="65"/>
      <c r="W59" s="105"/>
      <c r="X59" s="65"/>
      <c r="Y59" s="65"/>
      <c r="Z59" s="105"/>
      <c r="AA59" s="65"/>
      <c r="AB59" s="65"/>
      <c r="AC59" s="105"/>
      <c r="AD59" s="65"/>
      <c r="AE59" s="65"/>
      <c r="AF59" s="105"/>
      <c r="AG59" s="65"/>
      <c r="AH59" s="65"/>
      <c r="AI59" s="67"/>
    </row>
    <row r="60" spans="2:38" x14ac:dyDescent="0.3">
      <c r="B60" s="89" t="s">
        <v>159</v>
      </c>
      <c r="C60" s="65">
        <f>C56/C54*C52</f>
        <v>1322.47722095672</v>
      </c>
      <c r="D60" s="65">
        <f t="shared" ref="D60:O60" si="37">D56/D54*D52</f>
        <v>1448.599535693558</v>
      </c>
      <c r="E60" s="105">
        <f t="shared" si="37"/>
        <v>1434.8588674906584</v>
      </c>
      <c r="F60" s="65">
        <f t="shared" si="37"/>
        <v>1653.051905387648</v>
      </c>
      <c r="G60" s="65">
        <f t="shared" si="37"/>
        <v>1531.091905564924</v>
      </c>
      <c r="H60" s="105">
        <f t="shared" si="37"/>
        <v>1650.2953650408967</v>
      </c>
      <c r="I60" s="65">
        <f t="shared" si="37"/>
        <v>1384.4007021063189</v>
      </c>
      <c r="J60" s="65">
        <f t="shared" si="37"/>
        <v>1388.082627118644</v>
      </c>
      <c r="K60" s="105">
        <f t="shared" si="37"/>
        <v>1431.9026226323458</v>
      </c>
      <c r="L60" s="65">
        <f t="shared" si="37"/>
        <v>1235.3615447822515</v>
      </c>
      <c r="M60" s="65">
        <f t="shared" si="37"/>
        <v>1646.2170889220072</v>
      </c>
      <c r="N60" s="105">
        <f t="shared" si="37"/>
        <v>1490.3687879469305</v>
      </c>
      <c r="O60" s="65">
        <f t="shared" si="37"/>
        <v>1903.8003393665156</v>
      </c>
      <c r="P60" s="65">
        <f t="shared" ref="P60:R60" si="38">P56/P54*P52</f>
        <v>2148.27990430622</v>
      </c>
      <c r="Q60" s="105">
        <f t="shared" si="38"/>
        <v>2088.3279069767441</v>
      </c>
      <c r="R60" s="65">
        <f t="shared" si="38"/>
        <v>2452.809945504087</v>
      </c>
      <c r="S60" s="65">
        <f t="shared" ref="S60:U60" si="39">S56/S54*S52</f>
        <v>2694.5790209790212</v>
      </c>
      <c r="T60" s="105">
        <f t="shared" si="39"/>
        <v>2659.246376811594</v>
      </c>
      <c r="U60" s="65">
        <f t="shared" si="39"/>
        <v>2449.8818646232439</v>
      </c>
      <c r="V60" s="65">
        <f t="shared" ref="V60" si="40">V56/V54*V52</f>
        <v>2400.2729511038506</v>
      </c>
      <c r="W60" s="259">
        <v>2500</v>
      </c>
      <c r="X60" s="245">
        <v>2500</v>
      </c>
      <c r="Y60" s="65">
        <f t="shared" ref="Y60" si="41">Y56/Y54*Y52</f>
        <v>2557.8682613556571</v>
      </c>
      <c r="Z60" s="259">
        <v>2550</v>
      </c>
      <c r="AA60" s="245">
        <v>2600</v>
      </c>
      <c r="AB60" s="65">
        <f t="shared" ref="AB60" si="42">AB56/AB54*AB52</f>
        <v>2606.93914409936</v>
      </c>
      <c r="AC60" s="259">
        <v>2600</v>
      </c>
      <c r="AD60" s="245">
        <v>2600</v>
      </c>
      <c r="AE60" s="65">
        <f t="shared" ref="AE60" si="43">AE56/AE54*AE52</f>
        <v>2605.7827754591958</v>
      </c>
      <c r="AF60" s="259">
        <v>2600</v>
      </c>
      <c r="AG60" s="245">
        <v>2600</v>
      </c>
      <c r="AH60" s="65">
        <f t="shared" ref="AH60" si="44">AH56/AH54*AH52</f>
        <v>2596.8359228441554</v>
      </c>
      <c r="AI60" s="260">
        <v>2600</v>
      </c>
    </row>
    <row r="61" spans="2:38" x14ac:dyDescent="0.3">
      <c r="B61" s="89" t="s">
        <v>160</v>
      </c>
      <c r="C61" s="65">
        <f>C57/C53*C52</f>
        <v>87.186104218362289</v>
      </c>
      <c r="D61" s="65">
        <f t="shared" ref="D61:O61" si="45">D57/D53*D52</f>
        <v>72.849271311639058</v>
      </c>
      <c r="E61" s="105">
        <f t="shared" si="45"/>
        <v>71.214285714285722</v>
      </c>
      <c r="F61" s="65">
        <f t="shared" si="45"/>
        <v>114.59203806870939</v>
      </c>
      <c r="G61" s="65">
        <f t="shared" si="45"/>
        <v>49.798498446668965</v>
      </c>
      <c r="H61" s="105">
        <f t="shared" si="45"/>
        <v>57.123836863987322</v>
      </c>
      <c r="I61" s="65">
        <f t="shared" si="45"/>
        <v>80.997985433131873</v>
      </c>
      <c r="J61" s="65">
        <f t="shared" si="45"/>
        <v>69.325943678849598</v>
      </c>
      <c r="K61" s="105">
        <f t="shared" si="45"/>
        <v>70.503465610480603</v>
      </c>
      <c r="L61" s="65">
        <f t="shared" si="45"/>
        <v>81.915580671202861</v>
      </c>
      <c r="M61" s="65">
        <f t="shared" si="45"/>
        <v>71.966172585852647</v>
      </c>
      <c r="N61" s="105">
        <f t="shared" si="45"/>
        <v>63.335808847271551</v>
      </c>
      <c r="O61" s="65">
        <f t="shared" si="45"/>
        <v>104.67818438825192</v>
      </c>
      <c r="P61" s="65">
        <f t="shared" ref="P61:R61" si="46">P57/P53*P52</f>
        <v>78.189417040358734</v>
      </c>
      <c r="Q61" s="105">
        <f t="shared" si="46"/>
        <v>73.003851951096962</v>
      </c>
      <c r="R61" s="65">
        <f t="shared" si="46"/>
        <v>105.25295109612141</v>
      </c>
      <c r="S61" s="65">
        <f t="shared" ref="S61:U61" si="47">S57/S53*S52</f>
        <v>76.097804391217565</v>
      </c>
      <c r="T61" s="105">
        <f t="shared" si="47"/>
        <v>69.698354661791583</v>
      </c>
      <c r="U61" s="65">
        <f t="shared" si="47"/>
        <v>94.902982026143803</v>
      </c>
      <c r="V61" s="65">
        <f t="shared" ref="V61" si="48">V57/V53*V52</f>
        <v>125.4344741063716</v>
      </c>
      <c r="W61" s="259">
        <v>125</v>
      </c>
      <c r="X61" s="245">
        <v>125</v>
      </c>
      <c r="Y61" s="65">
        <f t="shared" ref="Y61" si="49">Y57/Y53*Y52</f>
        <v>125.38569908606163</v>
      </c>
      <c r="Z61" s="259">
        <v>125</v>
      </c>
      <c r="AA61" s="245">
        <v>125</v>
      </c>
      <c r="AB61" s="65">
        <f t="shared" ref="AB61" si="50">AB57/AB53*AB52</f>
        <v>125.33361269708459</v>
      </c>
      <c r="AC61" s="259">
        <v>125</v>
      </c>
      <c r="AD61" s="245">
        <v>125</v>
      </c>
      <c r="AE61" s="65">
        <f t="shared" ref="AE61" si="51">AE57/AE53*AE52</f>
        <v>125.27801805092288</v>
      </c>
      <c r="AF61" s="259">
        <v>125</v>
      </c>
      <c r="AG61" s="245">
        <v>125</v>
      </c>
      <c r="AH61" s="65">
        <f t="shared" ref="AH61" si="52">AH57/AH53*AH52</f>
        <v>124.84788090596902</v>
      </c>
      <c r="AI61" s="260">
        <v>125</v>
      </c>
    </row>
    <row r="62" spans="2:38" ht="15" thickBot="1" x14ac:dyDescent="0.35">
      <c r="B62" s="194" t="s">
        <v>161</v>
      </c>
      <c r="C62" s="107">
        <f>C58/C54*C52</f>
        <v>494.70444191343967</v>
      </c>
      <c r="D62" s="107">
        <f t="shared" ref="D62:O62" si="53">D58/D54*D52</f>
        <v>567.5867672663959</v>
      </c>
      <c r="E62" s="106">
        <f t="shared" si="53"/>
        <v>562.20293187697621</v>
      </c>
      <c r="F62" s="107">
        <f t="shared" si="53"/>
        <v>597.98127463863341</v>
      </c>
      <c r="G62" s="107">
        <f t="shared" si="53"/>
        <v>601.25491849353557</v>
      </c>
      <c r="H62" s="106">
        <f t="shared" si="53"/>
        <v>648.06573765525593</v>
      </c>
      <c r="I62" s="107">
        <f t="shared" si="53"/>
        <v>549.97116349047144</v>
      </c>
      <c r="J62" s="107">
        <f t="shared" si="53"/>
        <v>587.11040489642176</v>
      </c>
      <c r="K62" s="106">
        <f t="shared" si="53"/>
        <v>605.64473045167551</v>
      </c>
      <c r="L62" s="107">
        <f t="shared" si="53"/>
        <v>485.79190632703364</v>
      </c>
      <c r="M62" s="107">
        <f t="shared" si="53"/>
        <v>650.49056135121714</v>
      </c>
      <c r="N62" s="106">
        <f t="shared" si="53"/>
        <v>588.90825275466614</v>
      </c>
      <c r="O62" s="107">
        <f t="shared" si="53"/>
        <v>669.79242081447967</v>
      </c>
      <c r="P62" s="107">
        <f t="shared" ref="P62:R62" si="54">P58/P54*P52</f>
        <v>740.20873205741634</v>
      </c>
      <c r="Q62" s="106">
        <f t="shared" si="54"/>
        <v>719.55174418604645</v>
      </c>
      <c r="R62" s="107">
        <f t="shared" si="54"/>
        <v>788.30551771117166</v>
      </c>
      <c r="S62" s="107">
        <f t="shared" ref="S62:U62" si="55">S58/S54*S52</f>
        <v>817.86923076923074</v>
      </c>
      <c r="T62" s="106">
        <f t="shared" si="55"/>
        <v>807.14492753623188</v>
      </c>
      <c r="U62" s="107">
        <f t="shared" si="55"/>
        <v>733.61270753512133</v>
      </c>
      <c r="V62" s="107">
        <f t="shared" ref="V62" si="56">V58/V54*V52</f>
        <v>614.46987548258585</v>
      </c>
      <c r="W62" s="261">
        <v>640</v>
      </c>
      <c r="X62" s="262">
        <v>640</v>
      </c>
      <c r="Y62" s="107">
        <f t="shared" ref="Y62" si="57">Y58/Y54*Y52</f>
        <v>641.97477932063555</v>
      </c>
      <c r="Z62" s="261">
        <v>640</v>
      </c>
      <c r="AA62" s="262">
        <v>630</v>
      </c>
      <c r="AB62" s="107">
        <f t="shared" ref="AB62" si="58">AB58/AB54*AB52</f>
        <v>631.68140799330638</v>
      </c>
      <c r="AC62" s="261">
        <v>630</v>
      </c>
      <c r="AD62" s="262">
        <v>620</v>
      </c>
      <c r="AE62" s="107">
        <f t="shared" ref="AE62" si="59">AE58/AE54*AE52</f>
        <v>621.37896953257746</v>
      </c>
      <c r="AF62" s="261">
        <v>620</v>
      </c>
      <c r="AG62" s="262">
        <v>605</v>
      </c>
      <c r="AH62" s="107">
        <f t="shared" ref="AH62" si="60">AH58/AH54*AH52</f>
        <v>604.26374358488999</v>
      </c>
      <c r="AI62" s="263">
        <v>605</v>
      </c>
    </row>
    <row r="64" spans="2:38" ht="15" thickBot="1" x14ac:dyDescent="0.35"/>
    <row r="65" spans="2:35" x14ac:dyDescent="0.3">
      <c r="B65" s="170" t="s">
        <v>163</v>
      </c>
      <c r="C65" s="91" t="s">
        <v>29</v>
      </c>
      <c r="D65" s="91" t="s">
        <v>30</v>
      </c>
      <c r="E65" s="91" t="s">
        <v>0</v>
      </c>
      <c r="F65" s="91" t="s">
        <v>31</v>
      </c>
      <c r="G65" s="91" t="s">
        <v>32</v>
      </c>
      <c r="H65" s="91" t="s">
        <v>1</v>
      </c>
      <c r="I65" s="91" t="s">
        <v>33</v>
      </c>
      <c r="J65" s="91" t="s">
        <v>34</v>
      </c>
      <c r="K65" s="91" t="s">
        <v>2</v>
      </c>
      <c r="L65" s="91" t="s">
        <v>35</v>
      </c>
      <c r="M65" s="91" t="s">
        <v>36</v>
      </c>
      <c r="N65" s="91" t="s">
        <v>3</v>
      </c>
      <c r="O65" s="91" t="s">
        <v>37</v>
      </c>
      <c r="P65" s="91" t="s">
        <v>38</v>
      </c>
      <c r="Q65" s="91" t="s">
        <v>39</v>
      </c>
      <c r="R65" s="91" t="str">
        <f>R51</f>
        <v>H1'25</v>
      </c>
      <c r="S65" s="91" t="s">
        <v>60</v>
      </c>
      <c r="T65" s="103" t="s">
        <v>61</v>
      </c>
      <c r="U65" s="91" t="str">
        <f>U51</f>
        <v>H1'26</v>
      </c>
      <c r="V65" s="179" t="str">
        <f t="shared" ref="V65:AI65" si="61">V51</f>
        <v>H2'26</v>
      </c>
      <c r="W65" s="179" t="str">
        <f t="shared" si="61"/>
        <v>FY26</v>
      </c>
      <c r="X65" s="179" t="str">
        <f t="shared" si="61"/>
        <v>H1'27</v>
      </c>
      <c r="Y65" s="179" t="str">
        <f t="shared" si="61"/>
        <v>H2'27</v>
      </c>
      <c r="Z65" s="179" t="str">
        <f t="shared" si="61"/>
        <v>FY27</v>
      </c>
      <c r="AA65" s="179" t="str">
        <f t="shared" si="61"/>
        <v>H1'28</v>
      </c>
      <c r="AB65" s="179" t="str">
        <f t="shared" si="61"/>
        <v>H2'28</v>
      </c>
      <c r="AC65" s="179" t="str">
        <f t="shared" si="61"/>
        <v>FY28</v>
      </c>
      <c r="AD65" s="179" t="str">
        <f t="shared" si="61"/>
        <v>H1'29</v>
      </c>
      <c r="AE65" s="179" t="str">
        <f t="shared" si="61"/>
        <v>H2'29</v>
      </c>
      <c r="AF65" s="179" t="str">
        <f t="shared" si="61"/>
        <v>FY29</v>
      </c>
      <c r="AG65" s="179" t="str">
        <f t="shared" si="61"/>
        <v>H1'30</v>
      </c>
      <c r="AH65" s="179" t="str">
        <f t="shared" si="61"/>
        <v>H2'30</v>
      </c>
      <c r="AI65" s="180" t="str">
        <f t="shared" si="61"/>
        <v>FY30</v>
      </c>
    </row>
    <row r="66" spans="2:35" s="3" customFormat="1" x14ac:dyDescent="0.3">
      <c r="B66" s="195" t="s">
        <v>207</v>
      </c>
      <c r="E66" s="20"/>
      <c r="H66" s="20"/>
      <c r="K66" s="20"/>
      <c r="N66" s="20"/>
      <c r="O66" s="3">
        <f>'Financial Statements'!N74</f>
        <v>325.10000000000002</v>
      </c>
      <c r="P66" s="3">
        <f>'Financial Statements'!O74</f>
        <v>691.5</v>
      </c>
      <c r="Q66" s="20">
        <f>O66</f>
        <v>325.10000000000002</v>
      </c>
      <c r="R66" s="3">
        <f>'Financial Statements'!Q74</f>
        <v>514.9</v>
      </c>
      <c r="S66" s="3">
        <f>'Financial Statements'!R74</f>
        <v>511.4</v>
      </c>
      <c r="T66" s="20">
        <f>R66</f>
        <v>514.9</v>
      </c>
      <c r="U66" s="3">
        <f>'Financial Statements'!T74</f>
        <v>562.5</v>
      </c>
      <c r="V66" s="3">
        <f>U70</f>
        <v>587.29999999999995</v>
      </c>
      <c r="W66" s="20">
        <f>T70</f>
        <v>562.5</v>
      </c>
      <c r="X66" s="3">
        <f>'Financial Statements'!W74</f>
        <v>577.29999999999995</v>
      </c>
      <c r="Y66" s="3">
        <f>X70</f>
        <v>557.29999999999995</v>
      </c>
      <c r="Z66" s="20">
        <f>W70</f>
        <v>577.29999999999995</v>
      </c>
      <c r="AA66" s="3">
        <f>'Financial Statements'!Z74</f>
        <v>547.29999999999995</v>
      </c>
      <c r="AB66" s="3">
        <f>AA70</f>
        <v>527.29999999999995</v>
      </c>
      <c r="AC66" s="20">
        <f>Z70</f>
        <v>547.29999999999995</v>
      </c>
      <c r="AD66" s="3">
        <f>'Financial Statements'!AC74</f>
        <v>517.29999999999995</v>
      </c>
      <c r="AE66" s="3">
        <f>AD70</f>
        <v>497.29999999999995</v>
      </c>
      <c r="AF66" s="20">
        <f>AC70</f>
        <v>517.29999999999995</v>
      </c>
      <c r="AG66" s="3">
        <f>'Financial Statements'!AF74</f>
        <v>487.29999999999995</v>
      </c>
      <c r="AH66" s="3">
        <f>AG70</f>
        <v>467.29999999999995</v>
      </c>
      <c r="AI66" s="24">
        <f>AF70</f>
        <v>487.29999999999995</v>
      </c>
    </row>
    <row r="67" spans="2:35" x14ac:dyDescent="0.3">
      <c r="B67" s="172" t="s">
        <v>205</v>
      </c>
      <c r="E67" s="19"/>
      <c r="H67" s="19"/>
      <c r="K67" s="19"/>
      <c r="N67" s="19"/>
      <c r="O67">
        <f>'Financial Statements'!O120</f>
        <v>-124.4</v>
      </c>
      <c r="P67">
        <f>'Financial Statements'!P120</f>
        <v>-106</v>
      </c>
      <c r="Q67" s="19">
        <f>'Financial Statements'!Q120</f>
        <v>-230.4</v>
      </c>
      <c r="R67">
        <f>'Financial Statements'!R120</f>
        <v>-58.4</v>
      </c>
      <c r="S67">
        <f>'Financial Statements'!S120</f>
        <v>-47.199999999999996</v>
      </c>
      <c r="T67" s="19">
        <f>'Financial Statements'!T120</f>
        <v>-105.6</v>
      </c>
      <c r="U67">
        <f>'Financial Statements'!U120</f>
        <v>-58.8</v>
      </c>
      <c r="V67">
        <v>-20</v>
      </c>
      <c r="W67" s="19">
        <f>U67+V67</f>
        <v>-78.8</v>
      </c>
      <c r="X67">
        <v>-30</v>
      </c>
      <c r="Y67">
        <v>-20</v>
      </c>
      <c r="Z67" s="19">
        <f>X67+Y67</f>
        <v>-50</v>
      </c>
      <c r="AA67">
        <v>-30</v>
      </c>
      <c r="AB67">
        <v>-20</v>
      </c>
      <c r="AC67" s="19">
        <f>AA67+AB67</f>
        <v>-50</v>
      </c>
      <c r="AD67">
        <v>-30</v>
      </c>
      <c r="AE67">
        <v>-20</v>
      </c>
      <c r="AF67" s="19">
        <f>AD67+AE67</f>
        <v>-50</v>
      </c>
      <c r="AG67">
        <v>-30</v>
      </c>
      <c r="AH67">
        <v>-20</v>
      </c>
      <c r="AI67" s="23">
        <f>AG67+AH67</f>
        <v>-50</v>
      </c>
    </row>
    <row r="68" spans="2:35" x14ac:dyDescent="0.3">
      <c r="B68" s="172" t="s">
        <v>206</v>
      </c>
      <c r="E68" s="19"/>
      <c r="H68" s="19"/>
      <c r="K68" s="19"/>
      <c r="N68" s="19"/>
      <c r="O68">
        <f>'Financial Statements'!O119</f>
        <v>431.1</v>
      </c>
      <c r="P68">
        <f>'Financial Statements'!P119</f>
        <v>-40.900000000000034</v>
      </c>
      <c r="Q68" s="19">
        <f>'Financial Statements'!Q119</f>
        <v>390.2</v>
      </c>
      <c r="R68">
        <f>'Financial Statements'!R119</f>
        <v>18.8</v>
      </c>
      <c r="S68">
        <f>'Financial Statements'!S119</f>
        <v>95.9</v>
      </c>
      <c r="T68" s="19">
        <f>'Financial Statements'!T119</f>
        <v>114.7</v>
      </c>
      <c r="U68">
        <f>'Financial Statements'!U119</f>
        <v>71.400000000000006</v>
      </c>
      <c r="V68">
        <v>10</v>
      </c>
      <c r="W68" s="19">
        <f>U68+V68</f>
        <v>81.400000000000006</v>
      </c>
      <c r="X68">
        <v>10</v>
      </c>
      <c r="Y68">
        <v>10</v>
      </c>
      <c r="Z68" s="19">
        <f>X68+Y68</f>
        <v>20</v>
      </c>
      <c r="AA68">
        <v>10</v>
      </c>
      <c r="AB68">
        <v>10</v>
      </c>
      <c r="AC68" s="19">
        <f>AA68+AB68</f>
        <v>20</v>
      </c>
      <c r="AD68">
        <v>10</v>
      </c>
      <c r="AE68">
        <v>10</v>
      </c>
      <c r="AF68" s="19">
        <f>AD68+AE68</f>
        <v>20</v>
      </c>
      <c r="AG68">
        <v>10</v>
      </c>
      <c r="AH68">
        <v>10</v>
      </c>
      <c r="AI68" s="23">
        <f>AG68+AH68</f>
        <v>20</v>
      </c>
    </row>
    <row r="69" spans="2:35" x14ac:dyDescent="0.3">
      <c r="B69" s="172"/>
      <c r="E69" s="19"/>
      <c r="H69" s="19"/>
      <c r="K69" s="19"/>
      <c r="N69" s="19"/>
      <c r="O69">
        <f>-(O66+O67+O68-'Financial Statements'!O74)</f>
        <v>59.699999999999932</v>
      </c>
      <c r="P69">
        <f>-(P66+P67+P68-'Financial Statements'!P74)</f>
        <v>-29.699999999999932</v>
      </c>
      <c r="Q69" s="19">
        <f>-(Q66+Q67+Q68-'Financial Statements'!Q74)</f>
        <v>30</v>
      </c>
      <c r="R69">
        <f>-(R66+R67+R68-'Financial Statements'!R74)</f>
        <v>36.099999999999966</v>
      </c>
      <c r="S69">
        <f>-(S66+S67+S68-'Financial Statements'!S74)</f>
        <v>2.3999999999999773</v>
      </c>
      <c r="T69" s="19">
        <f>-(T66+T67+T68-'Financial Statements'!T74)</f>
        <v>38.5</v>
      </c>
      <c r="U69">
        <f>-(U66+U67+U68-'Financial Statements'!U74)</f>
        <v>12.199999999999932</v>
      </c>
      <c r="W69" s="23">
        <f>SUM(U69:V69)</f>
        <v>12.199999999999932</v>
      </c>
      <c r="Z69" s="19"/>
      <c r="AC69" s="19"/>
      <c r="AF69" s="19"/>
      <c r="AI69" s="23"/>
    </row>
    <row r="70" spans="2:35" s="3" customFormat="1" x14ac:dyDescent="0.3">
      <c r="B70" s="174" t="s">
        <v>155</v>
      </c>
      <c r="C70" s="3">
        <f>'Financial Statements'!C74</f>
        <v>521.6</v>
      </c>
      <c r="D70" s="3">
        <f>'Financial Statements'!D74</f>
        <v>452</v>
      </c>
      <c r="E70" s="20"/>
      <c r="H70" s="20"/>
      <c r="K70" s="20"/>
      <c r="N70" s="20"/>
      <c r="O70" s="3">
        <f>O66+O68+O67+O69</f>
        <v>691.5</v>
      </c>
      <c r="P70" s="3">
        <f t="shared" ref="P70:W70" si="62">P66+P68+P67+P69</f>
        <v>514.9</v>
      </c>
      <c r="Q70" s="20">
        <f t="shared" si="62"/>
        <v>514.9</v>
      </c>
      <c r="R70" s="3">
        <f>R66+R68+R67+R69</f>
        <v>511.39999999999992</v>
      </c>
      <c r="S70" s="3">
        <f t="shared" ref="S70:T70" si="63">S66+S68+S67+S69</f>
        <v>562.49999999999989</v>
      </c>
      <c r="T70" s="20">
        <f t="shared" si="63"/>
        <v>562.5</v>
      </c>
      <c r="U70" s="3">
        <f>U66+U68+U67+U69</f>
        <v>587.29999999999995</v>
      </c>
      <c r="V70" s="3">
        <f t="shared" si="62"/>
        <v>577.29999999999995</v>
      </c>
      <c r="W70" s="20">
        <f t="shared" si="62"/>
        <v>577.29999999999995</v>
      </c>
      <c r="X70" s="3">
        <f t="shared" ref="X70" si="64">X66+X68+X67+X69</f>
        <v>557.29999999999995</v>
      </c>
      <c r="Y70" s="3">
        <f t="shared" ref="Y70" si="65">Y66+Y68+Y67+Y69</f>
        <v>547.29999999999995</v>
      </c>
      <c r="Z70" s="20">
        <f t="shared" ref="Z70" si="66">Z66+Z68+Z67+Z69</f>
        <v>547.29999999999995</v>
      </c>
      <c r="AA70" s="3">
        <f t="shared" ref="AA70" si="67">AA66+AA68+AA67+AA69</f>
        <v>527.29999999999995</v>
      </c>
      <c r="AB70" s="3">
        <f t="shared" ref="AB70" si="68">AB66+AB68+AB67+AB69</f>
        <v>517.29999999999995</v>
      </c>
      <c r="AC70" s="20">
        <f t="shared" ref="AC70" si="69">AC66+AC68+AC67+AC69</f>
        <v>517.29999999999995</v>
      </c>
      <c r="AD70" s="3">
        <f t="shared" ref="AD70" si="70">AD66+AD68+AD67+AD69</f>
        <v>497.29999999999995</v>
      </c>
      <c r="AE70" s="3">
        <f t="shared" ref="AE70" si="71">AE66+AE68+AE67+AE69</f>
        <v>487.29999999999995</v>
      </c>
      <c r="AF70" s="20">
        <f t="shared" ref="AF70" si="72">AF66+AF68+AF67+AF69</f>
        <v>487.29999999999995</v>
      </c>
      <c r="AG70" s="3">
        <f t="shared" ref="AG70" si="73">AG66+AG68+AG67+AG69</f>
        <v>467.29999999999995</v>
      </c>
      <c r="AH70" s="3">
        <f t="shared" ref="AH70" si="74">AH66+AH68+AH67+AH69</f>
        <v>457.29999999999995</v>
      </c>
      <c r="AI70" s="24">
        <f t="shared" ref="AI70" si="75">AI66+AI68+AI67+AI69</f>
        <v>457.29999999999995</v>
      </c>
    </row>
    <row r="71" spans="2:35" s="65" customFormat="1" x14ac:dyDescent="0.3">
      <c r="B71" s="258" t="s">
        <v>164</v>
      </c>
      <c r="C71" s="65">
        <f>'Financial Statements'!C21</f>
        <v>6.3</v>
      </c>
      <c r="D71" s="65">
        <f>'Financial Statements'!D21</f>
        <v>6.3999999999999995</v>
      </c>
      <c r="E71" s="105"/>
      <c r="H71" s="105"/>
      <c r="K71" s="105"/>
      <c r="N71" s="105"/>
      <c r="O71" s="65">
        <f>'Financial Statements'!O21</f>
        <v>11.7</v>
      </c>
      <c r="P71" s="65">
        <f>'Financial Statements'!P21</f>
        <v>20</v>
      </c>
      <c r="Q71" s="105">
        <f>'Financial Statements'!Q21</f>
        <v>31.7</v>
      </c>
      <c r="R71" s="65">
        <f>'Financial Statements'!R21</f>
        <v>16.7</v>
      </c>
      <c r="S71" s="65">
        <f>'Financial Statements'!S21</f>
        <v>17.000000000000004</v>
      </c>
      <c r="T71" s="105">
        <f>'Financial Statements'!T21</f>
        <v>33.700000000000003</v>
      </c>
      <c r="U71" s="65">
        <f>'Financial Statements'!U21</f>
        <v>16</v>
      </c>
      <c r="V71" s="65">
        <f>V72*V70</f>
        <v>17.318999999999999</v>
      </c>
      <c r="W71" s="105">
        <f>U71+V71</f>
        <v>33.319000000000003</v>
      </c>
      <c r="X71" s="65">
        <f>X72*X70</f>
        <v>16.718999999999998</v>
      </c>
      <c r="Y71" s="65">
        <f>Y72*Y70</f>
        <v>16.418999999999997</v>
      </c>
      <c r="Z71" s="105">
        <f>X71+Y71</f>
        <v>33.137999999999991</v>
      </c>
      <c r="AA71" s="65">
        <f>AA72*AA70</f>
        <v>15.818999999999997</v>
      </c>
      <c r="AB71" s="65">
        <f>AB72*AB70</f>
        <v>15.518999999999998</v>
      </c>
      <c r="AC71" s="105">
        <f>AA71+AB71</f>
        <v>31.337999999999994</v>
      </c>
      <c r="AD71" s="65">
        <f>AD72*AD70</f>
        <v>14.918999999999999</v>
      </c>
      <c r="AE71" s="65">
        <f>AE72*AE70</f>
        <v>14.618999999999998</v>
      </c>
      <c r="AF71" s="105">
        <f>AD71+AE71</f>
        <v>29.537999999999997</v>
      </c>
      <c r="AG71" s="65">
        <f>AG72*AG70</f>
        <v>14.018999999999998</v>
      </c>
      <c r="AH71" s="65">
        <f>AH72*AH70</f>
        <v>13.718999999999998</v>
      </c>
      <c r="AI71" s="67">
        <f>AG71+AH71</f>
        <v>27.737999999999996</v>
      </c>
    </row>
    <row r="72" spans="2:35" ht="15" thickBot="1" x14ac:dyDescent="0.35">
      <c r="B72" s="173" t="s">
        <v>165</v>
      </c>
      <c r="C72" s="109">
        <f>C71/C70</f>
        <v>1.2078220858895705E-2</v>
      </c>
      <c r="D72" s="109">
        <f t="shared" ref="D72" si="76">D71/D70</f>
        <v>1.4159292035398228E-2</v>
      </c>
      <c r="E72" s="21"/>
      <c r="F72" s="109"/>
      <c r="G72" s="109"/>
      <c r="H72" s="21"/>
      <c r="I72" s="109"/>
      <c r="J72" s="109"/>
      <c r="K72" s="21"/>
      <c r="L72" s="109"/>
      <c r="M72" s="109"/>
      <c r="N72" s="21"/>
      <c r="O72" s="109">
        <f t="shared" ref="O72:Q72" si="77">O71/O70</f>
        <v>1.6919739696312365E-2</v>
      </c>
      <c r="P72" s="109">
        <f t="shared" si="77"/>
        <v>3.8842493688094774E-2</v>
      </c>
      <c r="Q72" s="21">
        <f t="shared" si="77"/>
        <v>6.1565352495630221E-2</v>
      </c>
      <c r="R72" s="109">
        <f t="shared" ref="R72:T72" si="78">R71/R70</f>
        <v>3.2655455612045373E-2</v>
      </c>
      <c r="S72" s="109">
        <f t="shared" si="78"/>
        <v>3.0222222222222234E-2</v>
      </c>
      <c r="T72" s="21">
        <f t="shared" si="78"/>
        <v>5.9911111111111116E-2</v>
      </c>
      <c r="U72" s="109">
        <f t="shared" ref="U72" si="79">U71/U70</f>
        <v>2.7243316873829391E-2</v>
      </c>
      <c r="V72" s="110">
        <v>0.03</v>
      </c>
      <c r="W72" s="21">
        <f t="shared" ref="W72" si="80">W71/W70</f>
        <v>5.7715226052312496E-2</v>
      </c>
      <c r="X72" s="110">
        <v>0.03</v>
      </c>
      <c r="Y72" s="110">
        <v>0.03</v>
      </c>
      <c r="Z72" s="21">
        <f t="shared" ref="Z72" si="81">Z71/Z70</f>
        <v>6.054814544125707E-2</v>
      </c>
      <c r="AA72" s="110">
        <v>0.03</v>
      </c>
      <c r="AB72" s="110">
        <v>0.03</v>
      </c>
      <c r="AC72" s="21">
        <f t="shared" ref="AC72" si="82">AC71/AC70</f>
        <v>6.0579934274115593E-2</v>
      </c>
      <c r="AD72" s="110">
        <v>0.03</v>
      </c>
      <c r="AE72" s="110">
        <v>0.03</v>
      </c>
      <c r="AF72" s="21">
        <f t="shared" ref="AF72" si="83">AF71/AF70</f>
        <v>6.061563718448594E-2</v>
      </c>
      <c r="AG72" s="110">
        <v>0.03</v>
      </c>
      <c r="AH72" s="110">
        <v>0.03</v>
      </c>
      <c r="AI72" s="111">
        <f t="shared" ref="AI72" si="84">AI71/AI70</f>
        <v>6.0656024491581015E-2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FF61-E815-4EB9-9F8D-8802DE3B0921}">
  <dimension ref="B1:AL67"/>
  <sheetViews>
    <sheetView showGridLines="0" zoomScale="97" workbookViewId="0">
      <pane xSplit="2" ySplit="2" topLeftCell="T54" activePane="bottomRight" state="frozen"/>
      <selection pane="topRight" activeCell="C1" sqref="C1"/>
      <selection pane="bottomLeft" activeCell="A3" sqref="A3"/>
      <selection pane="bottomRight" activeCell="V61" sqref="V61:W61"/>
    </sheetView>
  </sheetViews>
  <sheetFormatPr defaultRowHeight="14.4" x14ac:dyDescent="0.3"/>
  <cols>
    <col min="1" max="1" width="1" customWidth="1"/>
    <col min="2" max="2" width="30.77734375" bestFit="1" customWidth="1"/>
  </cols>
  <sheetData>
    <row r="1" spans="2:37" ht="15" thickBot="1" x14ac:dyDescent="0.35"/>
    <row r="2" spans="2:37" x14ac:dyDescent="0.3">
      <c r="B2" s="71" t="s">
        <v>78</v>
      </c>
      <c r="C2" s="77" t="str">
        <f>'Financial Statements'!C3</f>
        <v>H1'20</v>
      </c>
      <c r="D2" s="78" t="str">
        <f>'Financial Statements'!D3</f>
        <v>H2'20</v>
      </c>
      <c r="E2" s="79" t="str">
        <f>'Financial Statements'!E3</f>
        <v>FY20</v>
      </c>
      <c r="F2" s="80" t="str">
        <f>'Financial Statements'!F3</f>
        <v>H1'21</v>
      </c>
      <c r="G2" s="78" t="str">
        <f>'Financial Statements'!G3</f>
        <v>H2'21</v>
      </c>
      <c r="H2" s="79" t="str">
        <f>'Financial Statements'!H3</f>
        <v>FY21</v>
      </c>
      <c r="I2" s="80" t="str">
        <f>'Financial Statements'!I3</f>
        <v>H1'22</v>
      </c>
      <c r="J2" s="78" t="str">
        <f>'Financial Statements'!J3</f>
        <v>H2'22</v>
      </c>
      <c r="K2" s="79" t="str">
        <f>'Financial Statements'!K3</f>
        <v>FY22</v>
      </c>
      <c r="L2" s="80" t="str">
        <f>'Financial Statements'!L3</f>
        <v>H1'23</v>
      </c>
      <c r="M2" s="78" t="str">
        <f>'Financial Statements'!M3</f>
        <v>H2'23</v>
      </c>
      <c r="N2" s="79" t="str">
        <f>'Financial Statements'!N3</f>
        <v>FY23</v>
      </c>
      <c r="O2" s="80" t="str">
        <f>'Financial Statements'!O3</f>
        <v>H1'24</v>
      </c>
      <c r="P2" s="78" t="str">
        <f>'Financial Statements'!P3</f>
        <v>H2'24</v>
      </c>
      <c r="Q2" s="79" t="str">
        <f>'Financial Statements'!Q3</f>
        <v>FY24</v>
      </c>
      <c r="R2" s="80" t="str">
        <f>'Financial Statements'!R3</f>
        <v>H1'25</v>
      </c>
      <c r="S2" s="80" t="str">
        <f>'Financial Statements'!S3</f>
        <v>H2'25</v>
      </c>
      <c r="T2" s="78" t="str">
        <f>'Financial Statements'!T3</f>
        <v>FY25</v>
      </c>
      <c r="U2" s="80" t="str">
        <f>'Financial Statements'!U3</f>
        <v>H1'26</v>
      </c>
      <c r="V2" s="186" t="str">
        <f>'Financial Statements'!V3</f>
        <v>H2'26</v>
      </c>
      <c r="W2" s="187" t="str">
        <f>'Financial Statements'!W3</f>
        <v>FY26</v>
      </c>
      <c r="X2" s="185" t="str">
        <f>'Financial Statements'!X3</f>
        <v>H1'27</v>
      </c>
      <c r="Y2" s="186" t="str">
        <f>'Financial Statements'!Y3</f>
        <v>H2'27</v>
      </c>
      <c r="Z2" s="187" t="str">
        <f>'Financial Statements'!Z3</f>
        <v>FY27</v>
      </c>
      <c r="AA2" s="185" t="str">
        <f>'Financial Statements'!AA3</f>
        <v>H1'28</v>
      </c>
      <c r="AB2" s="186" t="str">
        <f>'Financial Statements'!AB3</f>
        <v>H2'28</v>
      </c>
      <c r="AC2" s="187" t="str">
        <f>'Financial Statements'!AC3</f>
        <v>FY28</v>
      </c>
      <c r="AD2" s="185" t="str">
        <f>'Financial Statements'!AD3</f>
        <v>H1'29</v>
      </c>
      <c r="AE2" s="186" t="str">
        <f>'Financial Statements'!AE3</f>
        <v>H2'29</v>
      </c>
      <c r="AF2" s="187" t="str">
        <f>'Financial Statements'!AF3</f>
        <v>FY29</v>
      </c>
      <c r="AG2" s="185" t="str">
        <f>'Financial Statements'!AG3</f>
        <v>H1'30</v>
      </c>
      <c r="AH2" s="186" t="str">
        <f>'Financial Statements'!AH3</f>
        <v>H2'30</v>
      </c>
      <c r="AI2" s="188" t="str">
        <f>'Financial Statements'!AI3</f>
        <v>FY30</v>
      </c>
    </row>
    <row r="4" spans="2:37" x14ac:dyDescent="0.3">
      <c r="B4" s="3" t="s">
        <v>229</v>
      </c>
    </row>
    <row r="6" spans="2:37" x14ac:dyDescent="0.3">
      <c r="B6" t="s">
        <v>231</v>
      </c>
      <c r="C6" s="227">
        <f>Schedules!C60</f>
        <v>1322.47722095672</v>
      </c>
      <c r="D6" s="227">
        <f>Schedules!D60</f>
        <v>1448.599535693558</v>
      </c>
      <c r="E6" s="227">
        <f>Schedules!E60</f>
        <v>1434.8588674906584</v>
      </c>
      <c r="F6" s="227">
        <f>Schedules!F60</f>
        <v>1653.051905387648</v>
      </c>
      <c r="G6" s="227">
        <f>Schedules!G60</f>
        <v>1531.091905564924</v>
      </c>
      <c r="H6" s="227">
        <f>Schedules!H60</f>
        <v>1650.2953650408967</v>
      </c>
      <c r="I6" s="227">
        <f>Schedules!I60</f>
        <v>1384.4007021063189</v>
      </c>
      <c r="J6" s="227">
        <f>Schedules!J60</f>
        <v>1388.082627118644</v>
      </c>
      <c r="K6" s="227">
        <f>Schedules!K60</f>
        <v>1431.9026226323458</v>
      </c>
      <c r="L6" s="227">
        <f>Schedules!L60</f>
        <v>1235.3615447822515</v>
      </c>
      <c r="M6" s="227">
        <f>Schedules!M60</f>
        <v>1646.2170889220072</v>
      </c>
      <c r="N6" s="227">
        <f>Schedules!N60</f>
        <v>1490.3687879469305</v>
      </c>
      <c r="O6" s="227">
        <f>Schedules!O60</f>
        <v>1903.8003393665156</v>
      </c>
      <c r="P6" s="227">
        <f>Schedules!P60</f>
        <v>2148.27990430622</v>
      </c>
      <c r="Q6" s="227">
        <f>Schedules!Q60</f>
        <v>2088.3279069767441</v>
      </c>
      <c r="R6" s="227">
        <f>Schedules!R60</f>
        <v>2452.809945504087</v>
      </c>
      <c r="S6" s="227">
        <f>Schedules!S60</f>
        <v>2694.5790209790212</v>
      </c>
      <c r="T6" s="227">
        <f>Schedules!T60</f>
        <v>2659.246376811594</v>
      </c>
      <c r="U6" s="227">
        <f>Schedules!U60</f>
        <v>2449.8818646232439</v>
      </c>
      <c r="V6" s="227">
        <f>Schedules!V60</f>
        <v>2400.2729511038506</v>
      </c>
      <c r="W6" s="227">
        <f>Schedules!W60</f>
        <v>2500</v>
      </c>
      <c r="X6" s="227">
        <f>Schedules!X60</f>
        <v>2500</v>
      </c>
      <c r="Y6" s="227">
        <f>Schedules!Y60</f>
        <v>2557.8682613556571</v>
      </c>
      <c r="Z6" s="227">
        <f>Schedules!Z60</f>
        <v>2550</v>
      </c>
      <c r="AA6" s="227">
        <f>Schedules!AA60</f>
        <v>2600</v>
      </c>
      <c r="AB6" s="227">
        <f>Schedules!AB60</f>
        <v>2606.93914409936</v>
      </c>
      <c r="AC6" s="227">
        <f>Schedules!AC60</f>
        <v>2600</v>
      </c>
      <c r="AD6" s="227">
        <f>Schedules!AD60</f>
        <v>2600</v>
      </c>
      <c r="AE6" s="227">
        <f>Schedules!AE60</f>
        <v>2605.7827754591958</v>
      </c>
      <c r="AF6" s="227">
        <f>Schedules!AF60</f>
        <v>2600</v>
      </c>
      <c r="AG6" s="227">
        <f>Schedules!AG60</f>
        <v>2600</v>
      </c>
      <c r="AH6" s="227">
        <f>Schedules!AH60</f>
        <v>2596.8359228441554</v>
      </c>
      <c r="AI6" s="227">
        <f>Schedules!AI60</f>
        <v>2600</v>
      </c>
    </row>
    <row r="7" spans="2:37" x14ac:dyDescent="0.3">
      <c r="B7" t="s">
        <v>230</v>
      </c>
      <c r="C7" s="227">
        <f>Schedules!C61</f>
        <v>87.186104218362289</v>
      </c>
      <c r="D7" s="227">
        <f>Schedules!D61</f>
        <v>72.849271311639058</v>
      </c>
      <c r="E7" s="227">
        <f>Schedules!E61</f>
        <v>71.214285714285722</v>
      </c>
      <c r="F7" s="227">
        <f>Schedules!F61</f>
        <v>114.59203806870939</v>
      </c>
      <c r="G7" s="227">
        <f>Schedules!G61</f>
        <v>49.798498446668965</v>
      </c>
      <c r="H7" s="227">
        <f>Schedules!H61</f>
        <v>57.123836863987322</v>
      </c>
      <c r="I7" s="227">
        <f>Schedules!I61</f>
        <v>80.997985433131873</v>
      </c>
      <c r="J7" s="227">
        <f>Schedules!J61</f>
        <v>69.325943678849598</v>
      </c>
      <c r="K7" s="227">
        <f>Schedules!K61</f>
        <v>70.503465610480603</v>
      </c>
      <c r="L7" s="227">
        <f>Schedules!L61</f>
        <v>81.915580671202861</v>
      </c>
      <c r="M7" s="227">
        <f>Schedules!M61</f>
        <v>71.966172585852647</v>
      </c>
      <c r="N7" s="227">
        <f>Schedules!N61</f>
        <v>63.335808847271551</v>
      </c>
      <c r="O7" s="227">
        <f>Schedules!O61</f>
        <v>104.67818438825192</v>
      </c>
      <c r="P7" s="227">
        <f>Schedules!P61</f>
        <v>78.189417040358734</v>
      </c>
      <c r="Q7" s="227">
        <f>Schedules!Q61</f>
        <v>73.003851951096962</v>
      </c>
      <c r="R7" s="227">
        <f>Schedules!R61</f>
        <v>105.25295109612141</v>
      </c>
      <c r="S7" s="227">
        <f>Schedules!S61</f>
        <v>76.097804391217565</v>
      </c>
      <c r="T7" s="227">
        <f>Schedules!T61</f>
        <v>69.698354661791583</v>
      </c>
      <c r="U7" s="227">
        <f>Schedules!U61</f>
        <v>94.902982026143803</v>
      </c>
      <c r="V7" s="227">
        <f>Schedules!V61</f>
        <v>125.4344741063716</v>
      </c>
      <c r="W7" s="227">
        <f>Schedules!W61</f>
        <v>125</v>
      </c>
      <c r="X7" s="227">
        <f>Schedules!X61</f>
        <v>125</v>
      </c>
      <c r="Y7" s="227">
        <f>Schedules!Y61</f>
        <v>125.38569908606163</v>
      </c>
      <c r="Z7" s="227">
        <f>Schedules!Z61</f>
        <v>125</v>
      </c>
      <c r="AA7" s="227">
        <f>Schedules!AA61</f>
        <v>125</v>
      </c>
      <c r="AB7" s="227">
        <f>Schedules!AB61</f>
        <v>125.33361269708459</v>
      </c>
      <c r="AC7" s="227">
        <f>Schedules!AC61</f>
        <v>125</v>
      </c>
      <c r="AD7" s="227">
        <f>Schedules!AD61</f>
        <v>125</v>
      </c>
      <c r="AE7" s="227">
        <f>Schedules!AE61</f>
        <v>125.27801805092288</v>
      </c>
      <c r="AF7" s="227">
        <f>Schedules!AF61</f>
        <v>125</v>
      </c>
      <c r="AG7" s="227">
        <f>Schedules!AG61</f>
        <v>125</v>
      </c>
      <c r="AH7" s="227">
        <f>Schedules!AH61</f>
        <v>124.84788090596902</v>
      </c>
      <c r="AI7" s="227">
        <f>Schedules!AI61</f>
        <v>125</v>
      </c>
    </row>
    <row r="8" spans="2:37" x14ac:dyDescent="0.3">
      <c r="B8" t="s">
        <v>232</v>
      </c>
      <c r="C8" s="227">
        <f>Schedules!C62</f>
        <v>494.70444191343967</v>
      </c>
      <c r="D8" s="227">
        <f>Schedules!D62</f>
        <v>567.5867672663959</v>
      </c>
      <c r="E8" s="227">
        <f>Schedules!E62</f>
        <v>562.20293187697621</v>
      </c>
      <c r="F8" s="227">
        <f>Schedules!F62</f>
        <v>597.98127463863341</v>
      </c>
      <c r="G8" s="227">
        <f>Schedules!G62</f>
        <v>601.25491849353557</v>
      </c>
      <c r="H8" s="227">
        <f>Schedules!H62</f>
        <v>648.06573765525593</v>
      </c>
      <c r="I8" s="227">
        <f>Schedules!I62</f>
        <v>549.97116349047144</v>
      </c>
      <c r="J8" s="227">
        <f>Schedules!J62</f>
        <v>587.11040489642176</v>
      </c>
      <c r="K8" s="227">
        <f>Schedules!K62</f>
        <v>605.64473045167551</v>
      </c>
      <c r="L8" s="227">
        <f>Schedules!L62</f>
        <v>485.79190632703364</v>
      </c>
      <c r="M8" s="227">
        <f>Schedules!M62</f>
        <v>650.49056135121714</v>
      </c>
      <c r="N8" s="227">
        <f>Schedules!N62</f>
        <v>588.90825275466614</v>
      </c>
      <c r="O8" s="227">
        <f>Schedules!O62</f>
        <v>669.79242081447967</v>
      </c>
      <c r="P8" s="227">
        <f>Schedules!P62</f>
        <v>740.20873205741634</v>
      </c>
      <c r="Q8" s="227">
        <f>Schedules!Q62</f>
        <v>719.55174418604645</v>
      </c>
      <c r="R8" s="227">
        <f>Schedules!R62</f>
        <v>788.30551771117166</v>
      </c>
      <c r="S8" s="227">
        <f>Schedules!S62</f>
        <v>817.86923076923074</v>
      </c>
      <c r="T8" s="227">
        <f>Schedules!T62</f>
        <v>807.14492753623188</v>
      </c>
      <c r="U8" s="227">
        <f>Schedules!U62</f>
        <v>733.61270753512133</v>
      </c>
      <c r="V8" s="227">
        <f>Schedules!V62</f>
        <v>614.46987548258585</v>
      </c>
      <c r="W8" s="227">
        <f>Schedules!W62</f>
        <v>640</v>
      </c>
      <c r="X8" s="227">
        <f>Schedules!X62</f>
        <v>640</v>
      </c>
      <c r="Y8" s="227">
        <f>Schedules!Y62</f>
        <v>641.97477932063555</v>
      </c>
      <c r="Z8" s="227">
        <f>Schedules!Z62</f>
        <v>640</v>
      </c>
      <c r="AA8" s="227">
        <f>Schedules!AA62</f>
        <v>630</v>
      </c>
      <c r="AB8" s="227">
        <f>Schedules!AB62</f>
        <v>631.68140799330638</v>
      </c>
      <c r="AC8" s="227">
        <f>Schedules!AC62</f>
        <v>630</v>
      </c>
      <c r="AD8" s="227">
        <f>Schedules!AD62</f>
        <v>620</v>
      </c>
      <c r="AE8" s="227">
        <f>Schedules!AE62</f>
        <v>621.37896953257746</v>
      </c>
      <c r="AF8" s="227">
        <f>Schedules!AF62</f>
        <v>620</v>
      </c>
      <c r="AG8" s="227">
        <f>Schedules!AG62</f>
        <v>605</v>
      </c>
      <c r="AH8" s="227">
        <f>Schedules!AH62</f>
        <v>604.26374358488999</v>
      </c>
      <c r="AI8" s="227">
        <f>Schedules!AI62</f>
        <v>605</v>
      </c>
    </row>
    <row r="9" spans="2:37" x14ac:dyDescent="0.3">
      <c r="B9" t="s">
        <v>233</v>
      </c>
      <c r="C9" s="227">
        <f>C6+C7-C8</f>
        <v>914.95888326164254</v>
      </c>
      <c r="D9" s="227">
        <f t="shared" ref="D9:AI9" si="0">D6+D7-D8</f>
        <v>953.86203973880117</v>
      </c>
      <c r="E9" s="227">
        <f t="shared" si="0"/>
        <v>943.87022132796801</v>
      </c>
      <c r="F9" s="227">
        <f t="shared" si="0"/>
        <v>1169.6626688177239</v>
      </c>
      <c r="G9" s="227">
        <f t="shared" si="0"/>
        <v>979.63548551805729</v>
      </c>
      <c r="H9" s="227">
        <f t="shared" si="0"/>
        <v>1059.3534642496284</v>
      </c>
      <c r="I9" s="227">
        <f t="shared" si="0"/>
        <v>915.42752404897931</v>
      </c>
      <c r="J9" s="227">
        <f t="shared" si="0"/>
        <v>870.29816590107191</v>
      </c>
      <c r="K9" s="227">
        <f t="shared" si="0"/>
        <v>896.76135779115089</v>
      </c>
      <c r="L9" s="227">
        <f t="shared" si="0"/>
        <v>831.4852191264207</v>
      </c>
      <c r="M9" s="227">
        <f t="shared" si="0"/>
        <v>1067.6927001566428</v>
      </c>
      <c r="N9" s="227">
        <f t="shared" si="0"/>
        <v>964.79634403953605</v>
      </c>
      <c r="O9" s="227">
        <f t="shared" si="0"/>
        <v>1338.686102940288</v>
      </c>
      <c r="P9" s="227">
        <f t="shared" si="0"/>
        <v>1486.2605892891625</v>
      </c>
      <c r="Q9" s="227">
        <f t="shared" si="0"/>
        <v>1441.7800147417943</v>
      </c>
      <c r="R9" s="227">
        <f t="shared" si="0"/>
        <v>1769.7573788890365</v>
      </c>
      <c r="S9" s="227">
        <f t="shared" si="0"/>
        <v>1952.8075946010081</v>
      </c>
      <c r="T9" s="227">
        <f t="shared" si="0"/>
        <v>1921.7998039371537</v>
      </c>
      <c r="U9" s="227">
        <f t="shared" ref="U9" si="1">U6+U7-U8</f>
        <v>1811.1721391142664</v>
      </c>
      <c r="V9" s="227">
        <f t="shared" si="0"/>
        <v>1911.2375497276362</v>
      </c>
      <c r="W9" s="227">
        <f t="shared" si="0"/>
        <v>1985</v>
      </c>
      <c r="X9" s="227">
        <f t="shared" si="0"/>
        <v>1985</v>
      </c>
      <c r="Y9" s="227">
        <f t="shared" si="0"/>
        <v>2041.2791811210832</v>
      </c>
      <c r="Z9" s="227">
        <f t="shared" si="0"/>
        <v>2035</v>
      </c>
      <c r="AA9" s="227">
        <f t="shared" si="0"/>
        <v>2095</v>
      </c>
      <c r="AB9" s="227">
        <f t="shared" si="0"/>
        <v>2100.5913488031379</v>
      </c>
      <c r="AC9" s="227">
        <f t="shared" si="0"/>
        <v>2095</v>
      </c>
      <c r="AD9" s="227">
        <f t="shared" si="0"/>
        <v>2105</v>
      </c>
      <c r="AE9" s="227">
        <f t="shared" si="0"/>
        <v>2109.6818239775412</v>
      </c>
      <c r="AF9" s="227">
        <f t="shared" si="0"/>
        <v>2105</v>
      </c>
      <c r="AG9" s="227">
        <f t="shared" si="0"/>
        <v>2120</v>
      </c>
      <c r="AH9" s="227">
        <f t="shared" si="0"/>
        <v>2117.4200601652342</v>
      </c>
      <c r="AI9" s="227">
        <f t="shared" si="0"/>
        <v>2120</v>
      </c>
    </row>
    <row r="10" spans="2:37" x14ac:dyDescent="0.3">
      <c r="B10" t="s">
        <v>234</v>
      </c>
      <c r="C10" s="51">
        <f>'Financial Statements'!C4/('Financial Statements'!C50+'Financial Statements'!C51)</f>
        <v>1.7527601204416192</v>
      </c>
      <c r="D10" s="51">
        <f>'Financial Statements'!D4/('Financial Statements'!D50+'Financial Statements'!D51)</f>
        <v>1.5137503777576304</v>
      </c>
      <c r="E10" s="51">
        <f>'Financial Statements'!E4/('Financial Statements'!E50+'Financial Statements'!E51)</f>
        <v>3.0970081595648229</v>
      </c>
      <c r="F10" s="51">
        <f>'Financial Statements'!F4/('Financial Statements'!F50+'Financial Statements'!F51)</f>
        <v>1.321472392638037</v>
      </c>
      <c r="G10" s="51">
        <f>'Financial Statements'!G4/('Financial Statements'!G50+'Financial Statements'!G51)</f>
        <v>1.6367231638418083</v>
      </c>
      <c r="H10" s="51">
        <f>'Financial Statements'!H4/('Financial Statements'!H50+'Financial Statements'!H51)</f>
        <v>2.8536723163841811</v>
      </c>
      <c r="I10" s="51">
        <f>'Financial Statements'!I4/('Financial Statements'!I50+'Financial Statements'!I51)</f>
        <v>1.8228813559322032</v>
      </c>
      <c r="J10" s="51">
        <f>'Financial Statements'!J4/('Financial Statements'!J50+'Financial Statements'!J51)</f>
        <v>1.7017588580168244</v>
      </c>
      <c r="K10" s="51">
        <f>'Financial Statements'!K4/('Financial Statements'!K50+'Financial Statements'!K51)</f>
        <v>3.3466734641855731</v>
      </c>
      <c r="L10" s="51">
        <f>'Financial Statements'!L4/('Financial Statements'!L50+'Financial Statements'!L51)</f>
        <v>2.1585760517799355</v>
      </c>
      <c r="M10" s="51">
        <f>'Financial Statements'!M4/('Financial Statements'!M50+'Financial Statements'!M51)</f>
        <v>1.5172567356936093</v>
      </c>
      <c r="N10" s="51">
        <f>'Financial Statements'!N4/('Financial Statements'!N50+'Financial Statements'!N51)</f>
        <v>3.4480071253618347</v>
      </c>
      <c r="O10" s="51">
        <f>'Financial Statements'!O4/('Financial Statements'!O50+'Financial Statements'!O51)</f>
        <v>1.3739749676305568</v>
      </c>
      <c r="P10" s="51">
        <f>'Financial Statements'!P4/('Financial Statements'!P50+'Financial Statements'!P51)</f>
        <v>1.1447638603696098</v>
      </c>
      <c r="Q10" s="51">
        <f>'Financial Statements'!Q4/('Financial Statements'!Q50+'Financial Statements'!Q51)</f>
        <v>2.4521560574948666</v>
      </c>
      <c r="R10" s="51">
        <f>'Financial Statements'!R4/('Financial Statements'!R50+'Financial Statements'!R51)</f>
        <v>1.1072614107883818</v>
      </c>
      <c r="S10" s="51">
        <f>'Financial Statements'!S4/('Financial Statements'!S50+'Financial Statements'!S51)</f>
        <v>0.907791423394403</v>
      </c>
      <c r="T10" s="51">
        <f>'Financial Statements'!T4/('Financial Statements'!T50+'Financial Statements'!T51)</f>
        <v>1.9822830682504531</v>
      </c>
      <c r="U10" s="51">
        <f>'Financial Statements'!U4/('Financial Statements'!U50+'Financial Statements'!U51)</f>
        <v>1.0268456375838926</v>
      </c>
      <c r="V10" s="51">
        <f>'Financial Statements'!V4/('Financial Statements'!V50+'Financial Statements'!V51)</f>
        <v>1.0023645925458642</v>
      </c>
      <c r="W10" s="51">
        <f>'Financial Statements'!W4/('Financial Statements'!W50+'Financial Statements'!W51)</f>
        <v>2.0116972084614066</v>
      </c>
      <c r="X10" s="51">
        <f>'Financial Statements'!X4/('Financial Statements'!X50+'Financial Statements'!X51)</f>
        <v>1.0312347210559996</v>
      </c>
      <c r="Y10" s="51">
        <f>'Financial Statements'!Y4/('Financial Statements'!Y50+'Financial Statements'!Y51)</f>
        <v>1.0080096582771907</v>
      </c>
      <c r="Z10" s="51">
        <f>'Financial Statements'!Z4/('Financial Statements'!Z50+'Financial Statements'!Z51)</f>
        <v>2.0222399310174026</v>
      </c>
      <c r="AA10" s="51">
        <f>'Financial Statements'!AA4/('Financial Statements'!AA50+'Financial Statements'!AA51)</f>
        <v>1.0368679277471244</v>
      </c>
      <c r="AB10" s="51">
        <f>'Financial Statements'!AB4/('Financial Statements'!AB50+'Financial Statements'!AB51)</f>
        <v>1.0148964816320418</v>
      </c>
      <c r="AC10" s="51">
        <f>'Financial Statements'!AC4/('Financial Statements'!AC50+'Financial Statements'!AC51)</f>
        <v>2.0352102809040669</v>
      </c>
      <c r="AD10" s="51">
        <f>'Financial Statements'!AD4/('Financial Statements'!AD50+'Financial Statements'!AD51)</f>
        <v>1.0436804752919384</v>
      </c>
      <c r="AE10" s="51">
        <f>'Financial Statements'!AE4/('Financial Statements'!AE50+'Financial Statements'!AE51)</f>
        <v>1.0229737429128407</v>
      </c>
      <c r="AF10" s="51">
        <f>'Financial Statements'!AF4/('Financial Statements'!AF50+'Financial Statements'!AF51)</f>
        <v>2.0504979684840801</v>
      </c>
      <c r="AG10" s="51">
        <f>'Financial Statements'!AG4/('Financial Statements'!AG50+'Financial Statements'!AG51)</f>
        <v>1.0658742890629811</v>
      </c>
      <c r="AH10" s="51">
        <f>'Financial Statements'!AH4/('Financial Statements'!AH50+'Financial Statements'!AH51)</f>
        <v>1.0513394515007128</v>
      </c>
      <c r="AI10" s="51">
        <f>'Financial Statements'!AI4/('Financial Statements'!AI50+'Financial Statements'!AI51)</f>
        <v>2.1001200421233248</v>
      </c>
    </row>
    <row r="11" spans="2:37" x14ac:dyDescent="0.3">
      <c r="B11" t="s">
        <v>235</v>
      </c>
      <c r="C11" s="51">
        <f>'Financial Statements'!C4/('Financial Statements'!C62-'Financial Statements'!C86)</f>
        <v>0.49677602882609523</v>
      </c>
      <c r="D11" s="51">
        <f>'Financial Statements'!D4/('Financial Statements'!D62-'Financial Statements'!D86)</f>
        <v>0.49761573614146626</v>
      </c>
      <c r="E11" s="51">
        <f>'Financial Statements'!E4/('Financial Statements'!E62-'Financial Statements'!E86)</f>
        <v>1.0179795371014202</v>
      </c>
      <c r="F11" s="51">
        <f>'Financial Statements'!F4/('Financial Statements'!F62-'Financial Statements'!F86)</f>
        <v>0.38228769189812761</v>
      </c>
      <c r="G11" s="51">
        <f>'Financial Statements'!G4/('Financial Statements'!G62-'Financial Statements'!G86)</f>
        <v>0.50762221832836874</v>
      </c>
      <c r="H11" s="51">
        <f>'Financial Statements'!H4/('Financial Statements'!H62-'Financial Statements'!H86)</f>
        <v>0.88505344314000345</v>
      </c>
      <c r="I11" s="51">
        <f>'Financial Statements'!I4/('Financial Statements'!I62-'Financial Statements'!I86)</f>
        <v>0.60591549295774638</v>
      </c>
      <c r="J11" s="51">
        <f>'Financial Statements'!J4/('Financial Statements'!J62-'Financial Statements'!J86)</f>
        <v>0.59137213216405371</v>
      </c>
      <c r="K11" s="51">
        <f>'Financial Statements'!K4/('Financial Statements'!K62-'Financial Statements'!K86)</f>
        <v>1.1629905217468335</v>
      </c>
      <c r="L11" s="51">
        <f>'Financial Statements'!L4/('Financial Statements'!L62-'Financial Statements'!L86)</f>
        <v>0.76524578589709658</v>
      </c>
      <c r="M11" s="51">
        <f>'Financial Statements'!M4/('Financial Statements'!M62-'Financial Statements'!M86)</f>
        <v>0.59396792189679215</v>
      </c>
      <c r="N11" s="51">
        <f>'Financial Statements'!N4/('Financial Statements'!N62-'Financial Statements'!N86)</f>
        <v>1.3498082287308228</v>
      </c>
      <c r="O11" s="51">
        <f>'Financial Statements'!O4/('Financial Statements'!O62-'Financial Statements'!O86)</f>
        <v>0.42070833883969883</v>
      </c>
      <c r="P11" s="51">
        <f>'Financial Statements'!P4/('Financial Statements'!P62-'Financial Statements'!P86)</f>
        <v>0.39864140150160882</v>
      </c>
      <c r="Q11" s="51">
        <f>'Financial Statements'!Q4/('Financial Statements'!Q62-'Financial Statements'!Q86)</f>
        <v>0.85391490883089016</v>
      </c>
      <c r="R11" s="51">
        <f>'Financial Statements'!R4/('Financial Statements'!R62-'Financial Statements'!R86)</f>
        <v>0.36652702424284039</v>
      </c>
      <c r="S11" s="51">
        <f>'Financial Statements'!S4/('Financial Statements'!S62-'Financial Statements'!S86)</f>
        <v>0.29682048581396892</v>
      </c>
      <c r="T11" s="51">
        <f>'Financial Statements'!T4/('Financial Statements'!T62-'Financial Statements'!T86)</f>
        <v>0.64818959842001334</v>
      </c>
      <c r="U11" s="51">
        <f>'Financial Statements'!U4/('Financial Statements'!U62-'Financial Statements'!U86)</f>
        <v>0.31202600216684728</v>
      </c>
      <c r="V11" s="51">
        <f>'Financial Statements'!V4/('Financial Statements'!V62-'Financial Statements'!V86)</f>
        <v>0.29866797107086634</v>
      </c>
      <c r="W11" s="51">
        <f>'Financial Statements'!W4/('Financial Statements'!W62-'Financial Statements'!W86)</f>
        <v>0.59937534060442577</v>
      </c>
      <c r="X11" s="51">
        <f>'Financial Statements'!X4/('Financial Statements'!X62-'Financial Statements'!X86)</f>
        <v>0.30306667770302148</v>
      </c>
      <c r="Y11" s="51">
        <f>'Financial Statements'!Y4/('Financial Statements'!Y62-'Financial Statements'!Y86)</f>
        <v>0.29028743299821752</v>
      </c>
      <c r="Z11" s="51">
        <f>'Financial Statements'!Z4/('Financial Statements'!Z62-'Financial Statements'!Z86)</f>
        <v>0.58236628355807651</v>
      </c>
      <c r="AA11" s="51">
        <f>'Financial Statements'!AA4/('Financial Statements'!AA62-'Financial Statements'!AA86)</f>
        <v>0.29424476541569655</v>
      </c>
      <c r="AB11" s="51">
        <f>'Financial Statements'!AB4/('Financial Statements'!AB62-'Financial Statements'!AB86)</f>
        <v>0.2820717310049099</v>
      </c>
      <c r="AC11" s="51">
        <f>'Financial Statements'!AC4/('Financial Statements'!AC62-'Financial Statements'!AC86)</f>
        <v>0.56564910538504964</v>
      </c>
      <c r="AD11" s="51">
        <f>'Financial Statements'!AD4/('Financial Statements'!AD62-'Financial Statements'!AD86)</f>
        <v>0.28561086480205572</v>
      </c>
      <c r="AE11" s="51">
        <f>'Financial Statements'!AE4/('Financial Statements'!AE62-'Financial Statements'!AE86)</f>
        <v>0.27406247907711651</v>
      </c>
      <c r="AF11" s="51">
        <f>'Financial Statements'!AF4/('Financial Statements'!AF62-'Financial Statements'!AF86)</f>
        <v>0.54934406721445894</v>
      </c>
      <c r="AG11" s="51">
        <f>'Financial Statements'!AG4/('Financial Statements'!AG62-'Financial Statements'!AG86)</f>
        <v>0.2810368305832513</v>
      </c>
      <c r="AH11" s="51">
        <f>'Financial Statements'!AH4/('Financial Statements'!AH62-'Financial Statements'!AH86)</f>
        <v>0.27138425795850402</v>
      </c>
      <c r="AI11" s="51">
        <f>'Financial Statements'!AI4/('Financial Statements'!AI62-'Financial Statements'!AI86)</f>
        <v>0.54210799227772932</v>
      </c>
    </row>
    <row r="12" spans="2:37" x14ac:dyDescent="0.3">
      <c r="B12" t="s">
        <v>236</v>
      </c>
      <c r="C12" s="51">
        <f>'Financial Statements'!C4/'Financial Statements'!C63</f>
        <v>0.20296761196342786</v>
      </c>
      <c r="D12" s="51">
        <f>'Financial Statements'!D4/'Financial Statements'!D63</f>
        <v>0.17961130235226619</v>
      </c>
      <c r="E12" s="51">
        <f>'Financial Statements'!E4/'Financial Statements'!E63</f>
        <v>0.36748305662136477</v>
      </c>
      <c r="F12" s="51">
        <f>'Financial Statements'!F4/'Financial Statements'!F63</f>
        <v>0.16466001605320491</v>
      </c>
      <c r="G12" s="51">
        <f>'Financial Statements'!G4/'Financial Statements'!G63</f>
        <v>0.20833483154147639</v>
      </c>
      <c r="H12" s="51">
        <f>'Financial Statements'!H4/'Financial Statements'!H63</f>
        <v>0.36323756786882883</v>
      </c>
      <c r="I12" s="51">
        <f>'Financial Statements'!I4/'Financial Statements'!I63</f>
        <v>0.22766723116003384</v>
      </c>
      <c r="J12" s="51">
        <f>'Financial Statements'!J4/'Financial Statements'!J63</f>
        <v>0.22413966761792853</v>
      </c>
      <c r="K12" s="51">
        <f>'Financial Statements'!K4/'Financial Statements'!K63</f>
        <v>0.44077754649835499</v>
      </c>
      <c r="L12" s="51">
        <f>'Financial Statements'!L4/'Financial Statements'!L63</f>
        <v>0.27567241050422842</v>
      </c>
      <c r="M12" s="51">
        <f>'Financial Statements'!M4/'Financial Statements'!M63</f>
        <v>0.21380608722936931</v>
      </c>
      <c r="N12" s="51">
        <f>'Financial Statements'!N4/'Financial Statements'!N63</f>
        <v>0.48588013806087227</v>
      </c>
      <c r="O12" s="51">
        <f>'Financial Statements'!O4/'Financial Statements'!O63</f>
        <v>0.17967096537517285</v>
      </c>
      <c r="P12" s="51">
        <f>'Financial Statements'!P4/'Financial Statements'!P63</f>
        <v>0.16539591182840357</v>
      </c>
      <c r="Q12" s="51">
        <f>'Financial Statements'!Q4/'Financial Statements'!Q63</f>
        <v>0.35428842673628624</v>
      </c>
      <c r="R12" s="51">
        <f>'Financial Statements'!R4/'Financial Statements'!R63</f>
        <v>0.15820364606491774</v>
      </c>
      <c r="S12" s="51">
        <f>'Financial Statements'!S4/'Financial Statements'!S63</f>
        <v>0.13168039250043809</v>
      </c>
      <c r="T12" s="51">
        <f>'Financial Statements'!T4/'Financial Statements'!T63</f>
        <v>0.28754161555983887</v>
      </c>
      <c r="U12" s="51">
        <f>'Financial Statements'!U4/'Financial Statements'!U63</f>
        <v>0.1414742682116335</v>
      </c>
      <c r="V12" s="51">
        <f>'Financial Statements'!V4/'Financial Statements'!V63</f>
        <v>0.14006398301342499</v>
      </c>
      <c r="W12" s="51">
        <f>'Financial Statements'!W4/'Financial Statements'!W63</f>
        <v>0.28110163280852357</v>
      </c>
      <c r="X12" s="51">
        <f>'Financial Statements'!X4/'Financial Statements'!X63</f>
        <v>0.14208233217172755</v>
      </c>
      <c r="Y12" s="51">
        <f>'Financial Statements'!Y4/'Financial Statements'!Y63</f>
        <v>0.13852194308822491</v>
      </c>
      <c r="Z12" s="51">
        <f>'Financial Statements'!Z4/'Financial Statements'!Z63</f>
        <v>0.27789873076602756</v>
      </c>
      <c r="AA12" s="51">
        <f>'Financial Statements'!AA4/'Financial Statements'!AA63</f>
        <v>0.1418589379151684</v>
      </c>
      <c r="AB12" s="51">
        <f>'Financial Statements'!AB4/'Financial Statements'!AB63</f>
        <v>0.13835229711606326</v>
      </c>
      <c r="AC12" s="51">
        <f>'Financial Statements'!AC4/'Financial Statements'!AC63</f>
        <v>0.27744309155994629</v>
      </c>
      <c r="AD12" s="51">
        <f>'Financial Statements'!AD4/'Financial Statements'!AD63</f>
        <v>0.14140196571222716</v>
      </c>
      <c r="AE12" s="51">
        <f>'Financial Statements'!AE4/'Financial Statements'!AE63</f>
        <v>0.13797014638763708</v>
      </c>
      <c r="AF12" s="51">
        <f>'Financial Statements'!AF4/'Financial Statements'!AF63</f>
        <v>0.2765540238342219</v>
      </c>
      <c r="AG12" s="51">
        <f>'Financial Statements'!AG4/'Financial Statements'!AG63</f>
        <v>0.1427463618372336</v>
      </c>
      <c r="AH12" s="51">
        <f>'Financial Statements'!AH4/'Financial Statements'!AH63</f>
        <v>0.14005076333296002</v>
      </c>
      <c r="AI12" s="51">
        <f>'Financial Statements'!AI4/'Financial Statements'!AI63</f>
        <v>0.27976065634213509</v>
      </c>
    </row>
    <row r="13" spans="2:37" x14ac:dyDescent="0.3">
      <c r="B13" t="s">
        <v>237</v>
      </c>
      <c r="C13" s="51">
        <f>'Financial Statements'!C4/'Financial Statements'!C72</f>
        <v>0.37870464074020527</v>
      </c>
      <c r="D13" s="51">
        <f>'Financial Statements'!D4/'Financial Statements'!D72</f>
        <v>0.35694434547138881</v>
      </c>
      <c r="E13" s="51">
        <f>'Financial Statements'!E4/'Financial Statements'!E72</f>
        <v>0.73027862894605555</v>
      </c>
      <c r="F13" s="51">
        <f>'Financial Statements'!F4/'Financial Statements'!F72</f>
        <v>0.29392099338200184</v>
      </c>
      <c r="G13" s="51">
        <f>'Financial Statements'!G4/'Financial Statements'!G72</f>
        <v>0.37399948360444119</v>
      </c>
      <c r="H13" s="51">
        <f>'Financial Statements'!H4/'Financial Statements'!H72</f>
        <v>0.65207849212496793</v>
      </c>
      <c r="I13" s="51">
        <f>'Financial Statements'!I4/'Financial Statements'!I72</f>
        <v>0.40700094607379372</v>
      </c>
      <c r="J13" s="51">
        <f>'Financial Statements'!J4/'Financial Statements'!J72</f>
        <v>0.4017572365649637</v>
      </c>
      <c r="K13" s="51">
        <f>'Financial Statements'!K4/'Financial Statements'!K72</f>
        <v>0.79009448155503414</v>
      </c>
      <c r="L13" s="51">
        <f>'Financial Statements'!L4/'Financial Statements'!L72</f>
        <v>0.49827606022296289</v>
      </c>
      <c r="M13" s="51">
        <f>'Financial Statements'!M4/'Financial Statements'!M72</f>
        <v>0.38821786690975385</v>
      </c>
      <c r="N13" s="51">
        <f>'Financial Statements'!N4/'Financial Statements'!N72</f>
        <v>0.8822859096347786</v>
      </c>
      <c r="O13" s="51">
        <f>'Financial Statements'!O4/'Financial Statements'!O72</f>
        <v>0.35805871105612419</v>
      </c>
      <c r="P13" s="51">
        <f>'Financial Statements'!P4/'Financial Statements'!P72</f>
        <v>0.30206978760294756</v>
      </c>
      <c r="Q13" s="51">
        <f>'Financial Statements'!Q4/'Financial Statements'!Q72</f>
        <v>0.64708751015984833</v>
      </c>
      <c r="R13" s="51">
        <f>'Financial Statements'!R4/'Financial Statements'!R72</f>
        <v>0.280924307821876</v>
      </c>
      <c r="S13" s="51">
        <f>'Financial Statements'!S4/'Financial Statements'!S72</f>
        <v>0.23371170890996731</v>
      </c>
      <c r="T13" s="51">
        <f>'Financial Statements'!T4/'Financial Statements'!T72</f>
        <v>0.51034053801897061</v>
      </c>
      <c r="U13" s="51">
        <f>'Financial Statements'!U4/'Financial Statements'!U72</f>
        <v>0.25440374123148868</v>
      </c>
      <c r="V13" s="51">
        <f>'Financial Statements'!V4/'Financial Statements'!V72</f>
        <v>0.24289932855435825</v>
      </c>
      <c r="W13" s="51">
        <f>'Financial Statements'!W4/'Financial Statements'!W72</f>
        <v>0.48748719260810719</v>
      </c>
      <c r="X13" s="51">
        <f>'Financial Statements'!X4/'Financial Statements'!X72</f>
        <v>0.2445043489879494</v>
      </c>
      <c r="Y13" s="51">
        <f>'Financial Statements'!Y4/'Financial Statements'!Y72</f>
        <v>0.23385522443084258</v>
      </c>
      <c r="Z13" s="51">
        <f>'Financial Statements'!Z4/'Financial Statements'!Z72</f>
        <v>0.46915361280302459</v>
      </c>
      <c r="AA13" s="51">
        <f>'Financial Statements'!AA4/'Financial Statements'!AA72</f>
        <v>0.23545194275265638</v>
      </c>
      <c r="AB13" s="51">
        <f>'Financial Statements'!AB4/'Financial Statements'!AB72</f>
        <v>0.22557868946331125</v>
      </c>
      <c r="AC13" s="51">
        <f>'Financial Statements'!AC4/'Financial Statements'!AC72</f>
        <v>0.45236147356656919</v>
      </c>
      <c r="AD13" s="51">
        <f>'Financial Statements'!AD4/'Financial Statements'!AD72</f>
        <v>0.22714400274343766</v>
      </c>
      <c r="AE13" s="51">
        <f>'Financial Statements'!AE4/'Financial Statements'!AE72</f>
        <v>0.21798940032654199</v>
      </c>
      <c r="AF13" s="51">
        <f>'Financial Statements'!AF4/'Financial Statements'!AF72</f>
        <v>0.43694848046429413</v>
      </c>
      <c r="AG13" s="51">
        <f>'Financial Statements'!AG4/'Financial Statements'!AG72</f>
        <v>0.22251668580382583</v>
      </c>
      <c r="AH13" s="51">
        <f>'Financial Statements'!AH4/'Financial Statements'!AH72</f>
        <v>0.21502075842382082</v>
      </c>
      <c r="AI13" s="51">
        <f>'Financial Statements'!AI4/'Financial Statements'!AI72</f>
        <v>0.42951817664013303</v>
      </c>
    </row>
    <row r="14" spans="2:37" x14ac:dyDescent="0.3">
      <c r="T14">
        <f>'Financial Statements'!T57/'Financial Statements'!T4</f>
        <v>2.1385334145846029</v>
      </c>
    </row>
    <row r="16" spans="2:37" x14ac:dyDescent="0.3">
      <c r="B16" s="3" t="s">
        <v>238</v>
      </c>
    </row>
    <row r="18" spans="2:37" x14ac:dyDescent="0.3">
      <c r="B18" t="s">
        <v>239</v>
      </c>
      <c r="C18" s="51">
        <f>'Financial Statements'!C62/'Financial Statements'!C86</f>
        <v>2.7748232918209355</v>
      </c>
      <c r="D18" s="51">
        <f>'Financial Statements'!D62/'Financial Statements'!D86</f>
        <v>2.1960551330798479</v>
      </c>
      <c r="E18" s="51">
        <f>'Financial Statements'!E62/'Financial Statements'!E86</f>
        <v>2.196316102198455</v>
      </c>
      <c r="F18" s="51">
        <f>'Financial Statements'!F62/'Financial Statements'!F86</f>
        <v>2.8030400000000002</v>
      </c>
      <c r="G18" s="51">
        <f>'Financial Statements'!G62/'Financial Statements'!G86</f>
        <v>2.5857182550708528</v>
      </c>
      <c r="H18" s="51">
        <f>'Financial Statements'!H62/'Financial Statements'!H86</f>
        <v>2.5857182550708528</v>
      </c>
      <c r="I18" s="51">
        <f>'Financial Statements'!I62/'Financial Statements'!I86</f>
        <v>2.2675553439657228</v>
      </c>
      <c r="J18" s="51">
        <f>'Financial Statements'!J62/'Financial Statements'!J86</f>
        <v>2.3017758302583022</v>
      </c>
      <c r="K18" s="51">
        <f>'Financial Statements'!K62/'Financial Statements'!K86</f>
        <v>2.3017758302583022</v>
      </c>
      <c r="L18" s="51">
        <f>'Financial Statements'!L62/'Financial Statements'!L86</f>
        <v>2.1153656855989764</v>
      </c>
      <c r="M18" s="51">
        <f>'Financial Statements'!M62/'Financial Statements'!M86</f>
        <v>2.108084613155607</v>
      </c>
      <c r="N18" s="51">
        <f>'Financial Statements'!N62/'Financial Statements'!N86</f>
        <v>2.108084613155607</v>
      </c>
      <c r="O18" s="51">
        <f>'Financial Statements'!O62/'Financial Statements'!O86</f>
        <v>2.5030290992154129</v>
      </c>
      <c r="P18" s="51">
        <f>'Financial Statements'!P62/'Financial Statements'!P86</f>
        <v>2.4958819125040117</v>
      </c>
      <c r="Q18" s="51">
        <f>'Financial Statements'!Q62/'Financial Statements'!Q86</f>
        <v>2.4958819125040117</v>
      </c>
      <c r="R18" s="51">
        <f>'Financial Statements'!R62/'Financial Statements'!R86</f>
        <v>2.6390139576767226</v>
      </c>
      <c r="S18" s="51">
        <f>'Financial Statements'!S62/'Financial Statements'!S86</f>
        <v>2.7561849710982651</v>
      </c>
      <c r="T18" s="51">
        <f>'Financial Statements'!T62/'Financial Statements'!T86</f>
        <v>2.7560693641618488</v>
      </c>
      <c r="U18" s="51">
        <f>'Financial Statements'!U62/'Financial Statements'!U86</f>
        <v>2.7905968275704667</v>
      </c>
      <c r="V18" s="51">
        <f>'Financial Statements'!V62/'Financial Statements'!V86</f>
        <v>2.985854650141528</v>
      </c>
      <c r="W18" s="51">
        <f>'Financial Statements'!W62/'Financial Statements'!W86</f>
        <v>2.9859766342596639</v>
      </c>
      <c r="X18" s="51">
        <f>'Financial Statements'!X62/'Financial Statements'!X86</f>
        <v>2.9275195976648347</v>
      </c>
      <c r="Y18" s="51">
        <f>'Financial Statements'!Y62/'Financial Statements'!Y86</f>
        <v>3.0044390947063131</v>
      </c>
      <c r="Z18" s="51">
        <f>'Financial Statements'!Z62/'Financial Statements'!Z86</f>
        <v>3.0044390947063131</v>
      </c>
      <c r="AA18" s="51">
        <f>'Financial Statements'!AA62/'Financial Statements'!AA86</f>
        <v>3.0344718448180776</v>
      </c>
      <c r="AB18" s="51">
        <f>'Financial Statements'!AB62/'Financial Statements'!AB86</f>
        <v>3.1150530534562137</v>
      </c>
      <c r="AC18" s="51">
        <f>'Financial Statements'!AC62/'Financial Statements'!AC86</f>
        <v>3.1150530534562137</v>
      </c>
      <c r="AD18" s="51">
        <f>'Financial Statements'!AD62/'Financial Statements'!AD86</f>
        <v>3.1395676738961424</v>
      </c>
      <c r="AE18" s="51">
        <f>'Financial Statements'!AE62/'Financial Statements'!AE86</f>
        <v>3.2234270873177313</v>
      </c>
      <c r="AF18" s="51">
        <f>'Financial Statements'!AF62/'Financial Statements'!AF86</f>
        <v>3.2234270873177313</v>
      </c>
      <c r="AG18" s="51">
        <f>'Financial Statements'!AG62/'Financial Statements'!AG86</f>
        <v>3.2461740550397749</v>
      </c>
      <c r="AH18" s="51">
        <f>'Financial Statements'!AH62/'Financial Statements'!AH86</f>
        <v>3.3296594504394452</v>
      </c>
      <c r="AI18" s="51">
        <f>'Financial Statements'!AI62/'Financial Statements'!AI86</f>
        <v>3.3296594504394452</v>
      </c>
    </row>
    <row r="19" spans="2:37" x14ac:dyDescent="0.3">
      <c r="B19" t="s">
        <v>240</v>
      </c>
      <c r="C19" s="51">
        <f>('Financial Statements'!C62-'Financial Statements'!C61)/'Financial Statements'!C86</f>
        <v>2.5627734769437898</v>
      </c>
      <c r="D19" s="51">
        <f>('Financial Statements'!D62-'Financial Statements'!D61)/'Financial Statements'!D86</f>
        <v>1.8759505703422052</v>
      </c>
      <c r="E19" s="51">
        <f>('Financial Statements'!E62-'Financial Statements'!E61)/'Financial Statements'!E86</f>
        <v>1.8761734997029114</v>
      </c>
      <c r="F19" s="51">
        <f>('Financial Statements'!F62-'Financial Statements'!F61)/'Financial Statements'!F86</f>
        <v>2.6596800000000003</v>
      </c>
      <c r="G19" s="51">
        <f>('Financial Statements'!G62-'Financial Statements'!G61)/'Financial Statements'!G86</f>
        <v>2.306474020561267</v>
      </c>
      <c r="H19" s="51">
        <f>('Financial Statements'!H62-'Financial Statements'!H61)/'Financial Statements'!H86</f>
        <v>2.306474020561267</v>
      </c>
      <c r="I19" s="51">
        <f>('Financial Statements'!I62-'Financial Statements'!I61)/'Financial Statements'!I86</f>
        <v>2.1494882170911689</v>
      </c>
      <c r="J19" s="51">
        <f>('Financial Statements'!J62-'Financial Statements'!J61)/'Financial Statements'!J86</f>
        <v>2.1676660516605164</v>
      </c>
      <c r="K19" s="51">
        <f>('Financial Statements'!K62-'Financial Statements'!K61)/'Financial Statements'!K86</f>
        <v>2.1676660516605164</v>
      </c>
      <c r="L19" s="51">
        <f>('Financial Statements'!L62-'Financial Statements'!L61)/'Financial Statements'!L86</f>
        <v>2.0218525445417859</v>
      </c>
      <c r="M19" s="51">
        <f>('Financial Statements'!M62-'Financial Statements'!M61)/'Financial Statements'!M86</f>
        <v>2.0368975176277409</v>
      </c>
      <c r="N19" s="51">
        <f>('Financial Statements'!N62-'Financial Statements'!N61)/'Financial Statements'!N86</f>
        <v>2.0368975176277409</v>
      </c>
      <c r="O19" s="51">
        <f>('Financial Statements'!O62-'Financial Statements'!O61)/'Financial Statements'!O86</f>
        <v>2.2273314132485842</v>
      </c>
      <c r="P19" s="51">
        <f>('Financial Statements'!P62-'Financial Statements'!P61)/'Financial Statements'!P86</f>
        <v>2.3964060327307739</v>
      </c>
      <c r="Q19" s="51">
        <f>('Financial Statements'!Q62-'Financial Statements'!Q61)/'Financial Statements'!Q86</f>
        <v>2.3964060327307739</v>
      </c>
      <c r="R19" s="51">
        <f>('Financial Statements'!R62-'Financial Statements'!R61)/'Financial Statements'!R86</f>
        <v>2.5843088698784333</v>
      </c>
      <c r="S19" s="51">
        <f>('Financial Statements'!S62-'Financial Statements'!S61)/'Financial Statements'!S86</f>
        <v>2.6601156069364151</v>
      </c>
      <c r="T19" s="51">
        <f>('Financial Statements'!T62-'Financial Statements'!T61)/'Financial Statements'!T86</f>
        <v>2.6599999999999993</v>
      </c>
      <c r="U19" s="51">
        <f>('Financial Statements'!U62-'Financial Statements'!U61)/'Financial Statements'!U86</f>
        <v>2.7101449275362315</v>
      </c>
      <c r="V19" s="51">
        <f>('Financial Statements'!V62-'Financial Statements'!V61)/'Financial Statements'!V86</f>
        <v>3.1599785281215835</v>
      </c>
      <c r="W19" s="51">
        <f>('Financial Statements'!W62-'Financial Statements'!W61)/'Financial Statements'!W86</f>
        <v>3.1599785281215835</v>
      </c>
      <c r="X19" s="51">
        <f>('Financial Statements'!X62-'Financial Statements'!X61)/'Financial Statements'!X86</f>
        <v>3.2216693538873336</v>
      </c>
      <c r="Y19" s="51">
        <f>('Financial Statements'!Y62-'Financial Statements'!Y61)/'Financial Statements'!Y86</f>
        <v>3.2748983374975529</v>
      </c>
      <c r="Z19" s="51">
        <f>('Financial Statements'!Z62-'Financial Statements'!Z61)/'Financial Statements'!Z86</f>
        <v>3.2748983374975529</v>
      </c>
      <c r="AA19" s="51">
        <f>('Financial Statements'!AA62-'Financial Statements'!AA61)/'Financial Statements'!AA86</f>
        <v>3.4061487422101426</v>
      </c>
      <c r="AB19" s="51">
        <f>('Financial Statements'!AB62-'Financial Statements'!AB61)/'Financial Statements'!AB86</f>
        <v>3.4036781827919551</v>
      </c>
      <c r="AC19" s="51">
        <f>('Financial Statements'!AC62-'Financial Statements'!AC61)/'Financial Statements'!AC86</f>
        <v>3.4036781827919551</v>
      </c>
      <c r="AD19" s="51">
        <f>('Financial Statements'!AD62-'Financial Statements'!AD61)/'Financial Statements'!AD86</f>
        <v>3.4856489250756986</v>
      </c>
      <c r="AE19" s="51">
        <f>('Financial Statements'!AE62-'Financial Statements'!AE61)/'Financial Statements'!AE86</f>
        <v>3.4835798521033023</v>
      </c>
      <c r="AF19" s="51">
        <f>('Financial Statements'!AF62-'Financial Statements'!AF61)/'Financial Statements'!AF86</f>
        <v>3.4835798521033023</v>
      </c>
      <c r="AG19" s="51">
        <f>('Financial Statements'!AG62-'Financial Statements'!AG61)/'Financial Statements'!AG86</f>
        <v>3.5996321797558362</v>
      </c>
      <c r="AH19" s="51">
        <f>('Financial Statements'!AH62-'Financial Statements'!AH61)/'Financial Statements'!AH86</f>
        <v>3.6007821777962898</v>
      </c>
      <c r="AI19" s="51">
        <f>('Financial Statements'!AI62-'Financial Statements'!AI61)/'Financial Statements'!AI86</f>
        <v>3.6007821777962898</v>
      </c>
    </row>
    <row r="20" spans="2:37" x14ac:dyDescent="0.3">
      <c r="B20" t="s">
        <v>241</v>
      </c>
      <c r="C20" s="51">
        <f>'Financial Statements'!C61/'Financial Statements'!C86</f>
        <v>0.21204981487714572</v>
      </c>
      <c r="D20" s="51">
        <f>'Financial Statements'!D61/'Financial Statements'!D86</f>
        <v>0.32010456273764248</v>
      </c>
      <c r="E20" s="51">
        <f>'Financial Statements'!E61/'Financial Statements'!E86</f>
        <v>0.3201426024955436</v>
      </c>
      <c r="F20" s="51">
        <f>'Financial Statements'!F61/'Financial Statements'!F86</f>
        <v>0.14336000000000002</v>
      </c>
      <c r="G20" s="51">
        <f>'Financial Statements'!G61/'Financial Statements'!G86</f>
        <v>0.27924423450958596</v>
      </c>
      <c r="H20" s="51">
        <f>'Financial Statements'!H61/'Financial Statements'!H86</f>
        <v>0.27924423450958596</v>
      </c>
      <c r="I20" s="51">
        <f>'Financial Statements'!I61/'Financial Statements'!I86</f>
        <v>0.11806712687455369</v>
      </c>
      <c r="J20" s="51">
        <f>'Financial Statements'!J61/'Financial Statements'!J86</f>
        <v>0.13410977859778597</v>
      </c>
      <c r="K20" s="51">
        <f>'Financial Statements'!K61/'Financial Statements'!K86</f>
        <v>0.13410977859778597</v>
      </c>
      <c r="L20" s="51">
        <f>'Financial Statements'!L61/'Financial Statements'!L86</f>
        <v>9.3513141057190677E-2</v>
      </c>
      <c r="M20" s="51">
        <f>'Financial Statements'!M61/'Financial Statements'!M86</f>
        <v>7.1187095527866326E-2</v>
      </c>
      <c r="N20" s="51">
        <f>'Financial Statements'!N61/'Financial Statements'!N86</f>
        <v>7.1187095527866326E-2</v>
      </c>
      <c r="O20" s="51">
        <f>'Financial Statements'!O61/'Financial Statements'!O86</f>
        <v>0.27569768596682886</v>
      </c>
      <c r="P20" s="51">
        <f>'Financial Statements'!P61/'Financial Statements'!P86</f>
        <v>9.9475879773237796E-2</v>
      </c>
      <c r="Q20" s="51">
        <f>'Financial Statements'!Q61/'Financial Statements'!Q86</f>
        <v>9.9475879773237796E-2</v>
      </c>
      <c r="R20" s="51">
        <f>'Financial Statements'!R61/'Financial Statements'!R86</f>
        <v>5.4705087798289052E-2</v>
      </c>
      <c r="S20" s="51">
        <f>'Financial Statements'!S61/'Financial Statements'!S86</f>
        <v>9.6069364161849691E-2</v>
      </c>
      <c r="T20" s="51">
        <f>'Financial Statements'!T61/'Financial Statements'!T86</f>
        <v>9.6069364161849691E-2</v>
      </c>
      <c r="U20" s="51">
        <f>'Financial Statements'!U61/'Financial Statements'!U86</f>
        <v>8.0451900034234858E-2</v>
      </c>
      <c r="V20" s="51">
        <f>'Financial Statements'!V61/'Financial Statements'!V86</f>
        <v>-0.17412387798005563</v>
      </c>
      <c r="W20" s="51">
        <f>'Financial Statements'!W61/'Financial Statements'!W86</f>
        <v>-0.17400189386191978</v>
      </c>
      <c r="X20" s="51">
        <f>'Financial Statements'!X61/'Financial Statements'!X86</f>
        <v>-0.29414975622249862</v>
      </c>
      <c r="Y20" s="51">
        <f>'Financial Statements'!Y61/'Financial Statements'!Y86</f>
        <v>-0.27045924279123945</v>
      </c>
      <c r="Z20" s="51">
        <f>'Financial Statements'!Z61/'Financial Statements'!Z86</f>
        <v>-0.27045924279123945</v>
      </c>
      <c r="AA20" s="51">
        <f>'Financial Statements'!AA61/'Financial Statements'!AA86</f>
        <v>-0.37167689739206478</v>
      </c>
      <c r="AB20" s="51">
        <f>'Financial Statements'!AB61/'Financial Statements'!AB86</f>
        <v>-0.28862512933574103</v>
      </c>
      <c r="AC20" s="51">
        <f>'Financial Statements'!AC61/'Financial Statements'!AC86</f>
        <v>-0.28862512933574125</v>
      </c>
      <c r="AD20" s="51">
        <f>'Financial Statements'!AD61/'Financial Statements'!AD86</f>
        <v>-0.34608125117955596</v>
      </c>
      <c r="AE20" s="51">
        <f>'Financial Statements'!AE61/'Financial Statements'!AE86</f>
        <v>-0.2601527647855712</v>
      </c>
      <c r="AF20" s="51">
        <f>'Financial Statements'!AF61/'Financial Statements'!AF86</f>
        <v>-0.26015276478557109</v>
      </c>
      <c r="AG20" s="51">
        <f>'Financial Statements'!AG61/'Financial Statements'!AG86</f>
        <v>-0.35345812471606119</v>
      </c>
      <c r="AH20" s="51">
        <f>'Financial Statements'!AH61/'Financial Statements'!AH86</f>
        <v>-0.27112272735684495</v>
      </c>
      <c r="AI20" s="51">
        <f>'Financial Statements'!AI61/'Financial Statements'!AI86</f>
        <v>-0.27112272735684489</v>
      </c>
    </row>
    <row r="21" spans="2:37" x14ac:dyDescent="0.3">
      <c r="B21" t="s">
        <v>242</v>
      </c>
      <c r="C21" s="51">
        <f>('Financial Statements'!C61+'Financial Statements'!C58)/('Financial Statements'!C8/182.5)</f>
        <v>326.41428571428577</v>
      </c>
      <c r="D21" s="51">
        <f>('Financial Statements'!D61+'Financial Statements'!D58)/('Financial Statements'!D8/182.5)</f>
        <v>339.77760127084986</v>
      </c>
      <c r="E21" s="51">
        <f>('Financial Statements'!E61+'Financial Statements'!E58)/('Financial Statements'!E8/365)</f>
        <v>370.53269813772192</v>
      </c>
      <c r="F21" s="51">
        <f>('Financial Statements'!F61+'Financial Statements'!F58)/('Financial Statements'!F8/182.5)</f>
        <v>381.19634570765669</v>
      </c>
      <c r="G21" s="51">
        <f>('Financial Statements'!G61+'Financial Statements'!G58)/('Financial Statements'!G8/182.5)</f>
        <v>241.20629370629368</v>
      </c>
      <c r="H21" s="51">
        <f>('Financial Statements'!H61+'Financial Statements'!H58)/('Financial Statements'!H8/365)</f>
        <v>295.13960819635219</v>
      </c>
      <c r="I21" s="51">
        <f>('Financial Statements'!I61+'Financial Statements'!I58)/('Financial Statements'!I8/182.5)</f>
        <v>302.02575107296133</v>
      </c>
      <c r="J21" s="51">
        <f>('Financial Statements'!J61+'Financial Statements'!J58)/('Financial Statements'!J8/182.5)</f>
        <v>202.2977225052442</v>
      </c>
      <c r="K21" s="51">
        <f>('Financial Statements'!K61+'Financial Statements'!K58)/('Financial Statements'!K8/365)</f>
        <v>238.24510322922177</v>
      </c>
      <c r="L21" s="51">
        <f>('Financial Statements'!L61+'Financial Statements'!L58)/('Financial Statements'!L8/182.5)</f>
        <v>290.29730617608413</v>
      </c>
      <c r="M21" s="51">
        <f>('Financial Statements'!M61+'Financial Statements'!M58)/('Financial Statements'!M8/182.5)</f>
        <v>168.97782585181173</v>
      </c>
      <c r="N21" s="51">
        <f>('Financial Statements'!N61+'Financial Statements'!N58)/('Financial Statements'!N8/365)</f>
        <v>185.36932660931473</v>
      </c>
      <c r="O21" s="51">
        <f>('Financial Statements'!O61+'Financial Statements'!O58)/('Financial Statements'!O8/182.5)</f>
        <v>402.78026134800547</v>
      </c>
      <c r="P21" s="51">
        <f>('Financial Statements'!P61+'Financial Statements'!P58)/('Financial Statements'!P8/182.5)</f>
        <v>237.03529411764711</v>
      </c>
      <c r="Q21" s="51">
        <f>('Financial Statements'!Q61+'Financial Statements'!Q58)/('Financial Statements'!Q8/365)</f>
        <v>221.48772444118728</v>
      </c>
      <c r="R21" s="51">
        <f>('Financial Statements'!R61+'Financial Statements'!R58)/('Financial Statements'!R8/182.5)</f>
        <v>271.46494156928219</v>
      </c>
      <c r="S21" s="51">
        <f>('Financial Statements'!S61+'Financial Statements'!S58)/('Financial Statements'!S8/182.5)</f>
        <v>207.32367758186399</v>
      </c>
      <c r="T21" s="51">
        <f>('Financial Statements'!T61+'Financial Statements'!T58)/('Financial Statements'!T8/365)</f>
        <v>206.71619924654667</v>
      </c>
      <c r="U21" s="51">
        <f>('Financial Statements'!U61+'Financial Statements'!U58)/('Financial Statements'!U8/182.5)</f>
        <v>256.6208910034602</v>
      </c>
      <c r="V21" s="51">
        <f>('Financial Statements'!V61+'Financial Statements'!V58)/('Financial Statements'!V8/182.5)</f>
        <v>179.64161953436687</v>
      </c>
      <c r="W21" s="51">
        <f>('Financial Statements'!W61+'Financial Statements'!W58)/('Financial Statements'!W8/365)</f>
        <v>164.23478838961856</v>
      </c>
      <c r="X21" s="51">
        <f>('Financial Statements'!X61+'Financial Statements'!X58)/('Financial Statements'!X8/182.5)</f>
        <v>82.761183340138189</v>
      </c>
      <c r="Y21" s="51">
        <f>('Financial Statements'!Y61+'Financial Statements'!Y58)/('Financial Statements'!Y8/182.5)</f>
        <v>101.39211414528324</v>
      </c>
      <c r="Z21" s="51">
        <f>('Financial Statements'!Z61+'Financial Statements'!Z58)/('Financial Statements'!Z8/365)</f>
        <v>101.08022175209376</v>
      </c>
      <c r="AA21" s="51">
        <f>('Financial Statements'!AA61+'Financial Statements'!AA58)/('Financial Statements'!AA8/182.5)</f>
        <v>28.371326925787002</v>
      </c>
      <c r="AB21" s="51">
        <f>('Financial Statements'!AB61+'Financial Statements'!AB58)/('Financial Statements'!AB8/182.5)</f>
        <v>91.750557788930337</v>
      </c>
      <c r="AC21" s="51">
        <f>('Financial Statements'!AC61+'Financial Statements'!AC58)/('Financial Statements'!AC8/365)</f>
        <v>91.506336383480331</v>
      </c>
      <c r="AD21" s="51">
        <f>('Financial Statements'!AD61+'Financial Statements'!AD58)/('Financial Statements'!AD8/182.5)</f>
        <v>54.107325115033774</v>
      </c>
      <c r="AE21" s="51">
        <f>('Financial Statements'!AE61+'Financial Statements'!AE58)/('Financial Statements'!AE8/182.5)</f>
        <v>118.40854737228244</v>
      </c>
      <c r="AF21" s="51">
        <f>('Financial Statements'!AF61+'Financial Statements'!AF58)/('Financial Statements'!AF8/365)</f>
        <v>118.14577410954084</v>
      </c>
      <c r="AG21" s="51">
        <f>('Financial Statements'!AG61+'Financial Statements'!AG58)/('Financial Statements'!AG8/182.5)</f>
        <v>57.033357133830073</v>
      </c>
      <c r="AH21" s="51">
        <f>('Financial Statements'!AH61+'Financial Statements'!AH58)/('Financial Statements'!AH8/182.5)</f>
        <v>116.46436052092024</v>
      </c>
      <c r="AI21" s="51">
        <f>('Financial Statements'!AI61+'Financial Statements'!AI58)/('Financial Statements'!AI8/365)</f>
        <v>116.60626483584161</v>
      </c>
    </row>
    <row r="23" spans="2:37" x14ac:dyDescent="0.3">
      <c r="B23" s="3" t="s">
        <v>243</v>
      </c>
    </row>
    <row r="25" spans="2:37" x14ac:dyDescent="0.3">
      <c r="B25" t="s">
        <v>244</v>
      </c>
      <c r="C25" s="51">
        <f>('Financial Statements'!C74+'Financial Statements'!C80)/'Financial Statements'!C72</f>
        <v>0.42279890125777064</v>
      </c>
      <c r="D25" s="51">
        <f>('Financial Statements'!D74+'Financial Statements'!D80)/'Financial Statements'!D72</f>
        <v>0.51329010190265789</v>
      </c>
      <c r="E25" s="51">
        <f>('Financial Statements'!E74+'Financial Statements'!E80)/'Financial Statements'!E72</f>
        <v>0.51329010190265789</v>
      </c>
      <c r="F25" s="51">
        <f>('Financial Statements'!F74+'Financial Statements'!F80)/'Financial Statements'!F72</f>
        <v>0.35266425598690049</v>
      </c>
      <c r="G25" s="51">
        <f>('Financial Statements'!G74+'Financial Statements'!G80)/'Financial Statements'!G72</f>
        <v>0.33262328943971087</v>
      </c>
      <c r="H25" s="51">
        <f>('Financial Statements'!H74+'Financial Statements'!H80)/'Financial Statements'!H72</f>
        <v>0.33262328943971087</v>
      </c>
      <c r="I25" s="51">
        <f>('Financial Statements'!I74+'Financial Statements'!I80)/'Financial Statements'!I72</f>
        <v>0.25152948596657204</v>
      </c>
      <c r="J25" s="51">
        <f>('Financial Statements'!J74+'Financial Statements'!J80)/'Financial Statements'!J72</f>
        <v>0.28260215442017211</v>
      </c>
      <c r="K25" s="51">
        <f>('Financial Statements'!K74+'Financial Statements'!K80)/'Financial Statements'!K72</f>
        <v>0.28260215442017211</v>
      </c>
      <c r="L25" s="51">
        <f>('Financial Statements'!L74+'Financial Statements'!L80)/'Financial Statements'!L72</f>
        <v>0.25468336972761751</v>
      </c>
      <c r="M25" s="51">
        <f>('Financial Statements'!M74+'Financial Statements'!M80)/'Financial Statements'!M72</f>
        <v>0.34776663628076576</v>
      </c>
      <c r="N25" s="51">
        <f>('Financial Statements'!N74+'Financial Statements'!N80)/'Financial Statements'!N72</f>
        <v>0.34778645091447785</v>
      </c>
      <c r="O25" s="51">
        <f>('Financial Statements'!O74+'Financial Statements'!O80)/'Financial Statements'!O72</f>
        <v>0.48819030480260939</v>
      </c>
      <c r="P25" s="51">
        <f>('Financial Statements'!P74+'Financial Statements'!P80)/'Financial Statements'!P72</f>
        <v>0.40241655830082362</v>
      </c>
      <c r="Q25" s="51">
        <f>('Financial Statements'!Q74+'Financial Statements'!Q80)/'Financial Statements'!Q72</f>
        <v>0.40243836358710378</v>
      </c>
      <c r="R25" s="51">
        <f>('Financial Statements'!R74+'Financial Statements'!R80)/'Financial Statements'!R72</f>
        <v>0.36472260237919779</v>
      </c>
      <c r="S25" s="51">
        <f>('Financial Statements'!S74+'Financial Statements'!S80)/'Financial Statements'!S72</f>
        <v>0.39319960607474214</v>
      </c>
      <c r="T25" s="51">
        <f>('Financial Statements'!T74+'Financial Statements'!T80)/'Financial Statements'!T72</f>
        <v>0.39319960607474214</v>
      </c>
      <c r="U25" s="51">
        <f>('Financial Statements'!U74+'Financial Statements'!U80)/'Financial Statements'!U72</f>
        <v>0.39350480644323194</v>
      </c>
      <c r="V25" s="51">
        <f>('Financial Statements'!V74+'Financial Statements'!V80)/'Financial Statements'!V72</f>
        <v>0.37332620671439248</v>
      </c>
      <c r="W25" s="51">
        <f>('Financial Statements'!W74+'Financial Statements'!W80)/'Financial Statements'!W72</f>
        <v>0.37332620671439248</v>
      </c>
      <c r="X25" s="51">
        <f>('Financial Statements'!X74+'Financial Statements'!X80)/'Financial Statements'!X72</f>
        <v>0.34905744411433381</v>
      </c>
      <c r="Y25" s="51">
        <f>('Financial Statements'!Y74+'Financial Statements'!Y80)/'Financial Statements'!Y72</f>
        <v>0.33129624376656902</v>
      </c>
      <c r="Z25" s="51">
        <f>('Financial Statements'!Z74+'Financial Statements'!Z80)/'Financial Statements'!Z72</f>
        <v>0.33129624376656902</v>
      </c>
      <c r="AA25" s="51">
        <f>('Financial Statements'!AA74+'Financial Statements'!AA80)/'Financial Statements'!AA72</f>
        <v>0.30970495046367519</v>
      </c>
      <c r="AB25" s="51">
        <f>('Financial Statements'!AB74+'Financial Statements'!AB80)/'Financial Statements'!AB72</f>
        <v>0.29402389769418252</v>
      </c>
      <c r="AC25" s="51">
        <f>('Financial Statements'!AC74+'Financial Statements'!AC80)/'Financial Statements'!AC72</f>
        <v>0.29402389769418258</v>
      </c>
      <c r="AD25" s="51">
        <f>('Financial Statements'!AD74+'Financial Statements'!AD80)/'Financial Statements'!AD72</f>
        <v>0.27476986062711795</v>
      </c>
      <c r="AE25" s="51">
        <f>('Financial Statements'!AE74+'Financial Statements'!AE80)/'Financial Statements'!AE72</f>
        <v>0.26089952361443286</v>
      </c>
      <c r="AF25" s="51">
        <f>('Financial Statements'!AF74+'Financial Statements'!AF80)/'Financial Statements'!AF72</f>
        <v>0.26089952361443286</v>
      </c>
      <c r="AG25" s="51">
        <f>('Financial Statements'!AG74+'Financial Statements'!AG80)/'Financial Statements'!AG72</f>
        <v>0.24355059040883439</v>
      </c>
      <c r="AH25" s="51">
        <f>('Financial Statements'!AH74+'Financial Statements'!AH80)/'Financial Statements'!AH72</f>
        <v>0.23108940910709921</v>
      </c>
      <c r="AI25" s="51">
        <f>('Financial Statements'!AI74+'Financial Statements'!AI80)/'Financial Statements'!AI72</f>
        <v>0.23108940910709921</v>
      </c>
    </row>
    <row r="26" spans="2:37" x14ac:dyDescent="0.3">
      <c r="B26" t="s">
        <v>245</v>
      </c>
      <c r="C26" s="51">
        <f>+('Financial Statements'!C74+'Financial Statements'!C80)/('Financial Statements'!C72+'Financial Statements'!C74+'Financial Statements'!C80)</f>
        <v>0.29715998577452624</v>
      </c>
      <c r="D26" s="51">
        <f>+('Financial Statements'!D74+'Financial Statements'!D80)/('Financial Statements'!D72+'Financial Statements'!D74+'Financial Statements'!D80)</f>
        <v>0.33918817103032578</v>
      </c>
      <c r="E26" s="51">
        <f>+('Financial Statements'!E74+'Financial Statements'!E80)/('Financial Statements'!E72+'Financial Statements'!E74+'Financial Statements'!E80)</f>
        <v>0.33918817103032578</v>
      </c>
      <c r="F26" s="51">
        <f>+('Financial Statements'!F74+'Financial Statements'!F80)/('Financial Statements'!F72+'Financial Statements'!F74+'Financial Statements'!F80)</f>
        <v>0.26071824876424898</v>
      </c>
      <c r="G26" s="51">
        <f>+('Financial Statements'!G74+'Financial Statements'!G80)/('Financial Statements'!G72+'Financial Statements'!G74+'Financial Statements'!G80)</f>
        <v>0.2496003875030274</v>
      </c>
      <c r="H26" s="51">
        <f>+('Financial Statements'!H74+'Financial Statements'!H80)/('Financial Statements'!H72+'Financial Statements'!H74+'Financial Statements'!H80)</f>
        <v>0.2496003875030274</v>
      </c>
      <c r="I26" s="51">
        <f>+('Financial Statements'!I74+'Financial Statements'!I80)/('Financial Statements'!I72+'Financial Statements'!I74+'Financial Statements'!I80)</f>
        <v>0.20097767474676206</v>
      </c>
      <c r="J26" s="51">
        <f>+('Financial Statements'!J74+'Financial Statements'!J80)/('Financial Statements'!J72+'Financial Statements'!J74+'Financial Statements'!J80)</f>
        <v>0.22033500680335946</v>
      </c>
      <c r="K26" s="51">
        <f>+('Financial Statements'!K74+'Financial Statements'!K80)/('Financial Statements'!K72+'Financial Statements'!K74+'Financial Statements'!K80)</f>
        <v>0.22033500680335946</v>
      </c>
      <c r="L26" s="51">
        <f>+('Financial Statements'!L74+'Financial Statements'!L80)/('Financial Statements'!L72+'Financial Statements'!L74+'Financial Statements'!L80)</f>
        <v>0.20298616836127142</v>
      </c>
      <c r="M26" s="51">
        <f>+('Financial Statements'!M74+'Financial Statements'!M80)/('Financial Statements'!M72+'Financial Statements'!M74+'Financial Statements'!M80)</f>
        <v>0.25803178897531281</v>
      </c>
      <c r="N26" s="51">
        <f>+('Financial Statements'!N74+'Financial Statements'!N80)/('Financial Statements'!N72+'Financial Statements'!N74+'Financial Statements'!N80)</f>
        <v>0.2580426971042063</v>
      </c>
      <c r="O26" s="51">
        <f>+('Financial Statements'!O74+'Financial Statements'!O80)/('Financial Statements'!O72+'Financial Statements'!O74+'Financial Statements'!O80)</f>
        <v>0.3280429278615426</v>
      </c>
      <c r="P26" s="51">
        <f>+('Financial Statements'!P74+'Financial Statements'!P80)/('Financial Statements'!P72+'Financial Statements'!P74+'Financial Statements'!P80)</f>
        <v>0.28694509909979521</v>
      </c>
      <c r="Q26" s="51">
        <f>+('Financial Statements'!Q74+'Financial Statements'!Q80)/('Financial Statements'!Q72+'Financial Statements'!Q74+'Financial Statements'!Q80)</f>
        <v>0.28695618576616955</v>
      </c>
      <c r="R26" s="51">
        <f>+('Financial Statements'!R74+'Financial Statements'!R80)/('Financial Statements'!R72+'Financial Statements'!R74+'Financial Statements'!R80)</f>
        <v>0.26725035677093373</v>
      </c>
      <c r="S26" s="51">
        <f>+('Financial Statements'!S74+'Financial Statements'!S80)/('Financial Statements'!S72+'Financial Statements'!S74+'Financial Statements'!S80)</f>
        <v>0.28222776144945866</v>
      </c>
      <c r="T26" s="51">
        <f>+('Financial Statements'!T74+'Financial Statements'!T80)/('Financial Statements'!T72+'Financial Statements'!T74+'Financial Statements'!T80)</f>
        <v>0.28222776144945866</v>
      </c>
      <c r="U26" s="51">
        <f>+('Financial Statements'!U74+'Financial Statements'!U80)/('Financial Statements'!U72+'Financial Statements'!U74+'Financial Statements'!U80)</f>
        <v>0.28238496532179874</v>
      </c>
      <c r="V26" s="51">
        <f>+('Financial Statements'!V74+'Financial Statements'!V80)/('Financial Statements'!V72+'Financial Statements'!V74+'Financial Statements'!V80)</f>
        <v>0.27184088156852038</v>
      </c>
      <c r="W26" s="51">
        <f>+('Financial Statements'!W74+'Financial Statements'!W80)/('Financial Statements'!W72+'Financial Statements'!W74+'Financial Statements'!W80)</f>
        <v>0.27184088156852038</v>
      </c>
      <c r="X26" s="51">
        <f>+('Financial Statements'!X74+'Financial Statements'!X80)/('Financial Statements'!X72+'Financial Statements'!X74+'Financial Statements'!X80)</f>
        <v>0.25874172047839861</v>
      </c>
      <c r="Y26" s="51">
        <f>+('Financial Statements'!Y74+'Financial Statements'!Y80)/('Financial Statements'!Y72+'Financial Statements'!Y74+'Financial Statements'!Y80)</f>
        <v>0.2488523837709099</v>
      </c>
      <c r="Z26" s="51">
        <f>+('Financial Statements'!Z74+'Financial Statements'!Z80)/('Financial Statements'!Z72+'Financial Statements'!Z74+'Financial Statements'!Z80)</f>
        <v>0.2488523837709099</v>
      </c>
      <c r="AA26" s="51">
        <f>+('Financial Statements'!AA74+'Financial Statements'!AA80)/('Financial Statements'!AA72+'Financial Statements'!AA74+'Financial Statements'!AA80)</f>
        <v>0.23646925237171185</v>
      </c>
      <c r="AB26" s="51">
        <f>+('Financial Statements'!AB74+'Financial Statements'!AB80)/('Financial Statements'!AB72+'Financial Statements'!AB74+'Financial Statements'!AB80)</f>
        <v>0.22721674477426798</v>
      </c>
      <c r="AC26" s="51">
        <f>+('Financial Statements'!AC74+'Financial Statements'!AC80)/('Financial Statements'!AC72+'Financial Statements'!AC74+'Financial Statements'!AC80)</f>
        <v>0.22721674477426798</v>
      </c>
      <c r="AD26" s="51">
        <f>+('Financial Statements'!AD74+'Financial Statements'!AD80)/('Financial Statements'!AD72+'Financial Statements'!AD74+'Financial Statements'!AD80)</f>
        <v>0.21554467917208681</v>
      </c>
      <c r="AE26" s="51">
        <f>+('Financial Statements'!AE74+'Financial Statements'!AE80)/('Financial Statements'!AE72+'Financial Statements'!AE74+'Financial Statements'!AE80)</f>
        <v>0.20691539549999277</v>
      </c>
      <c r="AF26" s="51">
        <f>+('Financial Statements'!AF74+'Financial Statements'!AF80)/('Financial Statements'!AF72+'Financial Statements'!AF74+'Financial Statements'!AF80)</f>
        <v>0.20691539549999277</v>
      </c>
      <c r="AG26" s="51">
        <f>+('Financial Statements'!AG74+'Financial Statements'!AG80)/('Financial Statements'!AG72+'Financial Statements'!AG74+'Financial Statements'!AG80)</f>
        <v>0.19585097083083991</v>
      </c>
      <c r="AH26" s="51">
        <f>+('Financial Statements'!AH74+'Financial Statements'!AH80)/('Financial Statements'!AH72+'Financial Statements'!AH74+'Financial Statements'!AH80)</f>
        <v>0.18771131275892203</v>
      </c>
      <c r="AI26" s="51">
        <f>+('Financial Statements'!AI74+'Financial Statements'!AI80)/('Financial Statements'!AI72+'Financial Statements'!AI74+'Financial Statements'!AI80)</f>
        <v>0.18771131275892203</v>
      </c>
    </row>
    <row r="27" spans="2:37" x14ac:dyDescent="0.3">
      <c r="B27" t="s">
        <v>246</v>
      </c>
      <c r="C27" s="51">
        <f>('Financial Statements'!C74+'Financial Statements'!C80)/'Financial Statements'!C63</f>
        <v>0.22660003099333645</v>
      </c>
      <c r="D27" s="51">
        <f>('Financial Statements'!D74+'Financial Statements'!D80)/'Financial Statements'!D63</f>
        <v>0.25828313253012047</v>
      </c>
      <c r="E27" s="51">
        <f>('Financial Statements'!E74+'Financial Statements'!E80)/'Financial Statements'!E63</f>
        <v>0.25829239430559037</v>
      </c>
      <c r="F27" s="51">
        <f>('Financial Statements'!F74+'Financial Statements'!F80)/'Financial Statements'!F63</f>
        <v>0.19756908611397772</v>
      </c>
      <c r="G27" s="51">
        <f>('Financial Statements'!G74+'Financial Statements'!G80)/'Financial Statements'!G63</f>
        <v>0.18528639746862749</v>
      </c>
      <c r="H27" s="51">
        <f>('Financial Statements'!H74+'Financial Statements'!H80)/'Financial Statements'!H63</f>
        <v>0.18528639746862749</v>
      </c>
      <c r="I27" s="51">
        <f>('Financial Statements'!I74+'Financial Statements'!I80)/'Financial Statements'!I63</f>
        <v>0.14069997177533161</v>
      </c>
      <c r="J27" s="51">
        <f>('Financial Statements'!J74+'Financial Statements'!J80)/'Financial Statements'!J63</f>
        <v>0.15766325331542722</v>
      </c>
      <c r="K27" s="51">
        <f>('Financial Statements'!K74+'Financial Statements'!K80)/'Financial Statements'!K63</f>
        <v>0.15765796011549049</v>
      </c>
      <c r="L27" s="51">
        <f>('Financial Statements'!L74+'Financial Statements'!L80)/'Financial Statements'!L63</f>
        <v>0.14090417752909012</v>
      </c>
      <c r="M27" s="51">
        <f>('Financial Statements'!M74+'Financial Statements'!M80)/'Financial Statements'!M63</f>
        <v>0.19152808283652339</v>
      </c>
      <c r="N27" s="51">
        <f>('Financial Statements'!N74+'Financial Statements'!N80)/'Financial Statements'!N63</f>
        <v>0.19152808283652339</v>
      </c>
      <c r="O27" s="51">
        <f>('Financial Statements'!O74+'Financial Statements'!O80)/'Financial Statements'!O63</f>
        <v>0.24496994666591418</v>
      </c>
      <c r="P27" s="51">
        <f>('Financial Statements'!P74+'Financial Statements'!P80)/'Financial Statements'!P63</f>
        <v>0.22033998872637731</v>
      </c>
      <c r="Q27" s="51">
        <f>('Financial Statements'!Q74+'Financial Statements'!Q80)/'Financial Statements'!Q63</f>
        <v>0.22033998872637731</v>
      </c>
      <c r="R27" s="51">
        <f>('Financial Statements'!R74+'Financial Statements'!R80)/'Financial Statements'!R63</f>
        <v>0.2053949903660886</v>
      </c>
      <c r="S27" s="51">
        <f>('Financial Statements'!S74+'Financial Statements'!S80)/'Financial Statements'!S63</f>
        <v>0.22154079785059289</v>
      </c>
      <c r="T27" s="51">
        <f>('Financial Statements'!T74+'Financial Statements'!T80)/'Financial Statements'!T63</f>
        <v>0.22154079785059289</v>
      </c>
      <c r="U27" s="51">
        <f>('Financial Statements'!U74+'Financial Statements'!U80)/'Financial Statements'!U63</f>
        <v>0.21882856069581302</v>
      </c>
      <c r="V27" s="51">
        <f>('Financial Statements'!V74+'Financial Statements'!V80)/'Financial Statements'!V63</f>
        <v>0.21527254022033745</v>
      </c>
      <c r="W27" s="51">
        <f>('Financial Statements'!W74+'Financial Statements'!W80)/'Financial Statements'!W63</f>
        <v>0.21527254022033743</v>
      </c>
      <c r="X27" s="51">
        <f>('Financial Statements'!X74+'Financial Statements'!X80)/'Financial Statements'!X63</f>
        <v>0.20283850134752135</v>
      </c>
      <c r="Y27" s="51">
        <f>('Financial Statements'!Y74+'Financial Statements'!Y80)/'Financial Statements'!Y63</f>
        <v>0.19624021458604113</v>
      </c>
      <c r="Z27" s="51">
        <f>('Financial Statements'!Z74+'Financial Statements'!Z80)/'Financial Statements'!Z63</f>
        <v>0.19624021458604113</v>
      </c>
      <c r="AA27" s="51">
        <f>('Financial Statements'!AA74+'Financial Statements'!AA80)/'Financial Statements'!AA63</f>
        <v>0.18659610460721557</v>
      </c>
      <c r="AB27" s="51">
        <f>('Financial Statements'!AB74+'Financial Statements'!AB80)/'Financial Statements'!AB63</f>
        <v>0.18033122610025912</v>
      </c>
      <c r="AC27" s="51">
        <f>('Financial Statements'!AC74+'Financial Statements'!AC80)/'Financial Statements'!AC63</f>
        <v>0.18033122610025912</v>
      </c>
      <c r="AD27" s="51">
        <f>('Financial Statements'!AD74+'Financial Statements'!AD80)/'Financial Statements'!AD63</f>
        <v>0.17105007370603648</v>
      </c>
      <c r="AE27" s="51">
        <f>('Financial Statements'!AE74+'Financial Statements'!AE80)/'Financial Statements'!AE63</f>
        <v>0.16512887971445661</v>
      </c>
      <c r="AF27" s="51">
        <f>('Financial Statements'!AF74+'Financial Statements'!AF80)/'Financial Statements'!AF63</f>
        <v>0.16512887971445658</v>
      </c>
      <c r="AG27" s="51">
        <f>('Financial Statements'!AG74+'Financial Statements'!AG80)/'Financial Statements'!AG63</f>
        <v>0.15623979198944909</v>
      </c>
      <c r="AH27" s="51">
        <f>('Financial Statements'!AH74+'Financial Statements'!AH80)/'Financial Statements'!AH63</f>
        <v>0.15051685419051378</v>
      </c>
      <c r="AI27" s="51">
        <f>('Financial Statements'!AI74+'Financial Statements'!AI80)/'Financial Statements'!AI63</f>
        <v>0.15051685419051378</v>
      </c>
    </row>
    <row r="28" spans="2:37" x14ac:dyDescent="0.3">
      <c r="B28" t="s">
        <v>247</v>
      </c>
      <c r="C28" s="51">
        <f>'Financial Statements'!C63/'Financial Statements'!C72</f>
        <v>1.8658377909498336</v>
      </c>
      <c r="D28" s="51">
        <f>'Financial Statements'!D63/'Financial Statements'!D72</f>
        <v>1.987315613197463</v>
      </c>
      <c r="E28" s="51">
        <f>'Financial Statements'!E63/'Financial Statements'!E72</f>
        <v>1.9872443525974488</v>
      </c>
      <c r="F28" s="51">
        <f>'Financial Statements'!F63/'Financial Statements'!F72</f>
        <v>1.7850173978303885</v>
      </c>
      <c r="G28" s="51">
        <f>'Financial Statements'!G63/'Financial Statements'!G72</f>
        <v>1.7951846114123426</v>
      </c>
      <c r="H28" s="51">
        <f>'Financial Statements'!H63/'Financial Statements'!H72</f>
        <v>1.7951846114123426</v>
      </c>
      <c r="I28" s="51">
        <f>'Financial Statements'!I63/'Financial Statements'!I72</f>
        <v>1.7877010406811731</v>
      </c>
      <c r="J28" s="51">
        <f>'Financial Statements'!J63/'Financial Statements'!J72</f>
        <v>1.7924414755972802</v>
      </c>
      <c r="K28" s="51">
        <f>'Financial Statements'!K63/'Financial Statements'!K72</f>
        <v>1.7925016549316966</v>
      </c>
      <c r="L28" s="51">
        <f>'Financial Statements'!L63/'Financial Statements'!L72</f>
        <v>1.8074933915641878</v>
      </c>
      <c r="M28" s="51">
        <f>'Financial Statements'!M63/'Financial Statements'!M72</f>
        <v>1.8157474931631723</v>
      </c>
      <c r="N28" s="51">
        <f>'Financial Statements'!N63/'Financial Statements'!N72</f>
        <v>1.8158509486638936</v>
      </c>
      <c r="O28" s="51">
        <f>'Financial Statements'!O63/'Financial Statements'!O72</f>
        <v>1.9928579462377685</v>
      </c>
      <c r="P28" s="51">
        <f>'Financial Statements'!P63/'Financial Statements'!P72</f>
        <v>1.8263437364542698</v>
      </c>
      <c r="Q28" s="51">
        <f>'Financial Statements'!Q63/'Financial Statements'!Q72</f>
        <v>1.8264426984557032</v>
      </c>
      <c r="R28" s="51">
        <f>'Financial Statements'!R63/'Financial Statements'!R72</f>
        <v>1.7757132329718919</v>
      </c>
      <c r="S28" s="51">
        <f>'Financial Statements'!S63/'Financial Statements'!S72</f>
        <v>1.7748406157673762</v>
      </c>
      <c r="T28" s="51">
        <f>'Financial Statements'!T63/'Financial Statements'!T72</f>
        <v>1.7748406157673762</v>
      </c>
      <c r="U28" s="51">
        <f>'Financial Statements'!U63/'Financial Statements'!U72</f>
        <v>1.7982333073525585</v>
      </c>
      <c r="V28" s="51">
        <f>'Financial Statements'!V63/'Financial Statements'!V72</f>
        <v>1.7342026360272549</v>
      </c>
      <c r="W28" s="51">
        <f>'Financial Statements'!W63/'Financial Statements'!W72</f>
        <v>1.7342026360272551</v>
      </c>
      <c r="X28" s="51">
        <f>'Financial Statements'!X63/'Financial Statements'!X72</f>
        <v>1.7208638488030281</v>
      </c>
      <c r="Y28" s="51">
        <f>'Financial Statements'!Y63/'Financial Statements'!Y72</f>
        <v>1.6882179040897494</v>
      </c>
      <c r="Z28" s="51">
        <f>'Financial Statements'!Z63/'Financial Statements'!Z72</f>
        <v>1.6882179040897494</v>
      </c>
      <c r="AA28" s="51">
        <f>'Financial Statements'!AA63/'Financial Statements'!AA72</f>
        <v>1.6597610711949398</v>
      </c>
      <c r="AB28" s="51">
        <f>'Financial Statements'!AB63/'Financial Statements'!AB72</f>
        <v>1.6304658048002925</v>
      </c>
      <c r="AC28" s="51">
        <f>'Financial Statements'!AC63/'Financial Statements'!AC72</f>
        <v>1.6304658048002929</v>
      </c>
      <c r="AD28" s="51">
        <f>'Financial Statements'!AD63/'Financial Statements'!AD72</f>
        <v>1.6063708987306979</v>
      </c>
      <c r="AE28" s="51">
        <f>'Financial Statements'!AE63/'Financial Statements'!AE72</f>
        <v>1.5799751325484939</v>
      </c>
      <c r="AF28" s="51">
        <f>'Financial Statements'!AF63/'Financial Statements'!AF72</f>
        <v>1.5799751325484941</v>
      </c>
      <c r="AG28" s="51">
        <f>'Financial Statements'!AG63/'Financial Statements'!AG72</f>
        <v>1.5588256186700595</v>
      </c>
      <c r="AH28" s="51">
        <f>'Financial Statements'!AH63/'Financial Statements'!AH72</f>
        <v>1.5353058655783645</v>
      </c>
      <c r="AI28" s="51">
        <f>'Financial Statements'!AI63/'Financial Statements'!AI72</f>
        <v>1.5353058655783645</v>
      </c>
    </row>
    <row r="29" spans="2:37" x14ac:dyDescent="0.3">
      <c r="B29" t="s">
        <v>248</v>
      </c>
      <c r="R29">
        <f>'Financial Statements'!R14/'Financial Statements'!R21</f>
        <v>8.8323353293413192</v>
      </c>
      <c r="U29">
        <f>'Financial Statements'!U14/'Financial Statements'!U21</f>
        <v>6.837500000000003</v>
      </c>
    </row>
    <row r="30" spans="2:37" x14ac:dyDescent="0.3">
      <c r="B30" t="s">
        <v>249</v>
      </c>
    </row>
    <row r="32" spans="2:37" x14ac:dyDescent="0.3">
      <c r="B32" s="3" t="s">
        <v>250</v>
      </c>
    </row>
    <row r="33" spans="2:38" x14ac:dyDescent="0.3">
      <c r="B33" t="s">
        <v>294</v>
      </c>
      <c r="C33" s="10">
        <f>'Financial Statements'!C7</f>
        <v>0.66482153082649353</v>
      </c>
      <c r="D33" s="10">
        <f>'Financial Statements'!D7</f>
        <v>0.65601916550209627</v>
      </c>
      <c r="E33" s="10">
        <f>'Financial Statements'!E7</f>
        <v>0.66051912568306015</v>
      </c>
      <c r="F33" s="10">
        <f>'Financial Statements'!F7</f>
        <v>0.64670380687093787</v>
      </c>
      <c r="G33" s="10">
        <f>'Financial Statements'!G7</f>
        <v>0.6929582326544701</v>
      </c>
      <c r="H33" s="10">
        <f>'Financial Statements'!H7</f>
        <v>0.6732330231637299</v>
      </c>
      <c r="I33" s="10">
        <f>'Financial Statements'!I7</f>
        <v>0.6909964357663102</v>
      </c>
      <c r="J33" s="10">
        <f>'Financial Statements'!J7</f>
        <v>0.68184541641701624</v>
      </c>
      <c r="K33" s="10">
        <f>'Financial Statements'!K7</f>
        <v>0.68634320968847595</v>
      </c>
      <c r="L33" s="10">
        <f>'Financial Statements'!L7</f>
        <v>0.71929419905431902</v>
      </c>
      <c r="M33" s="10">
        <f>'Financial Statements'!M7</f>
        <v>0.70457880833577935</v>
      </c>
      <c r="N33" s="10">
        <f>'Financial Statements'!N7</f>
        <v>0.71281885695834679</v>
      </c>
      <c r="O33" s="10">
        <f>'Financial Statements'!O7</f>
        <v>0.72231820323543272</v>
      </c>
      <c r="P33" s="10">
        <f>'Financial Statements'!P7</f>
        <v>0.70008968609865474</v>
      </c>
      <c r="Q33" s="10">
        <f>'Financial Statements'!Q7</f>
        <v>0.7119410484006029</v>
      </c>
      <c r="R33" s="10">
        <f>'Financial Statements'!R7</f>
        <v>0.7249391043657486</v>
      </c>
      <c r="S33" s="10">
        <f>'Financial Statements'!S7</f>
        <v>0.68285650920381458</v>
      </c>
      <c r="T33" s="10">
        <f>'Financial Statements'!T7</f>
        <v>0.70566727605118829</v>
      </c>
      <c r="U33" s="10">
        <f>'Financial Statements'!U7</f>
        <v>0.68035130718954262</v>
      </c>
      <c r="V33" s="10">
        <f>'Financial Statements'!V7</f>
        <v>0.65</v>
      </c>
      <c r="W33" s="10">
        <f>'Financial Statements'!W7</f>
        <v>0.66512574040294314</v>
      </c>
      <c r="X33" s="10">
        <f>'Financial Statements'!X7</f>
        <v>0.65</v>
      </c>
      <c r="Y33" s="10">
        <f>'Financial Statements'!Y7</f>
        <v>0.65</v>
      </c>
      <c r="Z33" s="10">
        <f>'Financial Statements'!Z7</f>
        <v>0.65</v>
      </c>
      <c r="AA33" s="10">
        <f>'Financial Statements'!AA7</f>
        <v>0.65</v>
      </c>
      <c r="AB33" s="10">
        <f>'Financial Statements'!AB7</f>
        <v>0.65</v>
      </c>
      <c r="AC33" s="10">
        <f>'Financial Statements'!AC7</f>
        <v>0.65</v>
      </c>
      <c r="AD33" s="10">
        <f>'Financial Statements'!AD7</f>
        <v>0.65</v>
      </c>
      <c r="AE33" s="10">
        <f>'Financial Statements'!AE7</f>
        <v>0.65</v>
      </c>
      <c r="AF33" s="10">
        <f>'Financial Statements'!AF7</f>
        <v>0.65</v>
      </c>
      <c r="AG33" s="10">
        <f>'Financial Statements'!AG7</f>
        <v>0.65</v>
      </c>
      <c r="AH33" s="10">
        <f>'Financial Statements'!AH7</f>
        <v>0.65</v>
      </c>
      <c r="AI33" s="10">
        <f>'Financial Statements'!AI7</f>
        <v>0.65000000000000013</v>
      </c>
    </row>
    <row r="34" spans="2:38" x14ac:dyDescent="0.3">
      <c r="B34" t="s">
        <v>213</v>
      </c>
      <c r="C34" s="10">
        <f>'Financial Statements'!C12</f>
        <v>0.26398167589234578</v>
      </c>
      <c r="D34" s="10">
        <f>'Financial Statements'!D12</f>
        <v>0.15332401676981436</v>
      </c>
      <c r="E34" s="10">
        <f>'Financial Statements'!E12</f>
        <v>0.20989461358313816</v>
      </c>
      <c r="F34" s="10">
        <f>'Financial Statements'!F12</f>
        <v>0.24651810584958228</v>
      </c>
      <c r="G34" s="10">
        <f>'Financial Statements'!G12</f>
        <v>0.22402485329651362</v>
      </c>
      <c r="H34" s="10">
        <f>'Financial Statements'!H12</f>
        <v>0.23361710552365866</v>
      </c>
      <c r="I34" s="10">
        <f>'Financial Statements'!I12</f>
        <v>0.32992406632573995</v>
      </c>
      <c r="J34" s="10">
        <f>'Financial Statements'!J12</f>
        <v>0.18199520671060529</v>
      </c>
      <c r="K34" s="10">
        <f>'Financial Statements'!K12</f>
        <v>0.25470332850940669</v>
      </c>
      <c r="L34" s="10">
        <f>'Financial Statements'!L12</f>
        <v>0.36823895744435481</v>
      </c>
      <c r="M34" s="10">
        <f>'Financial Statements'!M12</f>
        <v>0.16187261520399171</v>
      </c>
      <c r="N34" s="10">
        <f>'Financial Statements'!N12</f>
        <v>0.27742977074588304</v>
      </c>
      <c r="O34" s="10">
        <f>'Financial Statements'!O12</f>
        <v>0.26558818910004711</v>
      </c>
      <c r="P34" s="10">
        <f>'Financial Statements'!P12</f>
        <v>0.24269058295964138</v>
      </c>
      <c r="Q34" s="10">
        <f>'Financial Statements'!Q12</f>
        <v>0.25489867693853635</v>
      </c>
      <c r="R34" s="10">
        <f>'Financial Statements'!R12</f>
        <v>0.2759977515458123</v>
      </c>
      <c r="S34" s="10">
        <f>'Financial Statements'!S12</f>
        <v>0.15457972943002876</v>
      </c>
      <c r="T34" s="10">
        <f>'Financial Statements'!T12</f>
        <v>0.22039406865732269</v>
      </c>
      <c r="U34" s="10">
        <f>'Financial Statements'!U12</f>
        <v>0.22201797385620925</v>
      </c>
      <c r="V34" s="10">
        <f>'Financial Statements'!V12</f>
        <v>0.24999999999999994</v>
      </c>
      <c r="W34" s="10">
        <f>'Financial Statements'!W12</f>
        <v>0.23596052550675331</v>
      </c>
      <c r="X34" s="10">
        <f>'Financial Statements'!X12</f>
        <v>0.25</v>
      </c>
      <c r="Y34" s="10">
        <f>'Financial Statements'!Y12</f>
        <v>0.24999999999999997</v>
      </c>
      <c r="Z34" s="10">
        <f>'Financial Statements'!Z12</f>
        <v>0.25000000000000006</v>
      </c>
      <c r="AA34" s="10">
        <f>'Financial Statements'!AA12</f>
        <v>0.25000000000000006</v>
      </c>
      <c r="AB34" s="10">
        <f>'Financial Statements'!AB12</f>
        <v>0.25000000000000006</v>
      </c>
      <c r="AC34" s="10">
        <f>'Financial Statements'!AC12</f>
        <v>0.24999999999999989</v>
      </c>
      <c r="AD34" s="10">
        <f>'Financial Statements'!AD12</f>
        <v>0.25</v>
      </c>
      <c r="AE34" s="10">
        <f>'Financial Statements'!AE12</f>
        <v>0.24999999999999994</v>
      </c>
      <c r="AF34" s="10">
        <f>'Financial Statements'!AF12</f>
        <v>0.25000000000000006</v>
      </c>
      <c r="AG34" s="10">
        <f>'Financial Statements'!AG12</f>
        <v>0.25000000000000006</v>
      </c>
      <c r="AH34" s="10">
        <f>'Financial Statements'!AH12</f>
        <v>0.25000000000000006</v>
      </c>
      <c r="AI34" s="10">
        <f>'Financial Statements'!AI12</f>
        <v>0.25000000000000011</v>
      </c>
    </row>
    <row r="35" spans="2:38" x14ac:dyDescent="0.3">
      <c r="B35" t="s">
        <v>251</v>
      </c>
      <c r="C35" s="10">
        <f>'Financial Statements'!C20</f>
        <v>0.29223134185913335</v>
      </c>
      <c r="D35" s="10">
        <f>'Financial Statements'!D20</f>
        <v>0.15112796965462172</v>
      </c>
      <c r="E35" s="10">
        <f>'Financial Statements'!E20</f>
        <v>0.22326307572209211</v>
      </c>
      <c r="F35" s="10">
        <f>'Financial Statements'!F20</f>
        <v>0.2841225626740948</v>
      </c>
      <c r="G35" s="10">
        <f>'Financial Statements'!G20</f>
        <v>0.25440110459095611</v>
      </c>
      <c r="H35" s="10">
        <f>'Financial Statements'!H20</f>
        <v>0.26707582656899626</v>
      </c>
      <c r="I35" s="10">
        <f>'Financial Statements'!I20</f>
        <v>0.33674260034092668</v>
      </c>
      <c r="J35" s="10">
        <f>'Financial Statements'!J20</f>
        <v>0.214200119832235</v>
      </c>
      <c r="K35" s="10">
        <f>'Financial Statements'!K20</f>
        <v>0.27443064970675607</v>
      </c>
      <c r="L35" s="10">
        <f>'Financial Statements'!L20</f>
        <v>0.38565332718256268</v>
      </c>
      <c r="M35" s="10">
        <f>'Financial Statements'!M20</f>
        <v>0.19415908423833278</v>
      </c>
      <c r="N35" s="10">
        <f>'Financial Statements'!N20</f>
        <v>0.30138844042621882</v>
      </c>
      <c r="O35" s="10">
        <f>'Financial Statements'!O20</f>
        <v>0.29951311449662321</v>
      </c>
      <c r="P35" s="10">
        <f>'Financial Statements'!P20</f>
        <v>0.26188340807174898</v>
      </c>
      <c r="Q35" s="10">
        <f>'Financial Statements'!Q20</f>
        <v>0.29835873388042211</v>
      </c>
      <c r="R35" s="10">
        <f>'Financial Statements'!R20</f>
        <v>0.3265879707700956</v>
      </c>
      <c r="S35" s="10">
        <f>'Financial Statements'!S20</f>
        <v>0.20758483033932129</v>
      </c>
      <c r="T35" s="10">
        <f>'Financial Statements'!T20</f>
        <v>0.27198862482226277</v>
      </c>
      <c r="U35" s="10">
        <f>'Financial Statements'!U20</f>
        <v>0.27205882352941185</v>
      </c>
      <c r="V35" s="10">
        <f>'Financial Statements'!V20</f>
        <v>0.24999999999999994</v>
      </c>
      <c r="W35" s="10">
        <f>'Financial Statements'!W20</f>
        <v>0.22888954930212541</v>
      </c>
      <c r="X35" s="10">
        <f>'Financial Statements'!X20</f>
        <v>0.25</v>
      </c>
      <c r="Y35" s="10">
        <f>'Financial Statements'!Y20</f>
        <v>0.24999999999999997</v>
      </c>
      <c r="Z35" s="10">
        <f>'Financial Statements'!Z20</f>
        <v>0.25000000000000006</v>
      </c>
      <c r="AA35" s="10">
        <f>'Financial Statements'!AA20</f>
        <v>0.25000000000000006</v>
      </c>
      <c r="AB35" s="10">
        <f>'Financial Statements'!AB20</f>
        <v>0.25000000000000006</v>
      </c>
      <c r="AC35" s="10">
        <f>'Financial Statements'!AC20</f>
        <v>0.24999999999999989</v>
      </c>
      <c r="AD35" s="10">
        <f>'Financial Statements'!AD20</f>
        <v>0.25</v>
      </c>
      <c r="AE35" s="10">
        <f>'Financial Statements'!AE20</f>
        <v>0.24999999999999994</v>
      </c>
      <c r="AF35" s="10">
        <f>'Financial Statements'!AF20</f>
        <v>0.25000000000000006</v>
      </c>
      <c r="AG35" s="10">
        <f>'Financial Statements'!AG20</f>
        <v>0.25000000000000006</v>
      </c>
      <c r="AH35" s="10">
        <f>'Financial Statements'!AH20</f>
        <v>0.25000000000000006</v>
      </c>
      <c r="AI35" s="10">
        <f>'Financial Statements'!AI20</f>
        <v>0.25000000000000011</v>
      </c>
    </row>
    <row r="36" spans="2:38" x14ac:dyDescent="0.3">
      <c r="B36" t="s">
        <v>252</v>
      </c>
      <c r="C36" s="10">
        <f>'Financial Statements'!C24</f>
        <v>0.235541133804161</v>
      </c>
      <c r="D36" s="10">
        <f>'Financial Statements'!D24</f>
        <v>8.7841884607706158E-2</v>
      </c>
      <c r="E36" s="10">
        <f>'Financial Statements'!E24</f>
        <v>0.16334894613583137</v>
      </c>
      <c r="F36" s="10">
        <f>'Financial Statements'!F24</f>
        <v>0.22748375116063146</v>
      </c>
      <c r="G36" s="10">
        <f>'Financial Statements'!G24</f>
        <v>0.21263375906109766</v>
      </c>
      <c r="H36" s="10">
        <f>'Financial Statements'!H24</f>
        <v>0.21896654127895468</v>
      </c>
      <c r="I36" s="10">
        <f>'Financial Statements'!I24</f>
        <v>0.29738106307143963</v>
      </c>
      <c r="J36" s="10">
        <f>'Financial Statements'!J24</f>
        <v>0.17255841821449983</v>
      </c>
      <c r="K36" s="10">
        <f>'Financial Statements'!K24</f>
        <v>0.23390966562571411</v>
      </c>
      <c r="L36" s="10">
        <f>'Financial Statements'!L24</f>
        <v>0.35762887786875802</v>
      </c>
      <c r="M36" s="10">
        <f>'Financial Statements'!M24</f>
        <v>0.14499559729967706</v>
      </c>
      <c r="N36" s="10">
        <f>'Financial Statements'!N24</f>
        <v>0.26406199547949621</v>
      </c>
      <c r="O36" s="10">
        <f>'Financial Statements'!O24</f>
        <v>0.2409297942516099</v>
      </c>
      <c r="P36" s="10">
        <f>'Financial Statements'!P24</f>
        <v>0.17883408071748891</v>
      </c>
      <c r="Q36" s="10">
        <f>'Financial Statements'!Q24</f>
        <v>0.21194104840060296</v>
      </c>
      <c r="R36" s="10">
        <f>'Financial Statements'!R24</f>
        <v>0.23683717444257077</v>
      </c>
      <c r="S36" s="10">
        <f>'Financial Statements'!S24</f>
        <v>9.3147039254823594E-2</v>
      </c>
      <c r="T36" s="10">
        <f>'Financial Statements'!T24</f>
        <v>0.17103392240503754</v>
      </c>
      <c r="U36" s="10">
        <f>'Financial Statements'!U24</f>
        <v>0.17851307189542495</v>
      </c>
      <c r="V36" s="10">
        <f>'Financial Statements'!V24</f>
        <v>0.2143803216650898</v>
      </c>
      <c r="W36" s="10">
        <f>'Financial Statements'!W24</f>
        <v>0.18931360291857102</v>
      </c>
      <c r="X36" s="10">
        <f>'Financial Statements'!X24</f>
        <v>0.2171823842089147</v>
      </c>
      <c r="Y36" s="10">
        <f>'Financial Statements'!Y24</f>
        <v>0.21757236267066427</v>
      </c>
      <c r="Z36" s="10">
        <f>'Financial Statements'!Z24</f>
        <v>0.21737677363320324</v>
      </c>
      <c r="AA36" s="10">
        <f>'Financial Statements'!AA24</f>
        <v>0.22015955948952801</v>
      </c>
      <c r="AB36" s="10">
        <f>'Financial Statements'!AB24</f>
        <v>0.22056920792666365</v>
      </c>
      <c r="AC36" s="10">
        <f>'Financial Statements'!AC24</f>
        <v>0.22036383850750252</v>
      </c>
      <c r="AD36" s="10">
        <f>'Financial Statements'!AD24</f>
        <v>0.22295503598802063</v>
      </c>
      <c r="AE36" s="10">
        <f>'Financial Statements'!AE24</f>
        <v>0.22338098731129272</v>
      </c>
      <c r="AF36" s="10">
        <f>'Financial Statements'!AF24</f>
        <v>0.22316753901224387</v>
      </c>
      <c r="AG36" s="10">
        <f>'Financial Statements'!AG24</f>
        <v>0.22592314700542795</v>
      </c>
      <c r="AH36" s="10">
        <f>'Financial Statements'!AH24</f>
        <v>0.22649572708020213</v>
      </c>
      <c r="AI36" s="10">
        <f>'Financial Statements'!AI24</f>
        <v>0.22620978586876875</v>
      </c>
    </row>
    <row r="37" spans="2:38" x14ac:dyDescent="0.3">
      <c r="B37" t="s">
        <v>253</v>
      </c>
      <c r="C37" s="10">
        <f>'Financial Statements'!C29</f>
        <v>0.16090857033785066</v>
      </c>
      <c r="D37" s="10">
        <f>'Financial Statements'!D29</f>
        <v>4.4919145538031578E-2</v>
      </c>
      <c r="E37" s="10">
        <f>'Financial Statements'!E29</f>
        <v>0.10421545667447304</v>
      </c>
      <c r="F37" s="10">
        <f>'Financial Statements'!F29</f>
        <v>0.15064995357474473</v>
      </c>
      <c r="G37" s="10">
        <f>'Financial Statements'!G29</f>
        <v>0.13686572316189161</v>
      </c>
      <c r="H37" s="10">
        <f>'Financial Statements'!H29</f>
        <v>0.14274401108691348</v>
      </c>
      <c r="I37" s="10">
        <f>'Financial Statements'!I29</f>
        <v>0.20765535409886871</v>
      </c>
      <c r="J37" s="10">
        <f>'Financial Statements'!J29</f>
        <v>0.11728579988016788</v>
      </c>
      <c r="K37" s="10">
        <f>'Financial Statements'!K29</f>
        <v>0.16170310000761678</v>
      </c>
      <c r="L37" s="10">
        <f>'Financial Statements'!L29</f>
        <v>0.25775573751585756</v>
      </c>
      <c r="M37" s="10">
        <f>'Financial Statements'!M29</f>
        <v>0.10272967420017605</v>
      </c>
      <c r="N37" s="10">
        <f>'Financial Statements'!N29</f>
        <v>0.18953826283500155</v>
      </c>
      <c r="O37" s="10">
        <f>'Financial Statements'!O29</f>
        <v>0.17716349929323078</v>
      </c>
      <c r="P37" s="10">
        <f>'Financial Statements'!P29</f>
        <v>0.12825112107623332</v>
      </c>
      <c r="Q37" s="10">
        <f>'Financial Statements'!Q29</f>
        <v>0.15432925808072354</v>
      </c>
      <c r="R37" s="10">
        <f>'Financial Statements'!R29</f>
        <v>0.17181937418025112</v>
      </c>
      <c r="S37" s="10">
        <f>'Financial Statements'!S29</f>
        <v>6.4315812818806717E-2</v>
      </c>
      <c r="T37" s="10">
        <f>'Financial Statements'!T29</f>
        <v>0.12258785293520205</v>
      </c>
      <c r="U37" s="10">
        <f>'Financial Statements'!U29</f>
        <v>0.12888071895424849</v>
      </c>
      <c r="V37" s="10">
        <f>'Financial Statements'!V29</f>
        <v>0.15884710624820034</v>
      </c>
      <c r="W37" s="10">
        <f>'Financial Statements'!W29</f>
        <v>0.13663856039023586</v>
      </c>
      <c r="X37" s="10">
        <f>'Financial Statements'!X29</f>
        <v>0.16071496431459686</v>
      </c>
      <c r="Y37" s="10">
        <f>'Financial Statements'!Y29</f>
        <v>0.16100354837629155</v>
      </c>
      <c r="Z37" s="10">
        <f>'Financial Statements'!Z29</f>
        <v>0.16085881248857042</v>
      </c>
      <c r="AA37" s="10">
        <f>'Financial Statements'!AA29</f>
        <v>0.16291807402225073</v>
      </c>
      <c r="AB37" s="10">
        <f>'Financial Statements'!AB29</f>
        <v>0.1632212138657311</v>
      </c>
      <c r="AC37" s="10">
        <f>'Financial Statements'!AC29</f>
        <v>0.16306924049555183</v>
      </c>
      <c r="AD37" s="10">
        <f>'Financial Statements'!AD29</f>
        <v>0.16498672663113528</v>
      </c>
      <c r="AE37" s="10">
        <f>'Financial Statements'!AE29</f>
        <v>0.16530193061035661</v>
      </c>
      <c r="AF37" s="10">
        <f>'Financial Statements'!AF29</f>
        <v>0.16514397886906049</v>
      </c>
      <c r="AG37" s="10">
        <f>'Financial Statements'!AG29</f>
        <v>0.1671831287840167</v>
      </c>
      <c r="AH37" s="10">
        <f>'Financial Statements'!AH29</f>
        <v>0.16760683803934959</v>
      </c>
      <c r="AI37" s="10">
        <f>'Financial Statements'!AI29</f>
        <v>0.1673952415428889</v>
      </c>
    </row>
    <row r="38" spans="2:38" s="244" customFormat="1" x14ac:dyDescent="0.3">
      <c r="B38" s="244" t="s">
        <v>254</v>
      </c>
      <c r="C38" s="244">
        <f>'Financial Statements'!C33/'Financial Statements'!C63</f>
        <v>3.5099953509995334E-2</v>
      </c>
      <c r="D38" s="244">
        <f>'Financial Statements'!D33/'Financial Statements'!D63</f>
        <v>8.103843947217448E-3</v>
      </c>
      <c r="E38" s="244">
        <f>'Financial Statements'!E33/'Financial Statements'!E63</f>
        <v>4.0592390719690168E-2</v>
      </c>
      <c r="F38" s="244">
        <f>'Financial Statements'!F33/'Financial Statements'!F63</f>
        <v>2.480602377403204E-2</v>
      </c>
      <c r="G38" s="244">
        <f>'Financial Statements'!G33/'Financial Statements'!G63</f>
        <v>2.8513897378735033E-2</v>
      </c>
      <c r="H38" s="244">
        <f>'Financial Statements'!H33/'Financial Statements'!H63</f>
        <v>5.1849987415051597E-2</v>
      </c>
      <c r="I38" s="244">
        <f>'Financial Statements'!I33/'Financial Statements'!I63</f>
        <v>4.7276319503245824E-2</v>
      </c>
      <c r="J38" s="244">
        <f>'Financial Statements'!J33/'Financial Statements'!J63</f>
        <v>2.6288400201443712E-2</v>
      </c>
      <c r="K38" s="244">
        <f>'Financial Statements'!K33/'Financial Statements'!K63</f>
        <v>7.1275095682535455E-2</v>
      </c>
      <c r="L38" s="244">
        <f>'Financial Statements'!L33/'Financial Statements'!L63</f>
        <v>7.1056145482291638E-2</v>
      </c>
      <c r="M38" s="244">
        <f>'Financial Statements'!M33/'Financial Statements'!M63</f>
        <v>2.1964229683087529E-2</v>
      </c>
      <c r="N38" s="244">
        <f>'Financial Statements'!N33/'Financial Statements'!N63</f>
        <v>9.2092877314088453E-2</v>
      </c>
      <c r="O38" s="244">
        <f>'Financial Statements'!O33/'Financial Statements'!O63</f>
        <v>3.1831136947258525E-2</v>
      </c>
      <c r="P38" s="244">
        <f>'Financial Statements'!P33/'Financial Statements'!P63</f>
        <v>2.1212211113418596E-2</v>
      </c>
      <c r="Q38" s="244">
        <f>'Financial Statements'!Q33/'Financial Statements'!Q63</f>
        <v>5.4677070044797833E-2</v>
      </c>
      <c r="R38" s="244">
        <f>'Financial Statements'!R33/'Financial Statements'!R63</f>
        <v>2.7182451459908111E-2</v>
      </c>
      <c r="S38" s="244">
        <f>'Financial Statements'!S33/'Financial Statements'!S63</f>
        <v>8.4691314759651765E-3</v>
      </c>
      <c r="T38" s="244">
        <f>'Financial Statements'!T33/'Financial Statements'!T63</f>
        <v>3.5249109280999932E-2</v>
      </c>
      <c r="U38" s="244">
        <f>'Financial Statements'!U33/'Financial Statements'!U63</f>
        <v>1.8204409512526384E-2</v>
      </c>
      <c r="V38" s="244">
        <f>'Financial Statements'!V33/'Financial Statements'!V63</f>
        <v>2.2248758391279645E-2</v>
      </c>
      <c r="W38" s="244">
        <f>'Financial Statements'!W33/'Financial Statements'!W63</f>
        <v>3.8380515720784388E-2</v>
      </c>
      <c r="X38" s="244">
        <f>'Financial Statements'!X33/'Financial Statements'!X63</f>
        <v>2.2834756944713892E-2</v>
      </c>
      <c r="Y38" s="244">
        <f>'Financial Statements'!Y33/'Financial Statements'!Y63</f>
        <v>2.2302524365182923E-2</v>
      </c>
      <c r="Z38" s="244">
        <f>'Financial Statements'!Z33/'Financial Statements'!Z63</f>
        <v>4.470245982310414E-2</v>
      </c>
      <c r="AA38" s="244">
        <f>'Financial Statements'!AA33/'Financial Statements'!AA63</f>
        <v>2.3111384947981276E-2</v>
      </c>
      <c r="AB38" s="244">
        <f>'Financial Statements'!AB33/'Financial Statements'!AB63</f>
        <v>2.2582029876396133E-2</v>
      </c>
      <c r="AC38" s="244">
        <f>'Financial Statements'!AC33/'Financial Statements'!AC63</f>
        <v>4.5242434221418285E-2</v>
      </c>
      <c r="AD38" s="244">
        <f>'Financial Statements'!AD33/'Financial Statements'!AD63</f>
        <v>2.3329447462068383E-2</v>
      </c>
      <c r="AE38" s="244">
        <f>'Financial Statements'!AE33/'Financial Statements'!AE63</f>
        <v>2.2806731564469929E-2</v>
      </c>
      <c r="AF38" s="244">
        <f>'Financial Statements'!AF33/'Financial Statements'!AF63</f>
        <v>4.5671231868232395E-2</v>
      </c>
      <c r="AG38" s="244">
        <f>'Financial Statements'!AG33/'Financial Statements'!AG63</f>
        <v>2.3864783394484071E-2</v>
      </c>
      <c r="AH38" s="244">
        <f>'Financial Statements'!AH33/'Financial Statements'!AH63</f>
        <v>2.3473465607234706E-2</v>
      </c>
      <c r="AI38" s="244">
        <f>'Financial Statements'!AI33/'Financial Statements'!AI63</f>
        <v>4.6830602642588835E-2</v>
      </c>
      <c r="AL38" s="244" t="s">
        <v>272</v>
      </c>
    </row>
    <row r="39" spans="2:38" s="244" customFormat="1" x14ac:dyDescent="0.3">
      <c r="B39" s="244" t="s">
        <v>255</v>
      </c>
      <c r="C39" s="244">
        <f>'Financial Statements'!C11/('Financial Statements'!C63-'Financial Statements'!C86)</f>
        <v>6.9602415702063394E-2</v>
      </c>
      <c r="D39" s="244">
        <f>'Financial Statements'!D11/('Financial Statements'!D63-'Financial Statements'!D86)</f>
        <v>3.9441248972884146E-2</v>
      </c>
      <c r="E39" s="244">
        <f>'Financial Statements'!E11/('Financial Statements'!E63-'Financial Statements'!E86)</f>
        <v>0.11046631059983562</v>
      </c>
      <c r="F39" s="244">
        <f>'Financial Statements'!F11/('Financial Statements'!F63-'Financial Statements'!F86)</f>
        <v>5.3331994174659787E-2</v>
      </c>
      <c r="G39" s="244">
        <f>'Financial Statements'!G11/('Financial Statements'!G63-'Financial Statements'!G86)</f>
        <v>6.2969970407024692E-2</v>
      </c>
      <c r="H39" s="244">
        <f>'Financial Statements'!H11/('Financial Statements'!H63-'Financial Statements'!H86)</f>
        <v>0.11449085528549943</v>
      </c>
      <c r="I39" s="244">
        <f>'Financial Statements'!I11/('Financial Statements'!I63-'Financial Statements'!I86)</f>
        <v>0.10675960284825993</v>
      </c>
      <c r="J39" s="244">
        <f>'Financial Statements'!J11/('Financial Statements'!J63-'Financial Statements'!J86)</f>
        <v>5.754748259366272E-2</v>
      </c>
      <c r="K39" s="244">
        <f>'Financial Statements'!K11/('Financial Statements'!K63-'Financial Statements'!K86)</f>
        <v>0.1583783271762812</v>
      </c>
      <c r="L39" s="244">
        <f>'Financial Statements'!L11/('Financial Statements'!L63-'Financial Statements'!L86)</f>
        <v>0.14994130077482984</v>
      </c>
      <c r="M39" s="244">
        <f>'Financial Statements'!M11/('Financial Statements'!M63-'Financial Statements'!M86)</f>
        <v>5.1261793000883009E-2</v>
      </c>
      <c r="N39" s="244">
        <f>'Financial Statements'!N11/('Financial Statements'!N63-'Financial Statements'!N86)</f>
        <v>0.19965608588557882</v>
      </c>
      <c r="O39" s="244">
        <f>'Financial Statements'!O11/('Financial Statements'!O63-'Financial Statements'!O86)</f>
        <v>6.6658782718385379E-2</v>
      </c>
      <c r="P39" s="244">
        <f>'Financial Statements'!P11/('Financial Statements'!P63-'Financial Statements'!P86)</f>
        <v>5.5546432383611156E-2</v>
      </c>
      <c r="Q39" s="244">
        <f>'Financial Statements'!Q11/('Financial Statements'!Q63-'Financial Statements'!Q86)</f>
        <v>0.12496920929468761</v>
      </c>
      <c r="R39" s="244">
        <f>'Financial Statements'!R11/('Financial Statements'!R63-'Financial Statements'!R86)</f>
        <v>5.92732686813408E-2</v>
      </c>
      <c r="S39" s="244">
        <f>'Financial Statements'!S11/('Financial Statements'!S63-'Financial Statements'!S86)</f>
        <v>2.7235073460456383E-2</v>
      </c>
      <c r="T39" s="244">
        <f>'Financial Statements'!T11/('Financial Statements'!T63-'Financial Statements'!T86)</f>
        <v>8.4792122538293213E-2</v>
      </c>
      <c r="U39" s="244">
        <f>'Financial Statements'!U11/('Financial Statements'!U63-'Financial Statements'!U86)</f>
        <v>4.2060052623432931E-2</v>
      </c>
      <c r="V39" s="244">
        <f>'Financial Statements'!V11/('Financial Statements'!V63-'Financial Statements'!V86)</f>
        <v>4.584153418662535E-2</v>
      </c>
      <c r="W39" s="244">
        <f>'Financial Statements'!W11/('Financial Statements'!W63-'Financial Statements'!W86)</f>
        <v>8.683511541393954E-2</v>
      </c>
      <c r="X39" s="244">
        <f>'Financial Statements'!X11/('Financial Statements'!X63-'Financial Statements'!X86)</f>
        <v>4.6936603762682091E-2</v>
      </c>
      <c r="Y39" s="244">
        <f>'Financial Statements'!Y11/('Financial Statements'!Y63-'Financial Statements'!Y86)</f>
        <v>4.5450771683237488E-2</v>
      </c>
      <c r="Z39" s="244">
        <f>'Financial Statements'!Z11/('Financial Statements'!Z63-'Financial Statements'!Z86)</f>
        <v>9.1182028504059334E-2</v>
      </c>
      <c r="AA39" s="244">
        <f>'Financial Statements'!AA11/('Financial Statements'!AA63-'Financial Statements'!AA86)</f>
        <v>4.6478917180130017E-2</v>
      </c>
      <c r="AB39" s="244">
        <f>'Financial Statements'!AB11/('Financial Statements'!AB63-'Financial Statements'!AB86)</f>
        <v>4.503084182903172E-2</v>
      </c>
      <c r="AC39" s="244">
        <f>'Financial Statements'!AC11/('Financial Statements'!AC63-'Financial Statements'!AC86)</f>
        <v>9.0302049427576553E-2</v>
      </c>
      <c r="AD39" s="244">
        <f>'Financial Statements'!AD11/('Financial Statements'!AD63-'Financial Statements'!AD86)</f>
        <v>4.5993077307275206E-2</v>
      </c>
      <c r="AE39" s="244">
        <f>'Financial Statements'!AE11/('Financial Statements'!AE63-'Financial Statements'!AE86)</f>
        <v>4.4588131756790099E-2</v>
      </c>
      <c r="AF39" s="244">
        <f>'Financial Statements'!AF11/('Financial Statements'!AF63-'Financial Statements'!AF86)</f>
        <v>8.9374604401345273E-2</v>
      </c>
      <c r="AG39" s="244">
        <f>'Financial Statements'!AG11/('Financial Statements'!AG63-'Financial Statements'!AG86)</f>
        <v>4.611445816598584E-2</v>
      </c>
      <c r="AH39" s="244">
        <f>'Financial Statements'!AH11/('Financial Statements'!AH63-'Financial Statements'!AH86)</f>
        <v>4.4975575911218188E-2</v>
      </c>
      <c r="AI39" s="244">
        <f>'Financial Statements'!AI11/('Financial Statements'!AI63-'Financial Statements'!AI86)</f>
        <v>8.9841685520658202E-2</v>
      </c>
      <c r="AL39" s="244" t="s">
        <v>273</v>
      </c>
    </row>
    <row r="40" spans="2:38" s="244" customFormat="1" x14ac:dyDescent="0.3">
      <c r="B40" s="244" t="s">
        <v>256</v>
      </c>
      <c r="C40" s="244">
        <f>'Financial Statements'!C33/'Financial Statements'!C72</f>
        <v>6.5490819719531551E-2</v>
      </c>
      <c r="D40" s="244">
        <f>'Financial Statements'!D33/'Financial Statements'!D72</f>
        <v>1.6104895603220992E-2</v>
      </c>
      <c r="E40" s="244">
        <f>'Financial Statements'!E33/'Financial Statements'!E72</f>
        <v>8.0666999216133364E-2</v>
      </c>
      <c r="F40" s="244">
        <f>'Financial Statements'!F33/'Financial Statements'!F72</f>
        <v>4.4279184007641428E-2</v>
      </c>
      <c r="G40" s="244">
        <f>'Financial Statements'!G33/'Financial Statements'!G72</f>
        <v>5.118770978569586E-2</v>
      </c>
      <c r="H40" s="244">
        <f>'Financial Statements'!H33/'Financial Statements'!H72</f>
        <v>9.3080299509424258E-2</v>
      </c>
      <c r="I40" s="244">
        <f>'Financial Statements'!I33/'Financial Statements'!I72</f>
        <v>8.45159255755282E-2</v>
      </c>
      <c r="J40" s="244">
        <f>'Financial Statements'!J33/'Financial Statements'!J72</f>
        <v>4.7120418848167603E-2</v>
      </c>
      <c r="K40" s="244">
        <f>'Financial Statements'!K33/'Financial Statements'!K72</f>
        <v>0.12776072696635982</v>
      </c>
      <c r="L40" s="244">
        <f>'Financial Statements'!L33/'Financial Statements'!L72</f>
        <v>0.12843351338926565</v>
      </c>
      <c r="M40" s="244">
        <f>'Financial Statements'!M33/'Financial Statements'!M72</f>
        <v>3.9881494986326323E-2</v>
      </c>
      <c r="N40" s="244">
        <f>'Financial Statements'!N33/'Financial Statements'!N72</f>
        <v>0.16722693863597507</v>
      </c>
      <c r="O40" s="244">
        <f>'Financial Statements'!O33/'Financial Statements'!O72</f>
        <v>6.3434934203126778E-2</v>
      </c>
      <c r="P40" s="244">
        <f>'Financial Statements'!P33/'Financial Statements'!P72</f>
        <v>3.8740788903337708E-2</v>
      </c>
      <c r="Q40" s="244">
        <f>'Financial Statements'!Q33/'Financial Statements'!Q72</f>
        <v>9.9864535356272044E-2</v>
      </c>
      <c r="R40" s="244">
        <f>'Financial Statements'!R33/'Financial Statements'!R72</f>
        <v>4.8268238761974953E-2</v>
      </c>
      <c r="S40" s="244">
        <f>'Financial Statements'!S33/'Financial Statements'!S72</f>
        <v>1.5031358523816901E-2</v>
      </c>
      <c r="T40" s="244">
        <f>'Financial Statements'!T33/'Financial Statements'!T72</f>
        <v>6.2561550821541453E-2</v>
      </c>
      <c r="U40" s="244">
        <f>'Financial Statements'!U33/'Financial Statements'!U72</f>
        <v>3.2735775526110698E-2</v>
      </c>
      <c r="V40" s="244">
        <f>'Financial Statements'!V33/'Financial Statements'!V72</f>
        <v>3.8583855450490666E-2</v>
      </c>
      <c r="W40" s="244">
        <f>'Financial Statements'!W33/'Financial Statements'!W72</f>
        <v>6.6559591535069795E-2</v>
      </c>
      <c r="X40" s="244">
        <f>'Financial Statements'!X33/'Financial Statements'!X72</f>
        <v>3.9295507722362025E-2</v>
      </c>
      <c r="Y40" s="244">
        <f>'Financial Statements'!Y33/'Financial Statements'!Y72</f>
        <v>3.7651520939699687E-2</v>
      </c>
      <c r="Z40" s="244">
        <f>'Financial Statements'!Z33/'Financial Statements'!Z72</f>
        <v>7.5467493030217103E-2</v>
      </c>
      <c r="AA40" s="244">
        <f>'Financial Statements'!AA33/'Financial Statements'!AA72</f>
        <v>3.8359377038060007E-2</v>
      </c>
      <c r="AB40" s="244">
        <f>'Financial Statements'!AB33/'Financial Statements'!AB72</f>
        <v>3.6819227516442468E-2</v>
      </c>
      <c r="AC40" s="244">
        <f>'Financial Statements'!AC33/'Financial Statements'!AC72</f>
        <v>7.376624192394908E-2</v>
      </c>
      <c r="AD40" s="244">
        <f>'Financial Statements'!AD33/'Financial Statements'!AD72</f>
        <v>3.7475745486533388E-2</v>
      </c>
      <c r="AE40" s="244">
        <f>'Financial Statements'!AE33/'Financial Statements'!AE72</f>
        <v>3.6034068726571292E-2</v>
      </c>
      <c r="AF40" s="244">
        <f>'Financial Statements'!AF33/'Financial Statements'!AF72</f>
        <v>7.2159410624663481E-2</v>
      </c>
      <c r="AG40" s="244">
        <f>'Financial Statements'!AG33/'Financial Statements'!AG72</f>
        <v>3.7201035739333595E-2</v>
      </c>
      <c r="AH40" s="244">
        <f>'Financial Statements'!AH33/'Financial Statements'!AH72</f>
        <v>3.6038949432239446E-2</v>
      </c>
      <c r="AI40" s="244">
        <f>'Financial Statements'!AI33/'Financial Statements'!AI72</f>
        <v>7.189929892573628E-2</v>
      </c>
      <c r="AL40" s="244" t="s">
        <v>274</v>
      </c>
    </row>
    <row r="42" spans="2:38" x14ac:dyDescent="0.3">
      <c r="B42" s="3" t="s">
        <v>257</v>
      </c>
    </row>
    <row r="44" spans="2:38" x14ac:dyDescent="0.3">
      <c r="B44" t="s">
        <v>258</v>
      </c>
      <c r="C44" s="51">
        <f>'Financial Statements'!C41</f>
        <v>1.606545068420238</v>
      </c>
    </row>
    <row r="45" spans="2:38" x14ac:dyDescent="0.3">
      <c r="B45" t="s">
        <v>259</v>
      </c>
      <c r="C45">
        <f>'DCF '!C23/'Financial Statements'!C33</f>
        <v>0.40640176600441524</v>
      </c>
    </row>
    <row r="46" spans="2:38" x14ac:dyDescent="0.3">
      <c r="B46" t="s">
        <v>260</v>
      </c>
    </row>
    <row r="47" spans="2:38" x14ac:dyDescent="0.3">
      <c r="B47" t="s">
        <v>261</v>
      </c>
    </row>
    <row r="48" spans="2:38" x14ac:dyDescent="0.3">
      <c r="B48" t="s">
        <v>262</v>
      </c>
    </row>
    <row r="49" spans="2:23" x14ac:dyDescent="0.3">
      <c r="B49" t="s">
        <v>263</v>
      </c>
    </row>
    <row r="50" spans="2:23" x14ac:dyDescent="0.3">
      <c r="B50" t="s">
        <v>264</v>
      </c>
    </row>
    <row r="51" spans="2:23" x14ac:dyDescent="0.3">
      <c r="B51" t="s">
        <v>265</v>
      </c>
    </row>
    <row r="52" spans="2:23" x14ac:dyDescent="0.3">
      <c r="B52" t="s">
        <v>266</v>
      </c>
    </row>
    <row r="53" spans="2:23" x14ac:dyDescent="0.3">
      <c r="B53" t="s">
        <v>267</v>
      </c>
    </row>
    <row r="54" spans="2:23" x14ac:dyDescent="0.3">
      <c r="B54" t="s">
        <v>268</v>
      </c>
    </row>
    <row r="55" spans="2:23" x14ac:dyDescent="0.3">
      <c r="B55" t="s">
        <v>269</v>
      </c>
    </row>
    <row r="56" spans="2:23" x14ac:dyDescent="0.3">
      <c r="B56" t="s">
        <v>270</v>
      </c>
      <c r="C56" s="51">
        <f>('Financial Statements'!C107+'Financial Statements'!C109+'Financial Statements'!C112)/('Financial Statements'!C45/1000)</f>
        <v>9.5287370606182878E-2</v>
      </c>
      <c r="D56" s="51">
        <f>('Financial Statements'!D107+'Financial Statements'!D109+'Financial Statements'!D112)/('Financial Statements'!D45/1000)</f>
        <v>0.37594712435372896</v>
      </c>
      <c r="E56" s="51">
        <f>('Financial Statements'!E107+'Financial Statements'!E109+'Financial Statements'!E112)/('Financial Statements'!E45/1000)</f>
        <v>0.47327353725748661</v>
      </c>
      <c r="F56" s="51">
        <f>('Financial Statements'!F107+'Financial Statements'!F109+'Financial Statements'!F112)/('Financial Statements'!F45/1000)</f>
        <v>0.62109290174260767</v>
      </c>
      <c r="G56" s="51">
        <f>('Financial Statements'!G107+'Financial Statements'!G109+'Financial Statements'!G112)/('Financial Statements'!G45/1000)</f>
        <v>3.0752487926609327</v>
      </c>
      <c r="H56" s="51">
        <f>('Financial Statements'!H107+'Financial Statements'!H109+'Financial Statements'!H112)/('Financial Statements'!H45/1000)</f>
        <v>3.6925779202797138</v>
      </c>
      <c r="I56" s="51">
        <f>('Financial Statements'!I107+'Financial Statements'!I109+'Financial Statements'!I112)/('Financial Statements'!I45/1000)</f>
        <v>0.57190249996806064</v>
      </c>
      <c r="J56" s="51">
        <f>('Financial Statements'!J107+'Financial Statements'!J109+'Financial Statements'!J112)/('Financial Statements'!J45/1000)</f>
        <v>1.1734661328394589</v>
      </c>
      <c r="K56" s="51">
        <f>('Financial Statements'!K107+'Financial Statements'!K109+'Financial Statements'!K112)/('Financial Statements'!K45/1000)</f>
        <v>1.7457000295783058</v>
      </c>
      <c r="L56" s="51">
        <f>('Financial Statements'!L107+'Financial Statements'!L109+'Financial Statements'!L112)/('Financial Statements'!L45/1000)</f>
        <v>0.32421698847229136</v>
      </c>
      <c r="M56" s="51">
        <f>('Financial Statements'!M107+'Financial Statements'!M109+'Financial Statements'!M112)/('Financial Statements'!M45/1000)</f>
        <v>0.61432814390130985</v>
      </c>
      <c r="N56" s="51">
        <f>('Financial Statements'!N107+'Financial Statements'!N109+'Financial Statements'!N112)/('Financial Statements'!N45/1000)</f>
        <v>0.93990268073228767</v>
      </c>
      <c r="O56" s="51">
        <f>('Financial Statements'!O107+'Financial Statements'!O109+'Financial Statements'!O112)/('Financial Statements'!O45/1000)</f>
        <v>-1.9346791492583972</v>
      </c>
      <c r="P56" s="51">
        <f>('Financial Statements'!P107+'Financial Statements'!P109+'Financial Statements'!P112)/('Financial Statements'!P45/1000)</f>
        <v>2.1948687411762653</v>
      </c>
      <c r="Q56" s="51">
        <f>('Financial Statements'!Q107+'Financial Statements'!Q109+'Financial Statements'!Q112)/('Financial Statements'!Q45/1000)</f>
        <v>0.26995711789868559</v>
      </c>
      <c r="R56" s="51">
        <f>('Financial Statements'!R107+'Financial Statements'!R109+'Financial Statements'!R112)/('Financial Statements'!R45/1000)</f>
        <v>-0.14974328070297721</v>
      </c>
      <c r="S56" s="51"/>
      <c r="T56" s="51"/>
      <c r="U56" s="51">
        <f>('Financial Statements'!U107+'Financial Statements'!U109+'Financial Statements'!U112)/('Financial Statements'!U45/1000)</f>
        <v>-0.31355160476284805</v>
      </c>
    </row>
    <row r="57" spans="2:23" x14ac:dyDescent="0.3">
      <c r="B57" t="s">
        <v>271</v>
      </c>
      <c r="C57" s="284">
        <f>('Financial Statements'!C74+'Financial Statements'!C80-'Financial Statements'!C61)/'Financial Statements'!C19</f>
        <v>2.9973873285434363</v>
      </c>
      <c r="D57" s="284">
        <f>('Financial Statements'!D74+'Financial Statements'!D80-'Financial Statements'!D61)/'Financial Statements'!D19</f>
        <v>5.956406869220606</v>
      </c>
      <c r="E57" s="284">
        <f>('Financial Statements'!E74+'Financial Statements'!E80-'Financial Statements'!E61)/'Financial Statements'!E19</f>
        <v>1.9707167832167833</v>
      </c>
      <c r="F57" s="284">
        <f>('Financial Statements'!F74+'Financial Statements'!F80-'Financial Statements'!F61)/'Financial Statements'!F19</f>
        <v>3.4910130718954235</v>
      </c>
      <c r="G57" s="284">
        <f>('Financial Statements'!G74+'Financial Statements'!G80-'Financial Statements'!G61)/'Financial Statements'!G19</f>
        <v>2.1322930800542736</v>
      </c>
      <c r="H57" s="284">
        <f>('Financial Statements'!H74+'Financial Statements'!H80-'Financial Statements'!H61)/'Financial Statements'!H19</f>
        <v>1.1649369903632318</v>
      </c>
      <c r="I57" s="284">
        <f>('Financial Statements'!I74+'Financial Statements'!I80-'Financial Statements'!I61)/'Financial Statements'!I19</f>
        <v>1.3787390704095719</v>
      </c>
      <c r="J57" s="284">
        <f>('Financial Statements'!J74+'Financial Statements'!J80-'Financial Statements'!J61)/'Financial Statements'!J19</f>
        <v>2.4706293706293683</v>
      </c>
      <c r="K57" s="284">
        <f>('Financial Statements'!K74+'Financial Statements'!K80-'Financial Statements'!K61)/'Financial Statements'!K19</f>
        <v>0.98057174576741568</v>
      </c>
      <c r="L57" s="284">
        <f>('Financial Statements'!L74+'Financial Statements'!L80-'Financial Statements'!L61)/'Financial Statements'!L19</f>
        <v>1.0412679425837319</v>
      </c>
      <c r="M57" s="284">
        <f>('Financial Statements'!M74+'Financial Statements'!M80-'Financial Statements'!M61)/'Financial Statements'!M19</f>
        <v>4.0566893424036294</v>
      </c>
      <c r="N57" s="284">
        <f>('Financial Statements'!N74+'Financial Statements'!N80-'Financial Statements'!N61)/'Financial Statements'!N19</f>
        <v>1.1499892864795376</v>
      </c>
      <c r="O57" s="284">
        <f>('Financial Statements'!O74+'Financial Statements'!O80-'Financial Statements'!O61)/'Financial Statements'!O19</f>
        <v>3.0964866282118506</v>
      </c>
      <c r="P57" s="284">
        <f>('Financial Statements'!P74+'Financial Statements'!P80-'Financial Statements'!P61)/'Financial Statements'!P19</f>
        <v>4.4499999999999984</v>
      </c>
      <c r="Q57" s="284">
        <f>('Financial Statements'!Q74+'Financial Statements'!Q80-'Financial Statements'!Q61)/'Financial Statements'!Q19</f>
        <v>1.8234633735616048</v>
      </c>
      <c r="R57" s="287">
        <f>('Financial Statements'!R74+'Financial Statements'!R80-'Financial Statements'!R61)/'Financial Statements'!R19</f>
        <v>3.6965002868617316</v>
      </c>
      <c r="S57" s="284">
        <f>('Financial Statements'!S74+'Financial Statements'!S80-'Financial Statements'!S61)/'Financial Statements'!S19</f>
        <v>7.2168803418803442</v>
      </c>
      <c r="T57" s="284">
        <f>('Financial Statements'!T74+'Financial Statements'!T80-'Financial Statements'!T61)/'Financial Statements'!T19</f>
        <v>2.5224047796863336</v>
      </c>
      <c r="U57" s="287">
        <f>('Financial Statements'!U74+'Financial Statements'!U80-'Financial Statements'!U61)/'Financial Statements'!U19</f>
        <v>5.156156156156154</v>
      </c>
    </row>
    <row r="58" spans="2:23" x14ac:dyDescent="0.3">
      <c r="B58" t="s">
        <v>291</v>
      </c>
      <c r="C58" s="51">
        <f>'DCF '!$C$17/'Financial Statements'!C19</f>
        <v>8.7015621863106212</v>
      </c>
      <c r="D58" s="51">
        <f>'DCF '!$C$17/'Financial Statements'!D19</f>
        <v>17.598535940873919</v>
      </c>
      <c r="E58" s="51">
        <f>'DCF '!$C$17/'Financial Statements'!E19</f>
        <v>5.8225925293887935</v>
      </c>
      <c r="F58" s="51">
        <f>'DCF '!$C$17/'Financial Statements'!F19</f>
        <v>10.884061852321532</v>
      </c>
      <c r="G58" s="51">
        <f>'DCF '!$C$17/'Financial Statements'!G19</f>
        <v>9.0380540754691712</v>
      </c>
      <c r="H58" s="51">
        <f>'DCF '!$C$17/'Financial Statements'!H19</f>
        <v>4.9377656438997626</v>
      </c>
      <c r="I58" s="51">
        <f>'DCF '!$C$17/'Financial Statements'!I19</f>
        <v>6.1307370949109803</v>
      </c>
      <c r="J58" s="51">
        <f>'DCF '!$C$17/'Financial Statements'!J19</f>
        <v>9.3161480470220628</v>
      </c>
      <c r="K58" s="51">
        <f>'DCF '!$C$17/'Financial Statements'!K19</f>
        <v>3.6974997799726772</v>
      </c>
      <c r="L58" s="51">
        <f>'DCF '!$C$17/'Financial Statements'!L19</f>
        <v>3.9838790990554891</v>
      </c>
      <c r="M58" s="51">
        <f>'DCF '!$C$17/'Financial Statements'!M19</f>
        <v>10.069608244324689</v>
      </c>
      <c r="N58" s="51">
        <f>'DCF '!$C$17/'Financial Statements'!N19</f>
        <v>2.8545300422630304</v>
      </c>
      <c r="O58" s="51">
        <f>'DCF '!$C$17/'Financial Statements'!O19</f>
        <v>6.9858897258739159</v>
      </c>
      <c r="P58" s="51">
        <f>'DCF '!$C$17/'Financial Statements'!P19</f>
        <v>9.1247203474257219</v>
      </c>
      <c r="Q58" s="51">
        <f>'DCF '!$C$17/'Financial Statements'!Q19</f>
        <v>3.7390097410164342</v>
      </c>
      <c r="R58" s="51">
        <f>'DCF '!$C$17/'Financial Statements'!R19</f>
        <v>7.6431966191862051</v>
      </c>
      <c r="S58" s="51"/>
      <c r="T58" s="51"/>
      <c r="U58" s="51">
        <f>'DCF '!$C$17/'Financial Statements'!U19</f>
        <v>10.001570350781948</v>
      </c>
    </row>
    <row r="59" spans="2:23" x14ac:dyDescent="0.3">
      <c r="B59" t="s">
        <v>293</v>
      </c>
      <c r="C59" s="51">
        <f>'Financial Statements'!C107+'Financial Statements'!C109+'Financial Statements'!C112</f>
        <v>5.0000000000000142</v>
      </c>
      <c r="D59" s="51">
        <f>'Financial Statements'!D107+'Financial Statements'!D109+'Financial Statements'!D112</f>
        <v>19.70000000000001</v>
      </c>
      <c r="E59" s="51">
        <f>'Financial Statements'!E107+'Financial Statements'!E109+'Financial Statements'!E112</f>
        <v>24.800000000000033</v>
      </c>
      <c r="F59" s="51">
        <f>'Financial Statements'!F107+'Financial Statements'!F109+'Financial Statements'!F112</f>
        <v>32.600000000000009</v>
      </c>
      <c r="G59" s="51">
        <f>'Financial Statements'!G107+'Financial Statements'!G109+'Financial Statements'!G112</f>
        <v>161.89999999999998</v>
      </c>
      <c r="H59" s="51">
        <f>'Financial Statements'!H107+'Financial Statements'!H109+'Financial Statements'!H112</f>
        <v>194.40000000000009</v>
      </c>
      <c r="I59" s="51">
        <f>'Financial Statements'!I107+'Financial Statements'!I109+'Financial Statements'!I112</f>
        <v>29.499999999999996</v>
      </c>
      <c r="J59" s="51">
        <f>'Financial Statements'!J107+'Financial Statements'!J109+'Financial Statements'!J112</f>
        <v>60.699999999999974</v>
      </c>
      <c r="K59" s="51">
        <f>'Financial Statements'!K107+'Financial Statements'!K109+'Financial Statements'!K112</f>
        <v>90.299999999999983</v>
      </c>
      <c r="L59" s="51">
        <f>'Financial Statements'!L107+'Financial Statements'!L109+'Financial Statements'!L112</f>
        <v>16.800000000000004</v>
      </c>
      <c r="M59" s="51">
        <f>'Financial Statements'!M107+'Financial Statements'!M109+'Financial Statements'!M112</f>
        <v>31.700000000000006</v>
      </c>
      <c r="N59" s="51">
        <f>'Financial Statements'!N107+'Financial Statements'!N109+'Financial Statements'!N112</f>
        <v>48.5</v>
      </c>
      <c r="O59" s="51">
        <f>'Financial Statements'!O107+'Financial Statements'!O109+'Financial Statements'!O112</f>
        <v>-98.600000000000023</v>
      </c>
      <c r="P59" s="51">
        <f>'Financial Statements'!P107+'Financial Statements'!P109+'Financial Statements'!P112</f>
        <v>112.19999999999997</v>
      </c>
      <c r="Q59" s="51">
        <f>'Financial Statements'!Q107+'Financial Statements'!Q109+'Financial Statements'!Q112</f>
        <v>13.800000000000026</v>
      </c>
      <c r="R59" s="51">
        <f>'Financial Statements'!R107+'Financial Statements'!R109+'Financial Statements'!R112</f>
        <v>-7.6999999999999496</v>
      </c>
      <c r="S59" s="51">
        <f>'Financial Statements'!S107+'Financial Statements'!S109+'Financial Statements'!S112</f>
        <v>26.899999999999967</v>
      </c>
      <c r="T59" s="51">
        <f>'Financial Statements'!T107+'Financial Statements'!T109+'Financial Statements'!T112</f>
        <v>19.200000000000031</v>
      </c>
      <c r="U59" s="51">
        <f>'Financial Statements'!U107+'Financial Statements'!U109+'Financial Statements'!U112</f>
        <v>-16.399999999999956</v>
      </c>
    </row>
    <row r="60" spans="2:23" x14ac:dyDescent="0.3">
      <c r="B60" t="s">
        <v>292</v>
      </c>
      <c r="C60">
        <f>'DCF '!$C$17/'Ratio Analysis'!C59</f>
        <v>266.44183414483041</v>
      </c>
      <c r="D60">
        <f>'DCF '!$C$17/'Ratio Analysis'!D59</f>
        <v>67.624831001226156</v>
      </c>
      <c r="E60">
        <f>'DCF '!$C$17/'Ratio Analysis'!E59</f>
        <v>53.718111722748148</v>
      </c>
      <c r="F60">
        <f>'DCF '!$C$17/'Ratio Analysis'!F59</f>
        <v>40.865311985403544</v>
      </c>
      <c r="G60">
        <f>'DCF '!$C$17/'Ratio Analysis'!G59</f>
        <v>8.2285927777897232</v>
      </c>
      <c r="H60">
        <f>'DCF '!$C$17/'Ratio Analysis'!H59</f>
        <v>6.8529278329431857</v>
      </c>
      <c r="I60">
        <f>'DCF '!$C$17/'Ratio Analysis'!I59</f>
        <v>45.159632905903592</v>
      </c>
      <c r="J60">
        <f>'DCF '!$C$17/'Ratio Analysis'!J59</f>
        <v>21.947432796114605</v>
      </c>
      <c r="K60">
        <f>'DCF '!$C$17/'Ratio Analysis'!K59</f>
        <v>14.75314696261524</v>
      </c>
      <c r="L60">
        <f>'DCF '!$C$17/'Ratio Analysis'!L59</f>
        <v>79.298164924056877</v>
      </c>
      <c r="M60">
        <f>'DCF '!$C$17/'Ratio Analysis'!M59</f>
        <v>42.025525890351915</v>
      </c>
      <c r="N60">
        <f>'DCF '!$C$17/'Ratio Analysis'!N59</f>
        <v>27.468230324209401</v>
      </c>
      <c r="O60">
        <f>'DCF '!$C$17/'Ratio Analysis'!O59</f>
        <v>-13.511249195985352</v>
      </c>
      <c r="P60">
        <f>'DCF '!$C$17/'Ratio Analysis'!P59</f>
        <v>11.873522020714404</v>
      </c>
      <c r="Q60">
        <f>'DCF '!$C$17/'Ratio Analysis'!Q59</f>
        <v>96.536896429286486</v>
      </c>
      <c r="R60">
        <f>'DCF '!$C$17/'Ratio Analysis'!R59</f>
        <v>-173.01417801612527</v>
      </c>
      <c r="U60">
        <f>'DCF '!$C$17/'Ratio Analysis'!U59</f>
        <v>-81.232266507570699</v>
      </c>
    </row>
    <row r="61" spans="2:23" x14ac:dyDescent="0.3">
      <c r="B61" t="s">
        <v>320</v>
      </c>
      <c r="Q61">
        <f>+('Financial Statements'!Q74+'Financial Statements'!Q80-'Financial Statements'!Q61)</f>
        <v>649.70000000000005</v>
      </c>
      <c r="R61">
        <f>+('Financial Statements'!R74+'Financial Statements'!R80-'Financial Statements'!R61)</f>
        <v>644.29999999999995</v>
      </c>
      <c r="S61">
        <f>+('Financial Statements'!S74+'Financial Statements'!S80-'Financial Statements'!S61)</f>
        <v>675.5</v>
      </c>
      <c r="T61">
        <f>+('Financial Statements'!T74+'Financial Statements'!T80-'Financial Statements'!T61)</f>
        <v>675.5</v>
      </c>
      <c r="U61">
        <f>+('Financial Statements'!U74+'Financial Statements'!U80-'Financial Statements'!U61)</f>
        <v>686.8</v>
      </c>
      <c r="V61">
        <f>+('Financial Statements'!V74+'Financial Statements'!V80-'Financial Statements'!V61)</f>
        <v>890.04307232876738</v>
      </c>
      <c r="W61">
        <f>+('Financial Statements'!W74+'Financial Statements'!W80-'Financial Statements'!W61)</f>
        <v>889.94307232876724</v>
      </c>
    </row>
    <row r="62" spans="2:23" x14ac:dyDescent="0.3">
      <c r="B62" t="s">
        <v>271</v>
      </c>
      <c r="Q62">
        <f>Q61/'Financial Statements'!Q19</f>
        <v>1.8234633735616048</v>
      </c>
      <c r="R62" s="289">
        <f>R61/('Financial Statements'!R19*2)</f>
        <v>1.8482501434308658</v>
      </c>
      <c r="T62">
        <f>T61/'Financial Statements'!T19</f>
        <v>2.5224047796863336</v>
      </c>
      <c r="U62" s="289">
        <f>U61/('Financial Statements'!U19*2)</f>
        <v>2.578078078078077</v>
      </c>
    </row>
    <row r="63" spans="2:23" ht="43.2" x14ac:dyDescent="0.3">
      <c r="C63" s="280" t="s">
        <v>275</v>
      </c>
      <c r="D63" s="280" t="s">
        <v>276</v>
      </c>
      <c r="E63" s="280" t="s">
        <v>277</v>
      </c>
      <c r="F63" s="280" t="s">
        <v>278</v>
      </c>
    </row>
    <row r="64" spans="2:23" ht="86.4" x14ac:dyDescent="0.3">
      <c r="C64" s="282" t="s">
        <v>279</v>
      </c>
      <c r="D64" s="283">
        <v>0.27600000000000002</v>
      </c>
      <c r="E64" s="281" t="s">
        <v>280</v>
      </c>
      <c r="F64" s="282" t="s">
        <v>281</v>
      </c>
    </row>
    <row r="65" spans="3:6" ht="57.6" x14ac:dyDescent="0.3">
      <c r="C65" s="282" t="s">
        <v>282</v>
      </c>
      <c r="D65" s="283">
        <v>0.313</v>
      </c>
      <c r="E65" s="281" t="s">
        <v>283</v>
      </c>
      <c r="F65" s="282" t="s">
        <v>284</v>
      </c>
    </row>
    <row r="66" spans="3:6" ht="86.4" x14ac:dyDescent="0.3">
      <c r="C66" s="282" t="s">
        <v>285</v>
      </c>
      <c r="D66" s="283">
        <v>0.245</v>
      </c>
      <c r="E66" s="281" t="s">
        <v>286</v>
      </c>
      <c r="F66" s="282" t="s">
        <v>287</v>
      </c>
    </row>
    <row r="67" spans="3:6" ht="72" x14ac:dyDescent="0.3">
      <c r="C67" s="282" t="s">
        <v>288</v>
      </c>
      <c r="D67" s="283">
        <v>0.14199999999999999</v>
      </c>
      <c r="E67" s="281" t="s">
        <v>289</v>
      </c>
      <c r="F67" s="282" t="s">
        <v>290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5807-BD05-4DA5-A77C-488289283C11}">
  <dimension ref="A2:P100"/>
  <sheetViews>
    <sheetView showGridLines="0" workbookViewId="0">
      <pane xSplit="2" ySplit="5" topLeftCell="C15" activePane="bottomRight" state="frozen"/>
      <selection pane="topRight" activeCell="C1" sqref="C1"/>
      <selection pane="bottomLeft" activeCell="A6" sqref="A6"/>
      <selection pane="bottomRight" activeCell="Q25" sqref="Q25"/>
    </sheetView>
  </sheetViews>
  <sheetFormatPr defaultColWidth="14.44140625" defaultRowHeight="15" customHeight="1" x14ac:dyDescent="0.3"/>
  <cols>
    <col min="1" max="1" width="35.6640625" style="113" customWidth="1"/>
    <col min="2" max="2" width="0.5546875" style="113" customWidth="1"/>
    <col min="3" max="3" width="10.6640625" style="113" customWidth="1"/>
    <col min="4" max="4" width="10.88671875" style="113" customWidth="1"/>
    <col min="5" max="6" width="9.88671875" style="113" customWidth="1"/>
    <col min="7" max="7" width="10.44140625" style="113" customWidth="1"/>
    <col min="8" max="11" width="8.6640625" style="113" customWidth="1"/>
    <col min="12" max="12" width="14.44140625" style="113"/>
    <col min="13" max="13" width="11.88671875" style="113" customWidth="1"/>
    <col min="14" max="14" width="10.21875" style="113" customWidth="1"/>
    <col min="15" max="15" width="10.88671875" style="113" customWidth="1"/>
    <col min="16" max="16" width="10.5546875" style="113" customWidth="1"/>
    <col min="17" max="17" width="10.88671875" style="113" customWidth="1"/>
    <col min="18" max="18" width="11.109375" style="113" customWidth="1"/>
    <col min="19" max="16384" width="14.44140625" style="113"/>
  </cols>
  <sheetData>
    <row r="2" spans="1:16" ht="14.4" x14ac:dyDescent="0.3">
      <c r="A2" s="112"/>
    </row>
    <row r="3" spans="1:16" ht="14.4" x14ac:dyDescent="0.3">
      <c r="A3" s="112" t="s">
        <v>193</v>
      </c>
    </row>
    <row r="4" spans="1:16" ht="14.4" x14ac:dyDescent="0.3">
      <c r="A4" s="114" t="s">
        <v>194</v>
      </c>
      <c r="B4" s="115"/>
      <c r="C4" s="116" t="s">
        <v>195</v>
      </c>
      <c r="D4" s="116" t="s">
        <v>196</v>
      </c>
      <c r="E4" s="116" t="s">
        <v>197</v>
      </c>
      <c r="F4" s="117" t="s">
        <v>199</v>
      </c>
      <c r="G4" s="117" t="s">
        <v>296</v>
      </c>
    </row>
    <row r="5" spans="1:16" ht="14.4" x14ac:dyDescent="0.3">
      <c r="A5" s="118" t="s">
        <v>168</v>
      </c>
      <c r="B5" s="112"/>
      <c r="C5" s="119">
        <v>0.5</v>
      </c>
      <c r="D5" s="119">
        <f>+C5+1</f>
        <v>1.5</v>
      </c>
      <c r="E5" s="119">
        <f>+D5+1</f>
        <v>2.5</v>
      </c>
      <c r="F5" s="120">
        <f>+E5+1</f>
        <v>3.5</v>
      </c>
      <c r="G5" s="120">
        <f>+F5+1</f>
        <v>4.5</v>
      </c>
    </row>
    <row r="6" spans="1:16" ht="14.4" x14ac:dyDescent="0.3">
      <c r="A6" s="113" t="s">
        <v>169</v>
      </c>
      <c r="C6" s="121">
        <f>'Financial Statements'!W4</f>
        <v>975.82</v>
      </c>
      <c r="D6" s="121">
        <f>'Financial Statements'!Z4</f>
        <v>1015.7793600000001</v>
      </c>
      <c r="E6" s="121">
        <f>'Financial Statements'!AC4</f>
        <v>1057.4243904</v>
      </c>
      <c r="F6" s="122">
        <f>'Financial Statements'!AF4</f>
        <v>1100.8308188160001</v>
      </c>
      <c r="G6" s="122">
        <f>'Financial Statements'!AI4</f>
        <v>1165.9415861913603</v>
      </c>
      <c r="L6" s="113">
        <v>994.60800000000006</v>
      </c>
      <c r="M6" s="113">
        <v>1090.3315200000002</v>
      </c>
      <c r="N6" s="113">
        <v>1195.5705984000001</v>
      </c>
      <c r="O6" s="113">
        <v>1311.3013102080001</v>
      </c>
      <c r="P6" s="113">
        <v>1438.6027869849606</v>
      </c>
    </row>
    <row r="7" spans="1:16" ht="14.4" x14ac:dyDescent="0.3">
      <c r="A7" s="123" t="s">
        <v>10</v>
      </c>
      <c r="C7" s="121">
        <f>'Financial Statements'!W14</f>
        <v>224.05500000000001</v>
      </c>
      <c r="D7" s="121">
        <f>'Financial Statements'!Z14</f>
        <v>253.94484000000006</v>
      </c>
      <c r="E7" s="121">
        <f>'Financial Statements'!AC14</f>
        <v>264.35609759999988</v>
      </c>
      <c r="F7" s="122">
        <f>'Financial Statements'!AF14</f>
        <v>275.20770470400009</v>
      </c>
      <c r="G7" s="122">
        <f>'Financial Statements'!AI14</f>
        <v>291.4853965478402</v>
      </c>
      <c r="L7" s="113">
        <v>228.75200000000001</v>
      </c>
      <c r="M7" s="113">
        <v>272.58287999999993</v>
      </c>
      <c r="N7" s="113">
        <v>298.89264959999986</v>
      </c>
      <c r="O7" s="113">
        <v>327.82532755199986</v>
      </c>
      <c r="P7" s="113">
        <v>359.65069674624021</v>
      </c>
    </row>
    <row r="8" spans="1:16" ht="14.4" x14ac:dyDescent="0.3">
      <c r="A8" s="124" t="s">
        <v>170</v>
      </c>
      <c r="B8" s="125"/>
      <c r="C8" s="126">
        <v>0.25</v>
      </c>
      <c r="D8" s="126">
        <v>0.25</v>
      </c>
      <c r="E8" s="126">
        <v>0.25</v>
      </c>
      <c r="F8" s="127">
        <v>0.25</v>
      </c>
      <c r="G8" s="127">
        <v>0.25</v>
      </c>
      <c r="H8" s="125"/>
      <c r="I8" s="125" t="s">
        <v>228</v>
      </c>
      <c r="J8" s="125"/>
      <c r="K8" s="125"/>
      <c r="L8" s="113">
        <v>0.25</v>
      </c>
      <c r="M8" s="113">
        <v>0.25</v>
      </c>
      <c r="N8" s="113">
        <v>0.25</v>
      </c>
      <c r="O8" s="113">
        <v>0.25</v>
      </c>
      <c r="P8" s="113">
        <v>0.25</v>
      </c>
    </row>
    <row r="9" spans="1:16" ht="14.4" x14ac:dyDescent="0.3">
      <c r="A9" s="123" t="s">
        <v>171</v>
      </c>
      <c r="C9" s="121">
        <f t="shared" ref="C9" si="0">+C7*(1-C8)</f>
        <v>168.04124999999999</v>
      </c>
      <c r="D9" s="121">
        <f t="shared" ref="D9" si="1">+D7*(1-D8)</f>
        <v>190.45863000000003</v>
      </c>
      <c r="E9" s="121">
        <f t="shared" ref="E9" si="2">+E7*(1-E8)</f>
        <v>198.26707319999991</v>
      </c>
      <c r="F9" s="122">
        <f t="shared" ref="F9:G9" si="3">+F7*(1-F8)</f>
        <v>206.40577852800007</v>
      </c>
      <c r="G9" s="122">
        <f t="shared" si="3"/>
        <v>218.61404741088015</v>
      </c>
      <c r="L9" s="113">
        <v>171.56400000000002</v>
      </c>
      <c r="M9" s="113">
        <v>204.43715999999995</v>
      </c>
      <c r="N9" s="113">
        <v>224.16948719999988</v>
      </c>
      <c r="O9" s="113">
        <v>245.8689956639999</v>
      </c>
      <c r="P9" s="113">
        <v>269.73802255968019</v>
      </c>
    </row>
    <row r="10" spans="1:16" ht="14.4" x14ac:dyDescent="0.3">
      <c r="A10" s="123" t="s">
        <v>8</v>
      </c>
      <c r="C10" s="121">
        <f>'Financial Statements'!W93</f>
        <v>39.238</v>
      </c>
      <c r="D10" s="121">
        <f>'Financial Statements'!Z93</f>
        <v>33.557892000000002</v>
      </c>
      <c r="E10" s="121">
        <f>'Financial Statements'!AC93</f>
        <v>35.610118239999998</v>
      </c>
      <c r="F10" s="122">
        <f>'Financial Statements'!AF93</f>
        <v>37.7464843968</v>
      </c>
      <c r="G10" s="122">
        <f>'Financial Statements'!AI93</f>
        <v>39.978769619200001</v>
      </c>
      <c r="L10" s="113">
        <v>39.238</v>
      </c>
      <c r="M10" s="113">
        <v>33.0087744</v>
      </c>
      <c r="N10" s="113">
        <v>35.231738880000002</v>
      </c>
      <c r="O10" s="113">
        <v>37.668565631999996</v>
      </c>
      <c r="P10" s="113">
        <v>40.340508652032</v>
      </c>
    </row>
    <row r="11" spans="1:16" ht="14.4" x14ac:dyDescent="0.3">
      <c r="A11" s="123" t="s">
        <v>327</v>
      </c>
      <c r="C11" s="121">
        <f>'Financial Statements'!W101</f>
        <v>-342.00471232876748</v>
      </c>
      <c r="D11" s="121">
        <f>'Financial Statements'!Z101</f>
        <v>-208.87178673972608</v>
      </c>
      <c r="E11" s="121">
        <f>'Financial Statements'!AC101</f>
        <v>-144.92614022331009</v>
      </c>
      <c r="F11" s="122">
        <f>'Financial Statements'!AF101</f>
        <v>-113.86478479446498</v>
      </c>
      <c r="G11" s="122">
        <f>'Financial Statements'!AI101</f>
        <v>-162.68986586451882</v>
      </c>
      <c r="L11" s="113">
        <v>-226.98695890410988</v>
      </c>
      <c r="M11" s="113">
        <v>2.4448832876711322</v>
      </c>
      <c r="N11" s="113">
        <v>-176.00731507208639</v>
      </c>
      <c r="O11" s="113">
        <v>-205.3925967937767</v>
      </c>
      <c r="P11" s="113">
        <v>-219.72583662872626</v>
      </c>
    </row>
    <row r="12" spans="1:16" ht="14.4" x14ac:dyDescent="0.3">
      <c r="A12" s="123" t="s">
        <v>172</v>
      </c>
      <c r="C12" s="121">
        <f>'Financial Statements'!W109</f>
        <v>-43.911000000000001</v>
      </c>
      <c r="D12" s="121">
        <f>'Financial Statements'!Z109</f>
        <v>-50.788968000000004</v>
      </c>
      <c r="E12" s="121">
        <f>'Financial Statements'!AC109</f>
        <v>-52.871219520000011</v>
      </c>
      <c r="F12" s="122">
        <f>'Financial Statements'!AF109</f>
        <v>-55.041540940800004</v>
      </c>
      <c r="G12" s="122">
        <f>'Financial Statements'!AI109</f>
        <v>-58.297079309568019</v>
      </c>
      <c r="L12" s="113">
        <v>-29.700160000000004</v>
      </c>
      <c r="M12" s="113">
        <v>-54.516576000000015</v>
      </c>
      <c r="N12" s="113">
        <v>-59.778529920000018</v>
      </c>
      <c r="O12" s="113">
        <v>-65.565065510400018</v>
      </c>
      <c r="P12" s="113">
        <v>-71.930139349248037</v>
      </c>
    </row>
    <row r="13" spans="1:16" ht="14.4" x14ac:dyDescent="0.3">
      <c r="A13" s="128" t="s">
        <v>173</v>
      </c>
      <c r="B13" s="129"/>
      <c r="C13" s="130">
        <f t="shared" ref="C13:D13" si="4">+C9+C10+C11+C12</f>
        <v>-178.63646232876749</v>
      </c>
      <c r="D13" s="130">
        <f t="shared" si="4"/>
        <v>-35.644232739726043</v>
      </c>
      <c r="E13" s="130">
        <f t="shared" ref="E13" si="5">+E9+E10+E11+E12</f>
        <v>36.079831696689808</v>
      </c>
      <c r="F13" s="131">
        <f t="shared" ref="F13:G13" si="6">+F9+F10+F11+F12</f>
        <v>75.245937189535098</v>
      </c>
      <c r="G13" s="131">
        <f t="shared" si="6"/>
        <v>37.6058718559933</v>
      </c>
      <c r="L13" s="113">
        <v>-45.885118904109866</v>
      </c>
      <c r="M13" s="113">
        <v>185.37424168767106</v>
      </c>
      <c r="N13" s="113">
        <v>23.615381087913498</v>
      </c>
      <c r="O13" s="113">
        <v>12.5798989918232</v>
      </c>
      <c r="P13" s="113">
        <v>18.422555233737882</v>
      </c>
    </row>
    <row r="14" spans="1:16" ht="14.4" x14ac:dyDescent="0.3">
      <c r="A14" s="123" t="s">
        <v>174</v>
      </c>
      <c r="C14" s="132">
        <f t="shared" ref="C14" si="7">1/(1+$C$30)^C5</f>
        <v>0.9678389617481411</v>
      </c>
      <c r="D14" s="132">
        <f t="shared" ref="D14" si="8">1/(1+$C$30)^D5</f>
        <v>0.90658661718545108</v>
      </c>
      <c r="E14" s="132">
        <f t="shared" ref="E14" si="9">1/(1+$C$30)^E5</f>
        <v>0.84921079533233434</v>
      </c>
      <c r="F14" s="133">
        <f t="shared" ref="F14:G14" si="10">1/(1+$C$30)^F5</f>
        <v>0.79546615981146329</v>
      </c>
      <c r="G14" s="133">
        <f t="shared" si="10"/>
        <v>0.74512290103138223</v>
      </c>
      <c r="L14" s="113">
        <v>0.9678389617481411</v>
      </c>
      <c r="M14" s="113">
        <v>0.90658661718545108</v>
      </c>
      <c r="N14" s="113">
        <v>0.84921079533233434</v>
      </c>
      <c r="O14" s="113">
        <v>0.79546615981146329</v>
      </c>
      <c r="P14" s="113">
        <v>0.74512290103138223</v>
      </c>
    </row>
    <row r="15" spans="1:16" ht="14.4" x14ac:dyDescent="0.3">
      <c r="A15" s="123" t="s">
        <v>175</v>
      </c>
      <c r="C15" s="121">
        <f t="shared" ref="C15" si="11">+C14*C13</f>
        <v>-172.89132823063525</v>
      </c>
      <c r="D15" s="121">
        <f t="shared" ref="D15" si="12">+D14*D13</f>
        <v>-32.314584381679133</v>
      </c>
      <c r="E15" s="121">
        <f t="shared" ref="E15" si="13">+E14*E13</f>
        <v>30.63938257060272</v>
      </c>
      <c r="F15" s="122">
        <f t="shared" ref="F15:G15" si="14">+F14*F13</f>
        <v>59.855596697574057</v>
      </c>
      <c r="G15" s="122">
        <f t="shared" si="14"/>
        <v>28.020996333152137</v>
      </c>
      <c r="L15" s="113">
        <v>-44.409405839843693</v>
      </c>
      <c r="M15" s="113">
        <v>168.05780668494393</v>
      </c>
      <c r="N15" s="113">
        <v>20.054436555743187</v>
      </c>
      <c r="O15" s="113">
        <v>10.0068839418417</v>
      </c>
      <c r="P15" s="113">
        <v>13.727067800173645</v>
      </c>
    </row>
    <row r="16" spans="1:16" ht="14.4" x14ac:dyDescent="0.3">
      <c r="A16" s="123" t="s">
        <v>176</v>
      </c>
      <c r="D16" s="134"/>
      <c r="E16" s="134"/>
      <c r="F16" s="134"/>
      <c r="G16" s="135">
        <f>+(G13*(1+C33))/(C30-C33)</f>
        <v>1418.8991077351413</v>
      </c>
      <c r="P16" s="113">
        <v>1546.9804764875271</v>
      </c>
    </row>
    <row r="17" spans="1:11" ht="14.4" x14ac:dyDescent="0.3">
      <c r="A17" s="136" t="s">
        <v>177</v>
      </c>
      <c r="B17" s="137"/>
      <c r="C17" s="138">
        <f>+SUM(C15:G15)+G16</f>
        <v>1332.2091707241559</v>
      </c>
    </row>
    <row r="18" spans="1:11" ht="14.4" x14ac:dyDescent="0.3">
      <c r="A18" s="123" t="s">
        <v>178</v>
      </c>
      <c r="C18" s="122">
        <f>'Financial Statements'!Q74-'Financial Statements'!Q61</f>
        <v>421.9</v>
      </c>
    </row>
    <row r="19" spans="1:11" ht="14.4" x14ac:dyDescent="0.3">
      <c r="A19" s="123" t="s">
        <v>179</v>
      </c>
      <c r="C19" s="122">
        <f>'Financial Statements'!Q30</f>
        <v>0.4</v>
      </c>
      <c r="E19" s="113" t="s">
        <v>200</v>
      </c>
    </row>
    <row r="20" spans="1:11" ht="14.4" x14ac:dyDescent="0.3">
      <c r="A20" s="139" t="s">
        <v>180</v>
      </c>
      <c r="C20" s="122">
        <f>+C17+C18+C19</f>
        <v>1754.5091707241559</v>
      </c>
    </row>
    <row r="21" spans="1:11" ht="15.75" customHeight="1" x14ac:dyDescent="0.3">
      <c r="A21" s="123" t="s">
        <v>23</v>
      </c>
      <c r="C21" s="122">
        <f>'Financial Statements'!Q45/1000</f>
        <v>51.119230000000002</v>
      </c>
    </row>
    <row r="22" spans="1:11" ht="15.75" customHeight="1" x14ac:dyDescent="0.3">
      <c r="A22" s="140" t="s">
        <v>181</v>
      </c>
      <c r="B22" s="141"/>
      <c r="C22" s="131">
        <f>+C20/C21</f>
        <v>34.321901380833708</v>
      </c>
    </row>
    <row r="23" spans="1:11" ht="15.75" customHeight="1" x14ac:dyDescent="0.3">
      <c r="A23" s="123" t="s">
        <v>182</v>
      </c>
      <c r="C23" s="122">
        <v>36.82</v>
      </c>
    </row>
    <row r="24" spans="1:11" ht="15.75" customHeight="1" x14ac:dyDescent="0.3">
      <c r="A24" s="142" t="s">
        <v>183</v>
      </c>
      <c r="B24" s="143"/>
      <c r="C24" s="144">
        <f>+C22/C23-1</f>
        <v>-6.7846241693815701E-2</v>
      </c>
    </row>
    <row r="25" spans="1:11" ht="15.75" customHeight="1" x14ac:dyDescent="0.3"/>
    <row r="26" spans="1:11" ht="15.75" customHeight="1" x14ac:dyDescent="0.3">
      <c r="A26" s="145" t="s">
        <v>184</v>
      </c>
      <c r="B26" s="146"/>
      <c r="C26" s="147"/>
      <c r="F26" s="295" t="s">
        <v>185</v>
      </c>
      <c r="G26" s="296"/>
    </row>
    <row r="27" spans="1:11" ht="15.75" customHeight="1" x14ac:dyDescent="0.3">
      <c r="A27" s="148" t="s">
        <v>186</v>
      </c>
      <c r="C27" s="149">
        <v>0.06</v>
      </c>
      <c r="F27" s="150">
        <f>+C22</f>
        <v>34.321901380833708</v>
      </c>
      <c r="G27" s="151">
        <v>3.5000000000000003E-2</v>
      </c>
      <c r="H27" s="151">
        <v>4.4999999999999998E-2</v>
      </c>
      <c r="I27" s="152">
        <v>5.5E-2</v>
      </c>
      <c r="J27" s="151">
        <v>6.5000000000000002E-2</v>
      </c>
      <c r="K27" s="153">
        <v>7.4999999999999997E-2</v>
      </c>
    </row>
    <row r="28" spans="1:11" ht="15.75" customHeight="1" x14ac:dyDescent="0.3">
      <c r="A28" s="148" t="s">
        <v>187</v>
      </c>
      <c r="C28" s="149">
        <v>3.1800000000000002E-2</v>
      </c>
      <c r="F28" s="154">
        <v>4.8000000000000001E-2</v>
      </c>
      <c r="G28" s="155">
        <f t="dataTable" ref="G28:K32" dt2D="0" dtr="1" r1="C30"/>
        <v>4.8000000000000001E-2</v>
      </c>
      <c r="H28" s="155">
        <v>4.8000000000000001E-2</v>
      </c>
      <c r="I28" s="156">
        <v>4.8000000000000001E-2</v>
      </c>
      <c r="J28" s="155">
        <v>4.8000000000000001E-2</v>
      </c>
      <c r="K28" s="157">
        <v>4.8000000000000001E-2</v>
      </c>
    </row>
    <row r="29" spans="1:11" ht="15.75" customHeight="1" x14ac:dyDescent="0.3">
      <c r="A29" s="148" t="s">
        <v>188</v>
      </c>
      <c r="C29" s="158">
        <v>0.7</v>
      </c>
      <c r="F29" s="154">
        <v>5.8000000000000003E-2</v>
      </c>
      <c r="G29" s="155">
        <v>5.8000000000000003E-2</v>
      </c>
      <c r="H29" s="155">
        <v>5.8000000000000003E-2</v>
      </c>
      <c r="I29" s="156">
        <v>5.8000000000000003E-2</v>
      </c>
      <c r="J29" s="155">
        <v>5.8000000000000003E-2</v>
      </c>
      <c r="K29" s="157">
        <v>5.8000000000000003E-2</v>
      </c>
    </row>
    <row r="30" spans="1:11" ht="15.75" customHeight="1" x14ac:dyDescent="0.3">
      <c r="A30" s="148" t="s">
        <v>189</v>
      </c>
      <c r="C30" s="159">
        <f>C31*('Financial Statements'!S72/('Financial Statements'!S72+'Financial Statements'!S74))+(C32*(1-'DCF '!C8))*('Financial Statements'!S74)/('Financial Statements'!S72+'Financial Statements'!S74)</f>
        <v>6.7563698163614266E-2</v>
      </c>
      <c r="F30" s="160">
        <v>6.8000000000000005E-2</v>
      </c>
      <c r="G30" s="156">
        <v>6.8000000000000005E-2</v>
      </c>
      <c r="H30" s="156">
        <v>6.8000000000000005E-2</v>
      </c>
      <c r="I30" s="156">
        <v>6.8000000000000005E-2</v>
      </c>
      <c r="J30" s="156">
        <v>6.8000000000000005E-2</v>
      </c>
      <c r="K30" s="161">
        <v>6.8000000000000005E-2</v>
      </c>
    </row>
    <row r="31" spans="1:11" ht="15.75" customHeight="1" x14ac:dyDescent="0.3">
      <c r="A31" s="148" t="s">
        <v>190</v>
      </c>
      <c r="C31" s="159">
        <f>+C28+(C29*C27)</f>
        <v>7.3800000000000004E-2</v>
      </c>
      <c r="F31" s="154">
        <v>7.8E-2</v>
      </c>
      <c r="G31" s="155">
        <v>7.8E-2</v>
      </c>
      <c r="H31" s="155">
        <v>7.8E-2</v>
      </c>
      <c r="I31" s="156">
        <v>7.8E-2</v>
      </c>
      <c r="J31" s="155">
        <v>7.8E-2</v>
      </c>
      <c r="K31" s="157">
        <v>7.8E-2</v>
      </c>
    </row>
    <row r="32" spans="1:11" ht="15.75" customHeight="1" x14ac:dyDescent="0.3">
      <c r="A32" s="148" t="s">
        <v>191</v>
      </c>
      <c r="C32" s="159">
        <f>Schedules!Q72</f>
        <v>6.1565352495630221E-2</v>
      </c>
      <c r="F32" s="162">
        <v>8.7999999999999995E-2</v>
      </c>
      <c r="G32" s="163">
        <v>8.7999999999999995E-2</v>
      </c>
      <c r="H32" s="163">
        <v>8.7999999999999995E-2</v>
      </c>
      <c r="I32" s="164">
        <v>8.7999999999999995E-2</v>
      </c>
      <c r="J32" s="163">
        <v>8.7999999999999995E-2</v>
      </c>
      <c r="K32" s="165">
        <v>8.7999999999999995E-2</v>
      </c>
    </row>
    <row r="33" spans="1:3" ht="15.75" customHeight="1" x14ac:dyDescent="0.3">
      <c r="A33" s="166" t="s">
        <v>192</v>
      </c>
      <c r="B33" s="167"/>
      <c r="C33" s="168">
        <v>0.04</v>
      </c>
    </row>
    <row r="34" spans="1:3" ht="15.75" customHeight="1" x14ac:dyDescent="0.3"/>
    <row r="35" spans="1:3" ht="15.75" customHeight="1" x14ac:dyDescent="0.3"/>
    <row r="36" spans="1:3" ht="15.75" customHeight="1" x14ac:dyDescent="0.3">
      <c r="A36" s="112"/>
    </row>
    <row r="37" spans="1:3" ht="15.75" customHeight="1" x14ac:dyDescent="0.3"/>
    <row r="38" spans="1:3" ht="15.75" customHeight="1" x14ac:dyDescent="0.3"/>
    <row r="39" spans="1:3" ht="15.75" customHeight="1" x14ac:dyDescent="0.3"/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">
    <mergeCell ref="F26:G26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A1B5-879A-4A1A-A8FA-7191CD9C5326}">
  <dimension ref="C2:G20"/>
  <sheetViews>
    <sheetView workbookViewId="0">
      <selection activeCell="C23" sqref="C23"/>
    </sheetView>
  </sheetViews>
  <sheetFormatPr defaultRowHeight="14.4" x14ac:dyDescent="0.3"/>
  <cols>
    <col min="3" max="3" width="17" customWidth="1"/>
    <col min="4" max="4" width="13.5546875" customWidth="1"/>
    <col min="5" max="5" width="11.21875" customWidth="1"/>
  </cols>
  <sheetData>
    <row r="2" spans="3:7" ht="28.8" x14ac:dyDescent="0.3">
      <c r="C2" s="280" t="s">
        <v>328</v>
      </c>
      <c r="D2" s="280" t="s">
        <v>336</v>
      </c>
      <c r="E2" s="280" t="s">
        <v>337</v>
      </c>
      <c r="F2" s="280" t="s">
        <v>338</v>
      </c>
      <c r="G2" s="280" t="s">
        <v>339</v>
      </c>
    </row>
    <row r="3" spans="3:7" x14ac:dyDescent="0.3">
      <c r="C3" s="281" t="s">
        <v>329</v>
      </c>
      <c r="D3" s="281">
        <v>13.8</v>
      </c>
      <c r="E3" s="281">
        <v>19.899999999999999</v>
      </c>
      <c r="F3" s="281">
        <v>29.1</v>
      </c>
      <c r="G3" s="294">
        <v>3.27</v>
      </c>
    </row>
    <row r="4" spans="3:7" x14ac:dyDescent="0.3">
      <c r="C4" s="281" t="s">
        <v>330</v>
      </c>
      <c r="D4" s="281">
        <v>9.68</v>
      </c>
      <c r="E4" s="281">
        <v>11.2</v>
      </c>
      <c r="F4" s="281">
        <v>12.4</v>
      </c>
      <c r="G4" s="281">
        <v>4.26</v>
      </c>
    </row>
    <row r="5" spans="3:7" x14ac:dyDescent="0.3">
      <c r="C5" s="281" t="s">
        <v>331</v>
      </c>
      <c r="D5" s="281">
        <v>10.9</v>
      </c>
      <c r="E5" s="281">
        <v>12.3</v>
      </c>
      <c r="F5" s="281">
        <v>13.4</v>
      </c>
      <c r="G5" s="281">
        <v>4.54</v>
      </c>
    </row>
    <row r="6" spans="3:7" x14ac:dyDescent="0.3">
      <c r="C6" s="281" t="s">
        <v>332</v>
      </c>
      <c r="D6" s="281">
        <v>12.2</v>
      </c>
      <c r="E6" s="281">
        <v>14.9</v>
      </c>
      <c r="F6" s="281">
        <v>19.7</v>
      </c>
      <c r="G6" s="281">
        <v>2.6</v>
      </c>
    </row>
    <row r="7" spans="3:7" x14ac:dyDescent="0.3">
      <c r="C7" s="281" t="s">
        <v>333</v>
      </c>
      <c r="D7" s="281">
        <v>13.8</v>
      </c>
      <c r="E7" s="281">
        <v>14.9</v>
      </c>
      <c r="F7" s="281">
        <v>18.899999999999999</v>
      </c>
      <c r="G7" s="281">
        <v>4.5599999999999996</v>
      </c>
    </row>
    <row r="8" spans="3:7" x14ac:dyDescent="0.3">
      <c r="C8" s="282" t="s">
        <v>334</v>
      </c>
      <c r="D8" s="282">
        <v>12.2</v>
      </c>
      <c r="E8" s="282">
        <v>14.9</v>
      </c>
      <c r="F8" s="282">
        <v>18.899999999999999</v>
      </c>
      <c r="G8" s="282">
        <v>4.26</v>
      </c>
    </row>
    <row r="9" spans="3:7" x14ac:dyDescent="0.3">
      <c r="C9" s="282" t="s">
        <v>335</v>
      </c>
      <c r="D9" s="281">
        <v>12.3</v>
      </c>
      <c r="E9" s="281">
        <v>15.8</v>
      </c>
      <c r="F9" s="281">
        <v>21.5</v>
      </c>
      <c r="G9" s="281">
        <v>3.16</v>
      </c>
    </row>
    <row r="14" spans="3:7" x14ac:dyDescent="0.3">
      <c r="C14" t="s">
        <v>340</v>
      </c>
      <c r="D14">
        <f>D8</f>
        <v>12.2</v>
      </c>
    </row>
    <row r="15" spans="3:7" x14ac:dyDescent="0.3">
      <c r="C15" t="s">
        <v>345</v>
      </c>
      <c r="D15" s="65">
        <f>'Financial Statements'!W19</f>
        <v>223.35500000000002</v>
      </c>
    </row>
    <row r="16" spans="3:7" x14ac:dyDescent="0.3">
      <c r="C16" t="s">
        <v>341</v>
      </c>
      <c r="D16" s="65">
        <f>D14*D15</f>
        <v>2724.931</v>
      </c>
    </row>
    <row r="17" spans="3:4" x14ac:dyDescent="0.3">
      <c r="C17" t="s">
        <v>342</v>
      </c>
      <c r="D17" s="65">
        <f>D16-'Ratio Analysis'!U61</f>
        <v>2038.1310000000001</v>
      </c>
    </row>
    <row r="18" spans="3:4" x14ac:dyDescent="0.3">
      <c r="C18" t="s">
        <v>343</v>
      </c>
      <c r="D18" s="51">
        <f>D17/'Financial Statements'!U45*1000</f>
        <v>38.967027180909142</v>
      </c>
    </row>
    <row r="19" spans="3:4" x14ac:dyDescent="0.3">
      <c r="C19" t="s">
        <v>182</v>
      </c>
      <c r="D19">
        <v>36.94</v>
      </c>
    </row>
    <row r="20" spans="3:4" x14ac:dyDescent="0.3">
      <c r="C20" t="s">
        <v>344</v>
      </c>
      <c r="D20" s="10">
        <f>D18/D19-1</f>
        <v>5.4873502460994761E-2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2304-3F1B-4E2C-8FA0-108F3BD5C146}">
  <dimension ref="A1:C7"/>
  <sheetViews>
    <sheetView tabSelected="1" workbookViewId="0">
      <selection activeCell="O23" sqref="O23"/>
    </sheetView>
  </sheetViews>
  <sheetFormatPr defaultRowHeight="14.4" x14ac:dyDescent="0.3"/>
  <cols>
    <col min="1" max="1" width="16.5546875" customWidth="1"/>
    <col min="3" max="3" width="8.33203125" bestFit="1" customWidth="1"/>
  </cols>
  <sheetData>
    <row r="1" spans="1:3" x14ac:dyDescent="0.3">
      <c r="A1" s="280" t="s">
        <v>346</v>
      </c>
      <c r="B1" s="280" t="s">
        <v>347</v>
      </c>
      <c r="C1" s="280" t="s">
        <v>354</v>
      </c>
    </row>
    <row r="2" spans="1:3" x14ac:dyDescent="0.3">
      <c r="A2" s="281" t="s">
        <v>348</v>
      </c>
      <c r="B2" s="281">
        <v>32</v>
      </c>
      <c r="C2" s="281">
        <v>4</v>
      </c>
    </row>
    <row r="3" spans="1:3" x14ac:dyDescent="0.3">
      <c r="A3" s="281" t="s">
        <v>349</v>
      </c>
      <c r="B3" s="281">
        <v>36</v>
      </c>
      <c r="C3" s="281">
        <v>2</v>
      </c>
    </row>
    <row r="4" spans="1:3" ht="28.8" x14ac:dyDescent="0.3">
      <c r="A4" s="281" t="s">
        <v>350</v>
      </c>
      <c r="B4" s="281">
        <v>37</v>
      </c>
      <c r="C4" s="281">
        <v>4</v>
      </c>
    </row>
    <row r="5" spans="1:3" x14ac:dyDescent="0.3">
      <c r="A5" s="281" t="s">
        <v>351</v>
      </c>
      <c r="B5" s="281">
        <v>35</v>
      </c>
      <c r="C5" s="281">
        <v>5</v>
      </c>
    </row>
    <row r="6" spans="1:3" x14ac:dyDescent="0.3">
      <c r="A6" s="281" t="s">
        <v>352</v>
      </c>
      <c r="B6" s="281">
        <v>34</v>
      </c>
      <c r="C6" s="281">
        <v>5</v>
      </c>
    </row>
    <row r="7" spans="1:3" ht="28.8" x14ac:dyDescent="0.3">
      <c r="A7" s="281" t="s">
        <v>353</v>
      </c>
      <c r="B7" s="281">
        <v>37</v>
      </c>
      <c r="C7" s="281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</vt:lpstr>
      <vt:lpstr>Revenue Model</vt:lpstr>
      <vt:lpstr>Financial Statements</vt:lpstr>
      <vt:lpstr>Schedules</vt:lpstr>
      <vt:lpstr>Ratio Analysis</vt:lpstr>
      <vt:lpstr>DCF </vt:lpstr>
      <vt:lpstr>Relative</vt:lpstr>
      <vt:lpstr>Football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cp:lastPrinted>2024-05-14T09:33:04Z</cp:lastPrinted>
  <dcterms:created xsi:type="dcterms:W3CDTF">2024-05-14T04:18:08Z</dcterms:created>
  <dcterms:modified xsi:type="dcterms:W3CDTF">2025-12-18T16:45:19Z</dcterms:modified>
</cp:coreProperties>
</file>