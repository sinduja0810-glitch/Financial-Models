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898a606eaba048/Desktop/"/>
    </mc:Choice>
  </mc:AlternateContent>
  <xr:revisionPtr revIDLastSave="676" documentId="8_{8493A20D-D039-46D3-9BA8-C7D7D78E9452}" xr6:coauthVersionLast="47" xr6:coauthVersionMax="47" xr10:uidLastSave="{3716564A-74AB-4A4F-953C-E731B9091636}"/>
  <bookViews>
    <workbookView xWindow="-108" yWindow="-108" windowWidth="23256" windowHeight="12456" firstSheet="7" activeTab="8" xr2:uid="{D6B7D730-A057-4F8A-BBCE-C86EA4C50E9E}"/>
  </bookViews>
  <sheets>
    <sheet name="Revenue Drivers" sheetId="7" r:id="rId1"/>
    <sheet name="North America" sheetId="8" r:id="rId2"/>
    <sheet name="Europe" sheetId="9" r:id="rId3"/>
    <sheet name="Asia Pacific" sheetId="10" r:id="rId4"/>
    <sheet name="LATAM" sheetId="11" r:id="rId5"/>
    <sheet name="Africa" sheetId="12" r:id="rId6"/>
    <sheet name="Corporate" sheetId="13" r:id="rId7"/>
    <sheet name="Income Statement " sheetId="1" r:id="rId8"/>
    <sheet name="Cash Flow" sheetId="4" r:id="rId9"/>
    <sheet name="Balance Sheet" sheetId="3" r:id="rId10"/>
    <sheet name="DCF " sheetId="14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4" l="1"/>
  <c r="C18" i="14"/>
  <c r="G11" i="14"/>
  <c r="F11" i="14"/>
  <c r="E11" i="14"/>
  <c r="D11" i="14"/>
  <c r="C11" i="14"/>
  <c r="G10" i="14"/>
  <c r="F10" i="14"/>
  <c r="E10" i="14"/>
  <c r="D10" i="14"/>
  <c r="C10" i="14"/>
  <c r="G8" i="14"/>
  <c r="F8" i="14"/>
  <c r="E8" i="14"/>
  <c r="D8" i="14"/>
  <c r="C8" i="14"/>
  <c r="G7" i="14"/>
  <c r="F7" i="14"/>
  <c r="E7" i="14"/>
  <c r="D7" i="14"/>
  <c r="C7" i="14"/>
  <c r="G6" i="14"/>
  <c r="F6" i="14"/>
  <c r="E6" i="14"/>
  <c r="D6" i="14"/>
  <c r="C6" i="14"/>
  <c r="C32" i="14"/>
  <c r="C31" i="14"/>
  <c r="C19" i="14"/>
  <c r="C14" i="14"/>
  <c r="G12" i="14"/>
  <c r="F12" i="14"/>
  <c r="E12" i="14"/>
  <c r="D12" i="14"/>
  <c r="C12" i="14"/>
  <c r="D5" i="14"/>
  <c r="D14" i="14" s="1"/>
  <c r="AC41" i="4"/>
  <c r="Z41" i="4"/>
  <c r="W41" i="4"/>
  <c r="T41" i="4"/>
  <c r="Q41" i="4"/>
  <c r="AC79" i="3"/>
  <c r="Z79" i="3"/>
  <c r="W79" i="3"/>
  <c r="T79" i="3"/>
  <c r="Q79" i="3"/>
  <c r="Q81" i="3" s="1"/>
  <c r="AC26" i="4"/>
  <c r="AB26" i="4"/>
  <c r="AA26" i="4"/>
  <c r="Z26" i="4"/>
  <c r="Y26" i="4"/>
  <c r="X26" i="4"/>
  <c r="V26" i="4"/>
  <c r="U26" i="4"/>
  <c r="W26" i="4" s="1"/>
  <c r="T26" i="4"/>
  <c r="S26" i="4"/>
  <c r="R26" i="4"/>
  <c r="Q26" i="4"/>
  <c r="P26" i="4"/>
  <c r="O26" i="4"/>
  <c r="P41" i="4"/>
  <c r="AC80" i="3"/>
  <c r="Z80" i="3"/>
  <c r="W80" i="3"/>
  <c r="T80" i="3"/>
  <c r="O79" i="3"/>
  <c r="N49" i="3"/>
  <c r="M21" i="4"/>
  <c r="N21" i="4" s="1"/>
  <c r="M20" i="4"/>
  <c r="N20" i="4" s="1"/>
  <c r="M4" i="4"/>
  <c r="M51" i="3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N48" i="4"/>
  <c r="M48" i="4"/>
  <c r="J48" i="4"/>
  <c r="D48" i="4"/>
  <c r="G48" i="4"/>
  <c r="M49" i="3"/>
  <c r="M88" i="3"/>
  <c r="M41" i="4"/>
  <c r="N41" i="4" s="1"/>
  <c r="L79" i="3"/>
  <c r="M25" i="1"/>
  <c r="N25" i="1" s="1"/>
  <c r="AB14" i="4"/>
  <c r="AA14" i="4"/>
  <c r="AC14" i="4" s="1"/>
  <c r="Y14" i="4"/>
  <c r="X14" i="4"/>
  <c r="V14" i="4"/>
  <c r="U14" i="4"/>
  <c r="S14" i="4"/>
  <c r="R14" i="4"/>
  <c r="T14" i="4" s="1"/>
  <c r="P14" i="4"/>
  <c r="O14" i="4"/>
  <c r="Q14" i="4" s="1"/>
  <c r="AC17" i="4"/>
  <c r="AC16" i="4"/>
  <c r="AC15" i="4"/>
  <c r="Z17" i="4"/>
  <c r="Z16" i="4"/>
  <c r="Z15" i="4"/>
  <c r="Z14" i="4"/>
  <c r="W17" i="4"/>
  <c r="W16" i="4"/>
  <c r="W15" i="4"/>
  <c r="W14" i="4"/>
  <c r="T17" i="4"/>
  <c r="T16" i="4"/>
  <c r="T15" i="4"/>
  <c r="Q17" i="4"/>
  <c r="Q16" i="4"/>
  <c r="Q15" i="4"/>
  <c r="N47" i="4"/>
  <c r="N46" i="4"/>
  <c r="N43" i="4"/>
  <c r="N42" i="4"/>
  <c r="N40" i="4"/>
  <c r="N39" i="4"/>
  <c r="N38" i="4"/>
  <c r="N37" i="4"/>
  <c r="N36" i="4"/>
  <c r="N35" i="4"/>
  <c r="N34" i="4"/>
  <c r="N26" i="4"/>
  <c r="M26" i="4"/>
  <c r="N30" i="4"/>
  <c r="N29" i="4"/>
  <c r="N28" i="4"/>
  <c r="N27" i="4"/>
  <c r="N25" i="4"/>
  <c r="N19" i="4"/>
  <c r="N17" i="4"/>
  <c r="N16" i="4"/>
  <c r="N15" i="4"/>
  <c r="AB12" i="4"/>
  <c r="AC12" i="4" s="1"/>
  <c r="AA12" i="4"/>
  <c r="AB11" i="4"/>
  <c r="AA11" i="4"/>
  <c r="AC11" i="4" s="1"/>
  <c r="AB10" i="4"/>
  <c r="AA10" i="4"/>
  <c r="AC10" i="4" s="1"/>
  <c r="Y12" i="4"/>
  <c r="X12" i="4"/>
  <c r="Z12" i="4" s="1"/>
  <c r="Y11" i="4"/>
  <c r="X11" i="4"/>
  <c r="Z11" i="4" s="1"/>
  <c r="Z10" i="4"/>
  <c r="Y10" i="4"/>
  <c r="X10" i="4"/>
  <c r="W12" i="4"/>
  <c r="V12" i="4"/>
  <c r="U12" i="4"/>
  <c r="V11" i="4"/>
  <c r="U11" i="4"/>
  <c r="W11" i="4" s="1"/>
  <c r="V10" i="4"/>
  <c r="W10" i="4" s="1"/>
  <c r="U10" i="4"/>
  <c r="T12" i="4"/>
  <c r="S12" i="4"/>
  <c r="R12" i="4"/>
  <c r="S11" i="4"/>
  <c r="R11" i="4"/>
  <c r="T11" i="4" s="1"/>
  <c r="S10" i="4"/>
  <c r="T10" i="4" s="1"/>
  <c r="R10" i="4"/>
  <c r="R13" i="4" s="1"/>
  <c r="Q12" i="4"/>
  <c r="Q11" i="4"/>
  <c r="Q10" i="4"/>
  <c r="P12" i="4"/>
  <c r="P11" i="4"/>
  <c r="P10" i="4"/>
  <c r="O12" i="4"/>
  <c r="O11" i="4"/>
  <c r="O10" i="4"/>
  <c r="N14" i="4"/>
  <c r="N12" i="4"/>
  <c r="N11" i="4"/>
  <c r="N10" i="4"/>
  <c r="M14" i="4"/>
  <c r="M12" i="4"/>
  <c r="M11" i="4"/>
  <c r="M10" i="4"/>
  <c r="N6" i="4"/>
  <c r="N7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M7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M6" i="4"/>
  <c r="N5" i="4"/>
  <c r="M5" i="4"/>
  <c r="N4" i="4"/>
  <c r="M37" i="3"/>
  <c r="O82" i="3"/>
  <c r="Q80" i="3"/>
  <c r="O81" i="3"/>
  <c r="O37" i="3" s="1"/>
  <c r="O41" i="4" s="1"/>
  <c r="N79" i="3"/>
  <c r="N82" i="3"/>
  <c r="M82" i="3"/>
  <c r="M81" i="3"/>
  <c r="M79" i="3"/>
  <c r="O12" i="3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P11" i="3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O11" i="3"/>
  <c r="O10" i="3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O9" i="3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O8" i="3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O7" i="3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P6" i="3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O6" i="3"/>
  <c r="N12" i="3"/>
  <c r="N11" i="3"/>
  <c r="N10" i="3"/>
  <c r="N9" i="3"/>
  <c r="N8" i="3"/>
  <c r="N7" i="3"/>
  <c r="N6" i="3"/>
  <c r="Q4" i="3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P4" i="3"/>
  <c r="O4" i="3"/>
  <c r="N4" i="3"/>
  <c r="F89" i="3"/>
  <c r="L88" i="3"/>
  <c r="K88" i="3"/>
  <c r="J88" i="3"/>
  <c r="I88" i="3"/>
  <c r="H88" i="3"/>
  <c r="G88" i="3"/>
  <c r="F88" i="3"/>
  <c r="L91" i="3"/>
  <c r="K91" i="3"/>
  <c r="I91" i="3"/>
  <c r="H91" i="3"/>
  <c r="F91" i="3"/>
  <c r="G87" i="3" s="1"/>
  <c r="E91" i="3"/>
  <c r="F87" i="3" s="1"/>
  <c r="F90" i="3" s="1"/>
  <c r="N87" i="3"/>
  <c r="C91" i="3"/>
  <c r="M87" i="3"/>
  <c r="N89" i="3"/>
  <c r="L89" i="3"/>
  <c r="K89" i="3"/>
  <c r="J89" i="3"/>
  <c r="I89" i="3"/>
  <c r="H89" i="3"/>
  <c r="G89" i="3"/>
  <c r="K87" i="3"/>
  <c r="K90" i="3" s="1"/>
  <c r="J87" i="3"/>
  <c r="I87" i="3"/>
  <c r="I90" i="3" s="1"/>
  <c r="N39" i="3"/>
  <c r="O39" i="3" s="1"/>
  <c r="P39" i="3" s="1"/>
  <c r="Q39" i="3" s="1"/>
  <c r="R39" i="3" s="1"/>
  <c r="S39" i="3" s="1"/>
  <c r="T39" i="3" s="1"/>
  <c r="U39" i="3" s="1"/>
  <c r="V39" i="3" s="1"/>
  <c r="W39" i="3" s="1"/>
  <c r="X39" i="3" s="1"/>
  <c r="Y39" i="3" s="1"/>
  <c r="Z39" i="3" s="1"/>
  <c r="AA39" i="3" s="1"/>
  <c r="AB39" i="3" s="1"/>
  <c r="AC39" i="3" s="1"/>
  <c r="M27" i="3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C30" i="3"/>
  <c r="N29" i="3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Z17" i="3"/>
  <c r="Z16" i="3"/>
  <c r="AB72" i="3"/>
  <c r="AB76" i="3" s="1"/>
  <c r="V70" i="3"/>
  <c r="V16" i="3" s="1"/>
  <c r="AC72" i="3"/>
  <c r="AC71" i="3"/>
  <c r="AB71" i="3" s="1"/>
  <c r="AC70" i="3"/>
  <c r="AB70" i="3" s="1"/>
  <c r="AA71" i="3"/>
  <c r="AA17" i="3" s="1"/>
  <c r="Z72" i="3"/>
  <c r="Z30" i="3" s="1"/>
  <c r="Z71" i="3"/>
  <c r="Y71" i="3" s="1"/>
  <c r="Z70" i="3"/>
  <c r="Y70" i="3" s="1"/>
  <c r="X72" i="3"/>
  <c r="X30" i="3" s="1"/>
  <c r="X71" i="3"/>
  <c r="X17" i="3" s="1"/>
  <c r="X70" i="3"/>
  <c r="X16" i="3" s="1"/>
  <c r="W72" i="3"/>
  <c r="W30" i="3" s="1"/>
  <c r="W71" i="3"/>
  <c r="W17" i="3" s="1"/>
  <c r="W70" i="3"/>
  <c r="W16" i="3" s="1"/>
  <c r="U71" i="3"/>
  <c r="U17" i="3" s="1"/>
  <c r="T72" i="3"/>
  <c r="T30" i="3" s="1"/>
  <c r="T71" i="3"/>
  <c r="S71" i="3" s="1"/>
  <c r="T70" i="3"/>
  <c r="S70" i="3" s="1"/>
  <c r="Q72" i="3"/>
  <c r="Q30" i="3" s="1"/>
  <c r="Q71" i="3"/>
  <c r="Q17" i="3" s="1"/>
  <c r="Q70" i="3"/>
  <c r="Q16" i="3" s="1"/>
  <c r="O71" i="3"/>
  <c r="O17" i="3" s="1"/>
  <c r="AB69" i="3"/>
  <c r="AA69" i="3"/>
  <c r="AA70" i="3" s="1"/>
  <c r="AA16" i="3" s="1"/>
  <c r="V69" i="3"/>
  <c r="U69" i="3"/>
  <c r="U72" i="3" s="1"/>
  <c r="U30" i="3" s="1"/>
  <c r="S69" i="3"/>
  <c r="R69" i="3"/>
  <c r="R72" i="3" s="1"/>
  <c r="R30" i="3" s="1"/>
  <c r="P69" i="3"/>
  <c r="O69" i="3"/>
  <c r="O70" i="3" s="1"/>
  <c r="O16" i="3" s="1"/>
  <c r="N70" i="3"/>
  <c r="M70" i="3" s="1"/>
  <c r="AB59" i="3"/>
  <c r="AA59" i="3"/>
  <c r="Z59" i="3"/>
  <c r="Y59" i="3"/>
  <c r="X59" i="3"/>
  <c r="V59" i="3"/>
  <c r="U59" i="3"/>
  <c r="W59" i="3" s="1"/>
  <c r="T59" i="3"/>
  <c r="S59" i="3"/>
  <c r="R59" i="3"/>
  <c r="P59" i="3"/>
  <c r="O59" i="3"/>
  <c r="Q59" i="3" s="1"/>
  <c r="M59" i="3"/>
  <c r="L65" i="3"/>
  <c r="K65" i="3"/>
  <c r="M48" i="3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M47" i="3"/>
  <c r="N47" i="3" s="1"/>
  <c r="O47" i="3" s="1"/>
  <c r="P47" i="3" s="1"/>
  <c r="Q47" i="3" s="1"/>
  <c r="R47" i="3" s="1"/>
  <c r="S47" i="3" s="1"/>
  <c r="T47" i="3" s="1"/>
  <c r="U47" i="3" s="1"/>
  <c r="V47" i="3" s="1"/>
  <c r="W47" i="3" s="1"/>
  <c r="X47" i="3" s="1"/>
  <c r="Y47" i="3" s="1"/>
  <c r="Z47" i="3" s="1"/>
  <c r="AA47" i="3" s="1"/>
  <c r="AB47" i="3" s="1"/>
  <c r="AC47" i="3" s="1"/>
  <c r="M46" i="3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M42" i="3"/>
  <c r="N42" i="3" s="1"/>
  <c r="O42" i="3" s="1"/>
  <c r="P42" i="3" s="1"/>
  <c r="Q42" i="3" s="1"/>
  <c r="R42" i="3" s="1"/>
  <c r="S42" i="3" s="1"/>
  <c r="T42" i="3" s="1"/>
  <c r="U42" i="3" s="1"/>
  <c r="V42" i="3" s="1"/>
  <c r="W42" i="3" s="1"/>
  <c r="X42" i="3" s="1"/>
  <c r="Y42" i="3" s="1"/>
  <c r="Z42" i="3" s="1"/>
  <c r="AA42" i="3" s="1"/>
  <c r="AB42" i="3" s="1"/>
  <c r="AC42" i="3" s="1"/>
  <c r="M41" i="3"/>
  <c r="N41" i="3" s="1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M40" i="3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M39" i="3"/>
  <c r="M38" i="3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M33" i="3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M32" i="3"/>
  <c r="N32" i="3" s="1"/>
  <c r="O32" i="3" s="1"/>
  <c r="P32" i="3" s="1"/>
  <c r="Q32" i="3" s="1"/>
  <c r="R32" i="3" s="1"/>
  <c r="S32" i="3" s="1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M31" i="3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M29" i="3"/>
  <c r="M28" i="3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M20" i="3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M19" i="3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M18" i="3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M12" i="3"/>
  <c r="M11" i="3"/>
  <c r="M10" i="3"/>
  <c r="M9" i="3"/>
  <c r="M8" i="3"/>
  <c r="M7" i="3"/>
  <c r="M6" i="3"/>
  <c r="M4" i="3"/>
  <c r="AA31" i="4"/>
  <c r="AA13" i="4"/>
  <c r="U13" i="4"/>
  <c r="R31" i="4"/>
  <c r="N17" i="1"/>
  <c r="N19" i="1"/>
  <c r="N16" i="1"/>
  <c r="N18" i="1"/>
  <c r="M18" i="1" s="1"/>
  <c r="M89" i="3" l="1"/>
  <c r="D9" i="14"/>
  <c r="D13" i="14" s="1"/>
  <c r="D15" i="14" s="1"/>
  <c r="C9" i="14"/>
  <c r="C13" i="14" s="1"/>
  <c r="C15" i="14" s="1"/>
  <c r="G9" i="14"/>
  <c r="G13" i="14" s="1"/>
  <c r="G16" i="14" s="1"/>
  <c r="E9" i="14"/>
  <c r="E13" i="14" s="1"/>
  <c r="F9" i="14"/>
  <c r="F13" i="14" s="1"/>
  <c r="E5" i="14"/>
  <c r="E14" i="14" s="1"/>
  <c r="E15" i="14" s="1"/>
  <c r="Q37" i="3"/>
  <c r="R79" i="3"/>
  <c r="R81" i="3" s="1"/>
  <c r="S79" i="3" s="1"/>
  <c r="S81" i="3" s="1"/>
  <c r="T81" i="3" s="1"/>
  <c r="U79" i="3" s="1"/>
  <c r="U81" i="3" s="1"/>
  <c r="V79" i="3" s="1"/>
  <c r="V81" i="3" s="1"/>
  <c r="W81" i="3" s="1"/>
  <c r="X79" i="3" s="1"/>
  <c r="X81" i="3" s="1"/>
  <c r="Y79" i="3" s="1"/>
  <c r="Y81" i="3" s="1"/>
  <c r="Z81" i="3" s="1"/>
  <c r="AA79" i="3" s="1"/>
  <c r="AA81" i="3" s="1"/>
  <c r="AB79" i="3" s="1"/>
  <c r="AB81" i="3" s="1"/>
  <c r="AC81" i="3" s="1"/>
  <c r="U31" i="4"/>
  <c r="P79" i="3"/>
  <c r="P81" i="3" s="1"/>
  <c r="S16" i="3"/>
  <c r="S74" i="3"/>
  <c r="AB75" i="3"/>
  <c r="AB17" i="3"/>
  <c r="S17" i="3"/>
  <c r="S75" i="3"/>
  <c r="Y16" i="3"/>
  <c r="Y74" i="3"/>
  <c r="M74" i="3"/>
  <c r="M16" i="3"/>
  <c r="Y75" i="3"/>
  <c r="Y17" i="3"/>
  <c r="AB74" i="3"/>
  <c r="AB16" i="3"/>
  <c r="M58" i="3"/>
  <c r="O72" i="3"/>
  <c r="O30" i="3" s="1"/>
  <c r="AA72" i="3"/>
  <c r="AA30" i="3" s="1"/>
  <c r="V71" i="3"/>
  <c r="P70" i="3"/>
  <c r="V72" i="3"/>
  <c r="T16" i="3"/>
  <c r="T17" i="3"/>
  <c r="U70" i="3"/>
  <c r="U16" i="3" s="1"/>
  <c r="V74" i="3"/>
  <c r="P71" i="3"/>
  <c r="AC16" i="3"/>
  <c r="AC17" i="3"/>
  <c r="P72" i="3"/>
  <c r="N16" i="3"/>
  <c r="R70" i="3"/>
  <c r="R16" i="3" s="1"/>
  <c r="Y72" i="3"/>
  <c r="R71" i="3"/>
  <c r="R17" i="3" s="1"/>
  <c r="S72" i="3"/>
  <c r="AB30" i="3"/>
  <c r="L87" i="3"/>
  <c r="L90" i="3" s="1"/>
  <c r="M90" i="3" s="1"/>
  <c r="H87" i="3"/>
  <c r="H90" i="3" s="1"/>
  <c r="AC59" i="3"/>
  <c r="X31" i="4"/>
  <c r="X13" i="4"/>
  <c r="O18" i="1"/>
  <c r="O7" i="4" s="1"/>
  <c r="O20" i="4" s="1"/>
  <c r="N44" i="4"/>
  <c r="F5" i="14" l="1"/>
  <c r="F14" i="14" s="1"/>
  <c r="F15" i="14" s="1"/>
  <c r="T37" i="3"/>
  <c r="P37" i="3"/>
  <c r="P82" i="3"/>
  <c r="Q82" i="3" s="1"/>
  <c r="P75" i="3"/>
  <c r="P17" i="3"/>
  <c r="M62" i="3"/>
  <c r="M65" i="3" s="1"/>
  <c r="M5" i="3" s="1"/>
  <c r="S30" i="3"/>
  <c r="S76" i="3"/>
  <c r="V75" i="3"/>
  <c r="V17" i="3"/>
  <c r="Y76" i="3"/>
  <c r="Y30" i="3"/>
  <c r="P76" i="3"/>
  <c r="P30" i="3"/>
  <c r="V76" i="3"/>
  <c r="V30" i="3"/>
  <c r="P74" i="3"/>
  <c r="P16" i="3"/>
  <c r="G5" i="14" l="1"/>
  <c r="G14" i="14" s="1"/>
  <c r="G15" i="14" s="1"/>
  <c r="C17" i="14" s="1"/>
  <c r="C20" i="14" s="1"/>
  <c r="C22" i="14" s="1"/>
  <c r="C24" i="14" s="1"/>
  <c r="R37" i="3"/>
  <c r="R82" i="3"/>
  <c r="Q83" i="3"/>
  <c r="Q18" i="1"/>
  <c r="F27" i="14" l="1"/>
  <c r="R43" i="3"/>
  <c r="R41" i="4"/>
  <c r="R44" i="4" s="1"/>
  <c r="Q7" i="4"/>
  <c r="P18" i="1"/>
  <c r="P7" i="4" s="1"/>
  <c r="P20" i="4" s="1"/>
  <c r="Q20" i="4" s="1"/>
  <c r="R18" i="1"/>
  <c r="R7" i="4" s="1"/>
  <c r="R20" i="4" s="1"/>
  <c r="S82" i="3"/>
  <c r="T82" i="3" s="1"/>
  <c r="S37" i="3"/>
  <c r="W37" i="3"/>
  <c r="S41" i="4" l="1"/>
  <c r="T83" i="3"/>
  <c r="T18" i="1"/>
  <c r="U37" i="3"/>
  <c r="U82" i="3"/>
  <c r="U43" i="3" l="1"/>
  <c r="U41" i="4"/>
  <c r="U44" i="4" s="1"/>
  <c r="U18" i="1"/>
  <c r="U7" i="4" s="1"/>
  <c r="U20" i="4" s="1"/>
  <c r="T7" i="4"/>
  <c r="S18" i="1"/>
  <c r="S7" i="4" s="1"/>
  <c r="S20" i="4" s="1"/>
  <c r="T20" i="4" s="1"/>
  <c r="V82" i="3"/>
  <c r="W82" i="3" s="1"/>
  <c r="V37" i="3"/>
  <c r="Z37" i="3"/>
  <c r="V41" i="4" l="1"/>
  <c r="X37" i="3"/>
  <c r="X82" i="3"/>
  <c r="W83" i="3"/>
  <c r="W18" i="1"/>
  <c r="X43" i="3" l="1"/>
  <c r="X41" i="4"/>
  <c r="X44" i="4" s="1"/>
  <c r="AC37" i="3"/>
  <c r="X18" i="1"/>
  <c r="X7" i="4" s="1"/>
  <c r="X20" i="4" s="1"/>
  <c r="W7" i="4"/>
  <c r="V18" i="1"/>
  <c r="V7" i="4" s="1"/>
  <c r="V20" i="4" s="1"/>
  <c r="W20" i="4" s="1"/>
  <c r="Y82" i="3"/>
  <c r="Z82" i="3" s="1"/>
  <c r="Y37" i="3"/>
  <c r="Y41" i="4" l="1"/>
  <c r="Z18" i="1"/>
  <c r="Z83" i="3"/>
  <c r="AA37" i="3"/>
  <c r="AA82" i="3"/>
  <c r="AA43" i="3" l="1"/>
  <c r="AA41" i="4"/>
  <c r="AA44" i="4" s="1"/>
  <c r="AA18" i="1"/>
  <c r="AA7" i="4" s="1"/>
  <c r="AA20" i="4" s="1"/>
  <c r="Z7" i="4"/>
  <c r="Y18" i="1"/>
  <c r="Y7" i="4" s="1"/>
  <c r="Y20" i="4" s="1"/>
  <c r="Z20" i="4" s="1"/>
  <c r="AB82" i="3"/>
  <c r="AC82" i="3" s="1"/>
  <c r="AB37" i="3"/>
  <c r="AB41" i="4" l="1"/>
  <c r="AC83" i="3"/>
  <c r="AC18" i="1"/>
  <c r="AC7" i="4" l="1"/>
  <c r="AB18" i="1"/>
  <c r="AB7" i="4" s="1"/>
  <c r="AB20" i="4" s="1"/>
  <c r="AC20" i="4" s="1"/>
  <c r="L82" i="3" l="1"/>
  <c r="K82" i="3"/>
  <c r="I82" i="3"/>
  <c r="H82" i="3"/>
  <c r="G82" i="3"/>
  <c r="G83" i="3" s="1"/>
  <c r="F82" i="3"/>
  <c r="E82" i="3"/>
  <c r="C82" i="3"/>
  <c r="L81" i="3"/>
  <c r="K81" i="3"/>
  <c r="I81" i="3"/>
  <c r="H81" i="3"/>
  <c r="K79" i="3" s="1"/>
  <c r="F81" i="3"/>
  <c r="I79" i="3" s="1"/>
  <c r="I80" i="3" s="1"/>
  <c r="E81" i="3"/>
  <c r="H79" i="3" s="1"/>
  <c r="C81" i="3"/>
  <c r="F79" i="3" s="1"/>
  <c r="B81" i="3"/>
  <c r="U6" i="1"/>
  <c r="L72" i="3"/>
  <c r="L76" i="3" s="1"/>
  <c r="N76" i="3" s="1"/>
  <c r="N72" i="3" s="1"/>
  <c r="K72" i="3"/>
  <c r="K76" i="3" s="1"/>
  <c r="I72" i="3"/>
  <c r="H72" i="3"/>
  <c r="H76" i="3" s="1"/>
  <c r="F72" i="3"/>
  <c r="E72" i="3"/>
  <c r="E76" i="3" s="1"/>
  <c r="L71" i="3"/>
  <c r="K71" i="3"/>
  <c r="K75" i="3" s="1"/>
  <c r="I71" i="3"/>
  <c r="H71" i="3"/>
  <c r="F71" i="3"/>
  <c r="E71" i="3"/>
  <c r="L70" i="3"/>
  <c r="L74" i="3" s="1"/>
  <c r="K70" i="3"/>
  <c r="K74" i="3" s="1"/>
  <c r="I70" i="3"/>
  <c r="H70" i="3"/>
  <c r="H74" i="3" s="1"/>
  <c r="F70" i="3"/>
  <c r="E70" i="3"/>
  <c r="E74" i="3" s="1"/>
  <c r="J69" i="3"/>
  <c r="I69" i="3"/>
  <c r="G69" i="3"/>
  <c r="F69" i="3"/>
  <c r="D69" i="3"/>
  <c r="C69" i="3"/>
  <c r="C72" i="3"/>
  <c r="C71" i="3"/>
  <c r="C70" i="3"/>
  <c r="K61" i="3"/>
  <c r="L62" i="3"/>
  <c r="J61" i="3"/>
  <c r="I61" i="3"/>
  <c r="H61" i="3"/>
  <c r="G61" i="3"/>
  <c r="F61" i="3"/>
  <c r="E61" i="3"/>
  <c r="D61" i="3"/>
  <c r="C61" i="3"/>
  <c r="K59" i="3"/>
  <c r="J59" i="3"/>
  <c r="I59" i="3"/>
  <c r="H59" i="3"/>
  <c r="G59" i="3"/>
  <c r="F59" i="3"/>
  <c r="E59" i="3"/>
  <c r="D59" i="3"/>
  <c r="C59" i="3"/>
  <c r="L61" i="3"/>
  <c r="L59" i="3"/>
  <c r="I65" i="3"/>
  <c r="H65" i="3"/>
  <c r="F65" i="3"/>
  <c r="E65" i="3"/>
  <c r="C65" i="3"/>
  <c r="D13" i="1"/>
  <c r="G13" i="1"/>
  <c r="J13" i="1"/>
  <c r="E11" i="1"/>
  <c r="H11" i="1"/>
  <c r="G11" i="1" s="1"/>
  <c r="K11" i="1"/>
  <c r="J11" i="1" s="1"/>
  <c r="M29" i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C5" i="1"/>
  <c r="AC9" i="1" s="1"/>
  <c r="AA5" i="1"/>
  <c r="AA7" i="1" s="1"/>
  <c r="AA11" i="1" s="1"/>
  <c r="Z5" i="1"/>
  <c r="Z7" i="1" s="1"/>
  <c r="Z11" i="1" s="1"/>
  <c r="X5" i="1"/>
  <c r="X7" i="1" s="1"/>
  <c r="X11" i="1" s="1"/>
  <c r="W5" i="1"/>
  <c r="W9" i="1" s="1"/>
  <c r="U5" i="1"/>
  <c r="U7" i="1" s="1"/>
  <c r="U11" i="1" s="1"/>
  <c r="T5" i="1"/>
  <c r="T7" i="1" s="1"/>
  <c r="T11" i="1" s="1"/>
  <c r="R5" i="1"/>
  <c r="R7" i="1" s="1"/>
  <c r="Q5" i="1"/>
  <c r="Q9" i="1" s="1"/>
  <c r="O5" i="1"/>
  <c r="O7" i="1" s="1"/>
  <c r="O11" i="1" s="1"/>
  <c r="N5" i="1"/>
  <c r="N7" i="1" s="1"/>
  <c r="N11" i="1" s="1"/>
  <c r="M11" i="1" s="1"/>
  <c r="AC19" i="7"/>
  <c r="AA19" i="7"/>
  <c r="AC17" i="7"/>
  <c r="AC16" i="7"/>
  <c r="AA16" i="7"/>
  <c r="AA17" i="7" s="1"/>
  <c r="AC13" i="7"/>
  <c r="AA13" i="7"/>
  <c r="AC10" i="7"/>
  <c r="AA10" i="7"/>
  <c r="AC7" i="7"/>
  <c r="AA7" i="7"/>
  <c r="AA5" i="7"/>
  <c r="AC4" i="7"/>
  <c r="AC5" i="7" s="1"/>
  <c r="AA4" i="7"/>
  <c r="AA22" i="7" s="1"/>
  <c r="AA23" i="7" s="1"/>
  <c r="Z19" i="7"/>
  <c r="X19" i="7"/>
  <c r="X17" i="7"/>
  <c r="Z16" i="7"/>
  <c r="Z17" i="7" s="1"/>
  <c r="X16" i="7"/>
  <c r="Z13" i="7"/>
  <c r="X13" i="7"/>
  <c r="Z10" i="7"/>
  <c r="X10" i="7"/>
  <c r="Z7" i="7"/>
  <c r="X7" i="7"/>
  <c r="Z5" i="7"/>
  <c r="X5" i="7"/>
  <c r="Z4" i="7"/>
  <c r="Z22" i="7" s="1"/>
  <c r="Z23" i="7" s="1"/>
  <c r="X4" i="7"/>
  <c r="X22" i="7" s="1"/>
  <c r="X23" i="7" s="1"/>
  <c r="W19" i="7"/>
  <c r="U19" i="7"/>
  <c r="U17" i="7"/>
  <c r="W16" i="7"/>
  <c r="W17" i="7" s="1"/>
  <c r="U16" i="7"/>
  <c r="W13" i="7"/>
  <c r="U13" i="7"/>
  <c r="W10" i="7"/>
  <c r="U10" i="7"/>
  <c r="W7" i="7"/>
  <c r="U7" i="7"/>
  <c r="W5" i="7"/>
  <c r="W4" i="7"/>
  <c r="W22" i="7" s="1"/>
  <c r="W23" i="7" s="1"/>
  <c r="U4" i="7"/>
  <c r="U5" i="7" s="1"/>
  <c r="T19" i="7"/>
  <c r="R19" i="7"/>
  <c r="R17" i="7"/>
  <c r="T16" i="7"/>
  <c r="T17" i="7" s="1"/>
  <c r="R16" i="7"/>
  <c r="T13" i="7"/>
  <c r="R13" i="7"/>
  <c r="T10" i="7"/>
  <c r="R10" i="7"/>
  <c r="T7" i="7"/>
  <c r="R7" i="7"/>
  <c r="T5" i="7"/>
  <c r="T4" i="7"/>
  <c r="T22" i="7" s="1"/>
  <c r="T23" i="7" s="1"/>
  <c r="R4" i="7"/>
  <c r="R5" i="7" s="1"/>
  <c r="Q19" i="7"/>
  <c r="Q16" i="7"/>
  <c r="Q17" i="7" s="1"/>
  <c r="Q13" i="7"/>
  <c r="Q10" i="7"/>
  <c r="Q7" i="7"/>
  <c r="Q4" i="7"/>
  <c r="Q5" i="7" s="1"/>
  <c r="O19" i="7"/>
  <c r="O16" i="7"/>
  <c r="O17" i="7" s="1"/>
  <c r="O13" i="7"/>
  <c r="O10" i="7"/>
  <c r="O7" i="7"/>
  <c r="O4" i="7"/>
  <c r="O5" i="7" s="1"/>
  <c r="O16" i="12"/>
  <c r="N16" i="12"/>
  <c r="O13" i="12"/>
  <c r="N13" i="12"/>
  <c r="AC5" i="12"/>
  <c r="AA5" i="12"/>
  <c r="Z5" i="12"/>
  <c r="X5" i="12"/>
  <c r="W5" i="12"/>
  <c r="U5" i="12"/>
  <c r="T5" i="12"/>
  <c r="R5" i="12"/>
  <c r="Q5" i="12"/>
  <c r="O5" i="12"/>
  <c r="N5" i="12"/>
  <c r="O4" i="12"/>
  <c r="O22" i="12" s="1"/>
  <c r="N4" i="12"/>
  <c r="N22" i="12" s="1"/>
  <c r="O16" i="11"/>
  <c r="N16" i="11"/>
  <c r="O13" i="11"/>
  <c r="N13" i="11"/>
  <c r="AC5" i="11"/>
  <c r="AA5" i="11"/>
  <c r="Z5" i="11"/>
  <c r="X5" i="11"/>
  <c r="W5" i="11"/>
  <c r="U5" i="11"/>
  <c r="T5" i="11"/>
  <c r="R5" i="11"/>
  <c r="Q5" i="11"/>
  <c r="O5" i="11"/>
  <c r="O4" i="11" s="1"/>
  <c r="O22" i="11" s="1"/>
  <c r="N5" i="11"/>
  <c r="N4" i="11" s="1"/>
  <c r="N22" i="11" s="1"/>
  <c r="O16" i="10"/>
  <c r="N16" i="10"/>
  <c r="O13" i="10"/>
  <c r="N13" i="10"/>
  <c r="AC5" i="10"/>
  <c r="AA5" i="10"/>
  <c r="Z5" i="10"/>
  <c r="X5" i="10"/>
  <c r="W5" i="10"/>
  <c r="U5" i="10"/>
  <c r="T5" i="10"/>
  <c r="R5" i="10"/>
  <c r="Q5" i="10"/>
  <c r="O5" i="10"/>
  <c r="N5" i="10"/>
  <c r="N4" i="10" s="1"/>
  <c r="N22" i="10" s="1"/>
  <c r="O4" i="10"/>
  <c r="O22" i="10" s="1"/>
  <c r="O16" i="9"/>
  <c r="N16" i="9"/>
  <c r="O13" i="9"/>
  <c r="N13" i="9"/>
  <c r="AC5" i="9"/>
  <c r="AA5" i="9"/>
  <c r="Z5" i="9"/>
  <c r="X5" i="9"/>
  <c r="W5" i="9"/>
  <c r="U5" i="9"/>
  <c r="T5" i="9"/>
  <c r="R5" i="9"/>
  <c r="Q5" i="9"/>
  <c r="O5" i="9"/>
  <c r="N5" i="9"/>
  <c r="N4" i="9" s="1"/>
  <c r="N22" i="9" s="1"/>
  <c r="O4" i="9"/>
  <c r="O22" i="9" s="1"/>
  <c r="N5" i="8"/>
  <c r="N19" i="7"/>
  <c r="N13" i="7"/>
  <c r="N10" i="7"/>
  <c r="N7" i="7"/>
  <c r="AC5" i="8"/>
  <c r="AA5" i="8"/>
  <c r="Z5" i="8"/>
  <c r="X5" i="8"/>
  <c r="W5" i="8"/>
  <c r="U5" i="8"/>
  <c r="T5" i="8"/>
  <c r="R5" i="8"/>
  <c r="O5" i="8"/>
  <c r="O4" i="8" s="1"/>
  <c r="O22" i="8" s="1"/>
  <c r="Q5" i="8"/>
  <c r="O16" i="8"/>
  <c r="O13" i="8"/>
  <c r="N16" i="8"/>
  <c r="N13" i="8"/>
  <c r="N4" i="8"/>
  <c r="L10" i="8"/>
  <c r="K5" i="7"/>
  <c r="K23" i="7"/>
  <c r="K17" i="7"/>
  <c r="K14" i="7"/>
  <c r="K11" i="7"/>
  <c r="K8" i="7"/>
  <c r="L8" i="7"/>
  <c r="L5" i="7" s="1"/>
  <c r="L23" i="7"/>
  <c r="L17" i="7"/>
  <c r="L14" i="7"/>
  <c r="L11" i="7"/>
  <c r="K23" i="12"/>
  <c r="L23" i="12"/>
  <c r="L17" i="12"/>
  <c r="L14" i="12"/>
  <c r="L5" i="12"/>
  <c r="K23" i="11"/>
  <c r="K17" i="11"/>
  <c r="K14" i="11"/>
  <c r="K5" i="11"/>
  <c r="L23" i="11"/>
  <c r="L17" i="11"/>
  <c r="L14" i="11"/>
  <c r="L5" i="11"/>
  <c r="K23" i="10"/>
  <c r="K17" i="10"/>
  <c r="K14" i="10"/>
  <c r="K5" i="10"/>
  <c r="L23" i="10"/>
  <c r="L17" i="10"/>
  <c r="L14" i="10"/>
  <c r="L5" i="10"/>
  <c r="K17" i="9"/>
  <c r="K14" i="9"/>
  <c r="K5" i="9"/>
  <c r="L17" i="8"/>
  <c r="L14" i="8"/>
  <c r="L5" i="8"/>
  <c r="K17" i="8"/>
  <c r="K14" i="8"/>
  <c r="K5" i="8"/>
  <c r="H21" i="11"/>
  <c r="H21" i="10"/>
  <c r="K22" i="9"/>
  <c r="K23" i="9" s="1"/>
  <c r="H22" i="8"/>
  <c r="K22" i="8" s="1"/>
  <c r="K23" i="8" s="1"/>
  <c r="I22" i="7"/>
  <c r="L22" i="7" s="1"/>
  <c r="H22" i="7"/>
  <c r="K21" i="7"/>
  <c r="I21" i="12"/>
  <c r="I22" i="11"/>
  <c r="L22" i="11" s="1"/>
  <c r="K22" i="11"/>
  <c r="I21" i="11"/>
  <c r="K22" i="10"/>
  <c r="I22" i="10"/>
  <c r="L22" i="10" s="1"/>
  <c r="I21" i="10"/>
  <c r="I22" i="9"/>
  <c r="L22" i="9" s="1"/>
  <c r="L23" i="9" s="1"/>
  <c r="I22" i="8"/>
  <c r="L22" i="8" s="1"/>
  <c r="L23" i="8" s="1"/>
  <c r="I21" i="8"/>
  <c r="I21" i="7"/>
  <c r="K16" i="13"/>
  <c r="K22" i="12"/>
  <c r="L16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L2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L4" i="7"/>
  <c r="D53" i="4"/>
  <c r="D54" i="4" s="1"/>
  <c r="D52" i="4"/>
  <c r="D47" i="4"/>
  <c r="D46" i="4"/>
  <c r="D43" i="4"/>
  <c r="D42" i="4"/>
  <c r="D41" i="4"/>
  <c r="D40" i="4"/>
  <c r="D39" i="4"/>
  <c r="D38" i="4"/>
  <c r="D37" i="4"/>
  <c r="D36" i="4"/>
  <c r="D35" i="4"/>
  <c r="D44" i="4" s="1"/>
  <c r="D34" i="4"/>
  <c r="D30" i="4"/>
  <c r="D29" i="4"/>
  <c r="D28" i="4"/>
  <c r="D27" i="4"/>
  <c r="D26" i="4"/>
  <c r="D25" i="4"/>
  <c r="D31" i="4" s="1"/>
  <c r="D21" i="4"/>
  <c r="D20" i="4"/>
  <c r="D19" i="4"/>
  <c r="D17" i="4"/>
  <c r="D16" i="4"/>
  <c r="D15" i="4"/>
  <c r="D18" i="4" s="1"/>
  <c r="D14" i="4"/>
  <c r="D12" i="4"/>
  <c r="D11" i="4"/>
  <c r="D13" i="4" s="1"/>
  <c r="D10" i="4"/>
  <c r="D8" i="4"/>
  <c r="D7" i="4"/>
  <c r="D6" i="4"/>
  <c r="D5" i="4"/>
  <c r="D4" i="4"/>
  <c r="D9" i="4" s="1"/>
  <c r="G54" i="4"/>
  <c r="G53" i="4"/>
  <c r="G52" i="4"/>
  <c r="G47" i="4"/>
  <c r="G46" i="4"/>
  <c r="G43" i="4"/>
  <c r="G42" i="4"/>
  <c r="G41" i="4"/>
  <c r="G40" i="4"/>
  <c r="G39" i="4"/>
  <c r="G38" i="4"/>
  <c r="G37" i="4"/>
  <c r="G36" i="4"/>
  <c r="G44" i="4" s="1"/>
  <c r="G35" i="4"/>
  <c r="G34" i="4"/>
  <c r="G30" i="4"/>
  <c r="G29" i="4"/>
  <c r="G28" i="4"/>
  <c r="G27" i="4"/>
  <c r="G31" i="4" s="1"/>
  <c r="G26" i="4"/>
  <c r="G25" i="4"/>
  <c r="G21" i="4"/>
  <c r="G20" i="4"/>
  <c r="G19" i="4"/>
  <c r="G17" i="4"/>
  <c r="G18" i="4" s="1"/>
  <c r="G16" i="4"/>
  <c r="G15" i="4"/>
  <c r="G14" i="4"/>
  <c r="G12" i="4"/>
  <c r="G11" i="4"/>
  <c r="G10" i="4"/>
  <c r="G13" i="4" s="1"/>
  <c r="G9" i="4"/>
  <c r="G8" i="4"/>
  <c r="G7" i="4"/>
  <c r="G6" i="4"/>
  <c r="G5" i="4"/>
  <c r="G4" i="4"/>
  <c r="J52" i="4"/>
  <c r="J53" i="4"/>
  <c r="J47" i="4"/>
  <c r="J46" i="4"/>
  <c r="J43" i="4"/>
  <c r="J42" i="4"/>
  <c r="J41" i="4"/>
  <c r="J40" i="4"/>
  <c r="J39" i="4"/>
  <c r="J38" i="4"/>
  <c r="J37" i="4"/>
  <c r="J36" i="4"/>
  <c r="J35" i="4"/>
  <c r="J34" i="4"/>
  <c r="J44" i="4" s="1"/>
  <c r="J30" i="4"/>
  <c r="J29" i="4"/>
  <c r="J28" i="4"/>
  <c r="J27" i="4"/>
  <c r="J26" i="4"/>
  <c r="J25" i="4"/>
  <c r="J21" i="4"/>
  <c r="J20" i="4"/>
  <c r="J19" i="4"/>
  <c r="J17" i="4"/>
  <c r="J16" i="4"/>
  <c r="J15" i="4"/>
  <c r="J14" i="4"/>
  <c r="J18" i="4" s="1"/>
  <c r="J12" i="4"/>
  <c r="J11" i="4"/>
  <c r="J13" i="4" s="1"/>
  <c r="J10" i="4"/>
  <c r="J8" i="4"/>
  <c r="J7" i="4"/>
  <c r="J6" i="4"/>
  <c r="J5" i="4"/>
  <c r="J4" i="4"/>
  <c r="D25" i="1"/>
  <c r="D21" i="1"/>
  <c r="D19" i="1"/>
  <c r="D18" i="1"/>
  <c r="D82" i="3" s="1"/>
  <c r="D17" i="1"/>
  <c r="D16" i="1"/>
  <c r="D11" i="1"/>
  <c r="D9" i="1"/>
  <c r="D6" i="1"/>
  <c r="D4" i="1"/>
  <c r="D3" i="1"/>
  <c r="G25" i="1"/>
  <c r="G21" i="1"/>
  <c r="G19" i="1"/>
  <c r="G18" i="1"/>
  <c r="G17" i="1"/>
  <c r="G16" i="1"/>
  <c r="G9" i="1"/>
  <c r="G6" i="1"/>
  <c r="G4" i="1"/>
  <c r="G3" i="1"/>
  <c r="J25" i="1"/>
  <c r="J21" i="1"/>
  <c r="J19" i="1"/>
  <c r="J18" i="1"/>
  <c r="J82" i="3" s="1"/>
  <c r="J17" i="1"/>
  <c r="J16" i="1"/>
  <c r="J9" i="1"/>
  <c r="J6" i="1"/>
  <c r="J4" i="1"/>
  <c r="J3" i="1"/>
  <c r="C49" i="4"/>
  <c r="F52" i="4"/>
  <c r="F44" i="4"/>
  <c r="F31" i="4"/>
  <c r="F22" i="4"/>
  <c r="F45" i="4" s="1"/>
  <c r="F49" i="4" s="1"/>
  <c r="F18" i="4"/>
  <c r="F13" i="4"/>
  <c r="F9" i="4"/>
  <c r="F31" i="1"/>
  <c r="F5" i="1"/>
  <c r="F7" i="1" s="1"/>
  <c r="F50" i="3"/>
  <c r="F52" i="3" s="1"/>
  <c r="F43" i="3"/>
  <c r="F34" i="3"/>
  <c r="F22" i="3"/>
  <c r="F13" i="3"/>
  <c r="G51" i="3"/>
  <c r="H50" i="3"/>
  <c r="H52" i="3" s="1"/>
  <c r="G49" i="3"/>
  <c r="G91" i="3" s="1"/>
  <c r="G90" i="3" s="1"/>
  <c r="G48" i="3"/>
  <c r="G47" i="3"/>
  <c r="G46" i="3"/>
  <c r="H43" i="3"/>
  <c r="G42" i="3"/>
  <c r="G41" i="3"/>
  <c r="G40" i="3"/>
  <c r="G39" i="3"/>
  <c r="G38" i="3"/>
  <c r="G37" i="3"/>
  <c r="G81" i="3" s="1"/>
  <c r="J79" i="3" s="1"/>
  <c r="H34" i="3"/>
  <c r="G33" i="3"/>
  <c r="G32" i="3"/>
  <c r="G31" i="3"/>
  <c r="G30" i="3"/>
  <c r="G72" i="3" s="1"/>
  <c r="G29" i="3"/>
  <c r="G28" i="3"/>
  <c r="G27" i="3"/>
  <c r="H22" i="3"/>
  <c r="G21" i="3"/>
  <c r="G20" i="3"/>
  <c r="G19" i="3"/>
  <c r="G18" i="3"/>
  <c r="G17" i="3"/>
  <c r="G71" i="3" s="1"/>
  <c r="G16" i="3"/>
  <c r="G70" i="3" s="1"/>
  <c r="H13" i="3"/>
  <c r="G12" i="3"/>
  <c r="G11" i="3"/>
  <c r="G10" i="3"/>
  <c r="G9" i="3"/>
  <c r="G8" i="3"/>
  <c r="G7" i="3"/>
  <c r="G6" i="3"/>
  <c r="G5" i="3"/>
  <c r="G65" i="3" s="1"/>
  <c r="G4" i="3"/>
  <c r="C31" i="1"/>
  <c r="C5" i="1"/>
  <c r="C7" i="1" s="1"/>
  <c r="C14" i="1" s="1"/>
  <c r="C43" i="3"/>
  <c r="D51" i="3"/>
  <c r="E50" i="3"/>
  <c r="E52" i="3" s="1"/>
  <c r="D49" i="3"/>
  <c r="D91" i="3" s="1"/>
  <c r="D48" i="3"/>
  <c r="D47" i="3"/>
  <c r="D46" i="3"/>
  <c r="E43" i="3"/>
  <c r="D42" i="3"/>
  <c r="D41" i="3"/>
  <c r="D40" i="3"/>
  <c r="D39" i="3"/>
  <c r="D38" i="3"/>
  <c r="D37" i="3"/>
  <c r="D81" i="3" s="1"/>
  <c r="G79" i="3" s="1"/>
  <c r="G80" i="3" s="1"/>
  <c r="E34" i="3"/>
  <c r="D33" i="3"/>
  <c r="D32" i="3"/>
  <c r="D31" i="3"/>
  <c r="D30" i="3"/>
  <c r="D72" i="3" s="1"/>
  <c r="D29" i="3"/>
  <c r="D28" i="3"/>
  <c r="D27" i="3"/>
  <c r="E22" i="3"/>
  <c r="D21" i="3"/>
  <c r="D20" i="3"/>
  <c r="D19" i="3"/>
  <c r="D18" i="3"/>
  <c r="D17" i="3"/>
  <c r="D71" i="3" s="1"/>
  <c r="D16" i="3"/>
  <c r="D70" i="3" s="1"/>
  <c r="D74" i="3" s="1"/>
  <c r="E13" i="3"/>
  <c r="D12" i="3"/>
  <c r="D11" i="3"/>
  <c r="D10" i="3"/>
  <c r="D9" i="3"/>
  <c r="D8" i="3"/>
  <c r="D7" i="3"/>
  <c r="D6" i="3"/>
  <c r="D5" i="3"/>
  <c r="D65" i="3" s="1"/>
  <c r="D4" i="3"/>
  <c r="K48" i="4"/>
  <c r="H48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H54" i="4"/>
  <c r="F54" i="4"/>
  <c r="E54" i="4"/>
  <c r="C54" i="4"/>
  <c r="M44" i="4"/>
  <c r="L44" i="4"/>
  <c r="K44" i="4"/>
  <c r="H44" i="4"/>
  <c r="E44" i="4"/>
  <c r="C44" i="4"/>
  <c r="O31" i="4"/>
  <c r="N31" i="4"/>
  <c r="M31" i="4"/>
  <c r="L31" i="4"/>
  <c r="K31" i="4"/>
  <c r="J31" i="4"/>
  <c r="H31" i="4"/>
  <c r="E31" i="4"/>
  <c r="C31" i="4"/>
  <c r="L18" i="4"/>
  <c r="K18" i="4"/>
  <c r="H18" i="4"/>
  <c r="E18" i="4"/>
  <c r="C18" i="4"/>
  <c r="AC13" i="4"/>
  <c r="AB13" i="4"/>
  <c r="Z13" i="4"/>
  <c r="Y13" i="4"/>
  <c r="W13" i="4"/>
  <c r="V13" i="4"/>
  <c r="T13" i="4"/>
  <c r="S13" i="4"/>
  <c r="Q13" i="4"/>
  <c r="P13" i="4"/>
  <c r="O13" i="4"/>
  <c r="N13" i="4"/>
  <c r="M13" i="4"/>
  <c r="L13" i="4"/>
  <c r="L22" i="4" s="1"/>
  <c r="L45" i="4" s="1"/>
  <c r="L49" i="4" s="1"/>
  <c r="K13" i="4"/>
  <c r="H13" i="4"/>
  <c r="E13" i="4"/>
  <c r="C13" i="4"/>
  <c r="L9" i="4"/>
  <c r="K9" i="4"/>
  <c r="H9" i="4"/>
  <c r="E9" i="4"/>
  <c r="C9" i="4"/>
  <c r="J51" i="3"/>
  <c r="J49" i="3"/>
  <c r="J91" i="3" s="1"/>
  <c r="J90" i="3" s="1"/>
  <c r="J48" i="3"/>
  <c r="J47" i="3"/>
  <c r="J46" i="3"/>
  <c r="J42" i="3"/>
  <c r="J41" i="3"/>
  <c r="J40" i="3"/>
  <c r="J39" i="3"/>
  <c r="J38" i="3"/>
  <c r="J37" i="3"/>
  <c r="J81" i="3" s="1"/>
  <c r="J33" i="3"/>
  <c r="J32" i="3"/>
  <c r="J31" i="3"/>
  <c r="J30" i="3"/>
  <c r="J72" i="3" s="1"/>
  <c r="J76" i="3" s="1"/>
  <c r="J29" i="3"/>
  <c r="J28" i="3"/>
  <c r="J27" i="3"/>
  <c r="J21" i="3"/>
  <c r="J20" i="3"/>
  <c r="J19" i="3"/>
  <c r="J18" i="3"/>
  <c r="J17" i="3"/>
  <c r="J71" i="3" s="1"/>
  <c r="J16" i="3"/>
  <c r="J70" i="3" s="1"/>
  <c r="J74" i="3" s="1"/>
  <c r="J12" i="3"/>
  <c r="J11" i="3"/>
  <c r="J10" i="3"/>
  <c r="J9" i="3"/>
  <c r="J8" i="3"/>
  <c r="J7" i="3"/>
  <c r="J6" i="3"/>
  <c r="J5" i="3"/>
  <c r="J65" i="3" s="1"/>
  <c r="J4" i="3"/>
  <c r="L5" i="1"/>
  <c r="L7" i="1" s="1"/>
  <c r="L14" i="1" s="1"/>
  <c r="L20" i="1" s="1"/>
  <c r="L23" i="1" s="1"/>
  <c r="K5" i="1"/>
  <c r="K12" i="1" s="1"/>
  <c r="H5" i="1"/>
  <c r="H12" i="1" s="1"/>
  <c r="E5" i="1"/>
  <c r="E7" i="1" s="1"/>
  <c r="I54" i="4"/>
  <c r="I44" i="4"/>
  <c r="I31" i="4"/>
  <c r="I18" i="4"/>
  <c r="I13" i="4"/>
  <c r="I9" i="4"/>
  <c r="I22" i="4" s="1"/>
  <c r="I45" i="4" s="1"/>
  <c r="I49" i="4" s="1"/>
  <c r="L50" i="3"/>
  <c r="L52" i="3" s="1"/>
  <c r="K50" i="3"/>
  <c r="K52" i="3" s="1"/>
  <c r="C50" i="3"/>
  <c r="C52" i="3" s="1"/>
  <c r="I50" i="3"/>
  <c r="I52" i="3" s="1"/>
  <c r="L43" i="3"/>
  <c r="K43" i="3"/>
  <c r="I43" i="3"/>
  <c r="L34" i="3"/>
  <c r="K34" i="3"/>
  <c r="C34" i="3"/>
  <c r="I34" i="3"/>
  <c r="L22" i="3"/>
  <c r="K22" i="3"/>
  <c r="C22" i="3"/>
  <c r="I22" i="3"/>
  <c r="L13" i="3"/>
  <c r="K13" i="3"/>
  <c r="C13" i="3"/>
  <c r="I13" i="3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C2" i="3"/>
  <c r="C2" i="4" s="1"/>
  <c r="D2" i="3"/>
  <c r="D2" i="4" s="1"/>
  <c r="E2" i="3"/>
  <c r="E2" i="4" s="1"/>
  <c r="F2" i="3"/>
  <c r="F2" i="4" s="1"/>
  <c r="G2" i="3"/>
  <c r="G2" i="4" s="1"/>
  <c r="H2" i="3"/>
  <c r="H2" i="4" s="1"/>
  <c r="I2" i="3"/>
  <c r="I2" i="4" s="1"/>
  <c r="J2" i="3"/>
  <c r="J2" i="4" s="1"/>
  <c r="K2" i="3"/>
  <c r="K2" i="4" s="1"/>
  <c r="L2" i="3"/>
  <c r="L2" i="4" s="1"/>
  <c r="M2" i="3"/>
  <c r="M2" i="4" s="1"/>
  <c r="N2" i="3"/>
  <c r="N2" i="4" s="1"/>
  <c r="O2" i="3"/>
  <c r="O2" i="4" s="1"/>
  <c r="P2" i="3"/>
  <c r="P2" i="4" s="1"/>
  <c r="Q2" i="3"/>
  <c r="Q2" i="4" s="1"/>
  <c r="R2" i="3"/>
  <c r="R2" i="4" s="1"/>
  <c r="S2" i="3"/>
  <c r="S2" i="4" s="1"/>
  <c r="T2" i="3"/>
  <c r="T2" i="4" s="1"/>
  <c r="U2" i="3"/>
  <c r="U2" i="4" s="1"/>
  <c r="V2" i="3"/>
  <c r="V2" i="4" s="1"/>
  <c r="W2" i="3"/>
  <c r="W2" i="4" s="1"/>
  <c r="X2" i="3"/>
  <c r="X2" i="4" s="1"/>
  <c r="Y2" i="3"/>
  <c r="Y2" i="4" s="1"/>
  <c r="Z2" i="3"/>
  <c r="Z2" i="4" s="1"/>
  <c r="AA2" i="3"/>
  <c r="AA2" i="4" s="1"/>
  <c r="AB2" i="3"/>
  <c r="AB2" i="4" s="1"/>
  <c r="AC2" i="3"/>
  <c r="AC2" i="4" s="1"/>
  <c r="L31" i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K31" i="1"/>
  <c r="H31" i="1"/>
  <c r="E31" i="1"/>
  <c r="I31" i="1"/>
  <c r="I5" i="1"/>
  <c r="I7" i="1" s="1"/>
  <c r="I14" i="1" s="1"/>
  <c r="I20" i="1" s="1"/>
  <c r="H80" i="3" l="1"/>
  <c r="L60" i="3"/>
  <c r="N59" i="3"/>
  <c r="N30" i="3"/>
  <c r="M72" i="3"/>
  <c r="L80" i="3"/>
  <c r="N80" i="3" s="1"/>
  <c r="N81" i="3" s="1"/>
  <c r="L63" i="3"/>
  <c r="N62" i="3"/>
  <c r="N63" i="3" s="1"/>
  <c r="L58" i="3"/>
  <c r="N58" i="3" s="1"/>
  <c r="K80" i="3"/>
  <c r="J80" i="3"/>
  <c r="F80" i="3"/>
  <c r="R34" i="3"/>
  <c r="O44" i="4"/>
  <c r="L75" i="3"/>
  <c r="N75" i="3" s="1"/>
  <c r="N71" i="3" s="1"/>
  <c r="O6" i="1"/>
  <c r="X6" i="1"/>
  <c r="U9" i="1"/>
  <c r="E75" i="3"/>
  <c r="AA6" i="1"/>
  <c r="R6" i="1"/>
  <c r="V9" i="1"/>
  <c r="O34" i="3"/>
  <c r="H75" i="3"/>
  <c r="N13" i="1"/>
  <c r="D76" i="3"/>
  <c r="H83" i="3"/>
  <c r="I83" i="3"/>
  <c r="J83" i="3"/>
  <c r="C83" i="3"/>
  <c r="C75" i="3"/>
  <c r="F76" i="3"/>
  <c r="K83" i="3"/>
  <c r="D83" i="3"/>
  <c r="L83" i="3"/>
  <c r="E83" i="3"/>
  <c r="C76" i="3"/>
  <c r="F83" i="3"/>
  <c r="G76" i="3"/>
  <c r="C74" i="3"/>
  <c r="G75" i="3"/>
  <c r="I76" i="3"/>
  <c r="F74" i="3"/>
  <c r="I75" i="3"/>
  <c r="G74" i="3"/>
  <c r="F75" i="3"/>
  <c r="I74" i="3"/>
  <c r="K58" i="3"/>
  <c r="H24" i="3"/>
  <c r="H54" i="3" s="1"/>
  <c r="F24" i="3"/>
  <c r="F54" i="3" s="1"/>
  <c r="K24" i="3"/>
  <c r="K54" i="3" s="1"/>
  <c r="G43" i="3"/>
  <c r="E24" i="3"/>
  <c r="E54" i="3" s="1"/>
  <c r="G34" i="3"/>
  <c r="I24" i="3"/>
  <c r="I54" i="3" s="1"/>
  <c r="Q43" i="3"/>
  <c r="L24" i="3"/>
  <c r="L54" i="3" s="1"/>
  <c r="G50" i="3"/>
  <c r="G52" i="3" s="1"/>
  <c r="J13" i="3"/>
  <c r="J22" i="3"/>
  <c r="O43" i="3"/>
  <c r="G13" i="3"/>
  <c r="G22" i="3"/>
  <c r="F10" i="1"/>
  <c r="L12" i="1"/>
  <c r="E12" i="1"/>
  <c r="N9" i="1"/>
  <c r="M9" i="1" s="1"/>
  <c r="M10" i="1" s="1"/>
  <c r="AA9" i="1"/>
  <c r="AB9" i="1" s="1"/>
  <c r="H10" i="1"/>
  <c r="F12" i="1"/>
  <c r="O9" i="1"/>
  <c r="P9" i="1" s="1"/>
  <c r="S5" i="1"/>
  <c r="I10" i="1"/>
  <c r="R9" i="1"/>
  <c r="Y5" i="1"/>
  <c r="Y6" i="1" s="1"/>
  <c r="Z6" i="1" s="1"/>
  <c r="T9" i="1"/>
  <c r="T14" i="1" s="1"/>
  <c r="U14" i="1"/>
  <c r="U20" i="1" s="1"/>
  <c r="U21" i="1" s="1"/>
  <c r="U5" i="4" s="1"/>
  <c r="U21" i="4" s="1"/>
  <c r="C10" i="1"/>
  <c r="K10" i="1"/>
  <c r="I12" i="1"/>
  <c r="R11" i="1"/>
  <c r="S11" i="1" s="1"/>
  <c r="X9" i="1"/>
  <c r="X14" i="1" s="1"/>
  <c r="L10" i="1"/>
  <c r="Z9" i="1"/>
  <c r="Z14" i="1" s="1"/>
  <c r="Z20" i="1" s="1"/>
  <c r="Y11" i="1"/>
  <c r="E10" i="1"/>
  <c r="C12" i="1"/>
  <c r="AB5" i="1"/>
  <c r="P5" i="1"/>
  <c r="I8" i="1"/>
  <c r="J5" i="1"/>
  <c r="J7" i="1" s="1"/>
  <c r="J14" i="1" s="1"/>
  <c r="J20" i="1" s="1"/>
  <c r="J23" i="1" s="1"/>
  <c r="J26" i="1" s="1"/>
  <c r="V5" i="1"/>
  <c r="M5" i="1"/>
  <c r="AC7" i="1"/>
  <c r="Y7" i="1"/>
  <c r="E14" i="1"/>
  <c r="E20" i="1" s="1"/>
  <c r="E8" i="1"/>
  <c r="M7" i="1"/>
  <c r="M12" i="1" s="1"/>
  <c r="S7" i="1"/>
  <c r="S8" i="1" s="1"/>
  <c r="W7" i="1"/>
  <c r="D5" i="1"/>
  <c r="D75" i="3" s="1"/>
  <c r="Q7" i="1"/>
  <c r="G5" i="1"/>
  <c r="G7" i="1" s="1"/>
  <c r="G8" i="1" s="1"/>
  <c r="O14" i="1"/>
  <c r="AC22" i="7"/>
  <c r="AC23" i="7" s="1"/>
  <c r="U22" i="7"/>
  <c r="U23" i="7" s="1"/>
  <c r="R22" i="7"/>
  <c r="R23" i="7" s="1"/>
  <c r="Q22" i="7"/>
  <c r="Q23" i="7" s="1"/>
  <c r="O22" i="7"/>
  <c r="O23" i="7" s="1"/>
  <c r="R13" i="12"/>
  <c r="O23" i="12"/>
  <c r="R16" i="12"/>
  <c r="R4" i="12"/>
  <c r="Q13" i="12"/>
  <c r="N23" i="12"/>
  <c r="Q16" i="12"/>
  <c r="Q4" i="12"/>
  <c r="Q22" i="12" s="1"/>
  <c r="Q13" i="11"/>
  <c r="N23" i="11"/>
  <c r="Q16" i="11"/>
  <c r="Q4" i="11"/>
  <c r="Q22" i="11" s="1"/>
  <c r="R13" i="11"/>
  <c r="R16" i="11"/>
  <c r="R4" i="11"/>
  <c r="O23" i="11"/>
  <c r="O23" i="10"/>
  <c r="R4" i="10"/>
  <c r="R16" i="10"/>
  <c r="R13" i="10"/>
  <c r="Q13" i="10"/>
  <c r="N23" i="10"/>
  <c r="Q16" i="10"/>
  <c r="Q4" i="10"/>
  <c r="N16" i="7"/>
  <c r="N17" i="7" s="1"/>
  <c r="O23" i="9"/>
  <c r="R13" i="9"/>
  <c r="R16" i="9"/>
  <c r="R4" i="9"/>
  <c r="Q13" i="9"/>
  <c r="N23" i="9"/>
  <c r="Q16" i="9"/>
  <c r="Q4" i="9"/>
  <c r="Q22" i="9" s="1"/>
  <c r="N4" i="7"/>
  <c r="N5" i="7" s="1"/>
  <c r="N22" i="8"/>
  <c r="O23" i="8"/>
  <c r="R16" i="8"/>
  <c r="R13" i="8"/>
  <c r="R4" i="8"/>
  <c r="R22" i="8" s="1"/>
  <c r="L5" i="9"/>
  <c r="L14" i="9"/>
  <c r="L17" i="9"/>
  <c r="K22" i="7"/>
  <c r="D22" i="4"/>
  <c r="D45" i="4" s="1"/>
  <c r="D49" i="4" s="1"/>
  <c r="G22" i="4"/>
  <c r="G45" i="4" s="1"/>
  <c r="G49" i="4" s="1"/>
  <c r="J54" i="4"/>
  <c r="J9" i="4"/>
  <c r="J22" i="4" s="1"/>
  <c r="J45" i="4" s="1"/>
  <c r="J49" i="4" s="1"/>
  <c r="D22" i="3"/>
  <c r="F14" i="1"/>
  <c r="F8" i="1"/>
  <c r="D13" i="3"/>
  <c r="C22" i="4"/>
  <c r="C45" i="4" s="1"/>
  <c r="C15" i="1"/>
  <c r="C20" i="1"/>
  <c r="C8" i="1"/>
  <c r="J34" i="3"/>
  <c r="C24" i="3"/>
  <c r="C54" i="3" s="1"/>
  <c r="D34" i="3"/>
  <c r="D50" i="3"/>
  <c r="D52" i="3" s="1"/>
  <c r="D43" i="3"/>
  <c r="J50" i="3"/>
  <c r="J52" i="3" s="1"/>
  <c r="J43" i="3"/>
  <c r="H22" i="4"/>
  <c r="H45" i="4" s="1"/>
  <c r="H49" i="4" s="1"/>
  <c r="K22" i="4"/>
  <c r="K45" i="4" s="1"/>
  <c r="K49" i="4" s="1"/>
  <c r="E22" i="4"/>
  <c r="E45" i="4" s="1"/>
  <c r="E49" i="4" s="1"/>
  <c r="K7" i="1"/>
  <c r="K14" i="1" s="1"/>
  <c r="K20" i="1" s="1"/>
  <c r="H7" i="1"/>
  <c r="I23" i="1"/>
  <c r="I26" i="1" s="1"/>
  <c r="I34" i="1" s="1"/>
  <c r="L26" i="1"/>
  <c r="L34" i="1" s="1"/>
  <c r="L22" i="1"/>
  <c r="I22" i="1"/>
  <c r="L8" i="1"/>
  <c r="L15" i="1"/>
  <c r="I15" i="1"/>
  <c r="N37" i="3" l="1"/>
  <c r="N43" i="3" s="1"/>
  <c r="N83" i="3"/>
  <c r="M76" i="3"/>
  <c r="M30" i="3"/>
  <c r="N17" i="3"/>
  <c r="M71" i="3"/>
  <c r="N65" i="3"/>
  <c r="M13" i="1"/>
  <c r="Q18" i="4"/>
  <c r="U34" i="3"/>
  <c r="AC18" i="4"/>
  <c r="Z18" i="4"/>
  <c r="W18" i="4"/>
  <c r="M13" i="3"/>
  <c r="D10" i="1"/>
  <c r="J75" i="3"/>
  <c r="S6" i="1"/>
  <c r="Q11" i="1"/>
  <c r="P11" i="1" s="1"/>
  <c r="M6" i="1"/>
  <c r="N6" i="1" s="1"/>
  <c r="T6" i="1"/>
  <c r="V10" i="1"/>
  <c r="M43" i="3"/>
  <c r="S43" i="3"/>
  <c r="P43" i="3"/>
  <c r="U15" i="1"/>
  <c r="R14" i="1"/>
  <c r="G24" i="3"/>
  <c r="G54" i="3" s="1"/>
  <c r="J24" i="3"/>
  <c r="J54" i="3" s="1"/>
  <c r="T43" i="3"/>
  <c r="V43" i="3"/>
  <c r="S12" i="1"/>
  <c r="J10" i="1"/>
  <c r="AA14" i="1"/>
  <c r="AA20" i="1" s="1"/>
  <c r="AA21" i="1" s="1"/>
  <c r="AA5" i="4" s="1"/>
  <c r="AA21" i="4" s="1"/>
  <c r="Y8" i="1"/>
  <c r="E15" i="1"/>
  <c r="P10" i="1"/>
  <c r="R20" i="1"/>
  <c r="R21" i="1" s="1"/>
  <c r="R5" i="4" s="1"/>
  <c r="R21" i="4" s="1"/>
  <c r="R15" i="1"/>
  <c r="G14" i="1"/>
  <c r="G15" i="1" s="1"/>
  <c r="D7" i="1"/>
  <c r="D8" i="1" s="1"/>
  <c r="D12" i="1"/>
  <c r="AC11" i="1"/>
  <c r="AB11" i="1" s="1"/>
  <c r="U23" i="1"/>
  <c r="U4" i="4" s="1"/>
  <c r="V7" i="1"/>
  <c r="V8" i="1" s="1"/>
  <c r="W11" i="1"/>
  <c r="V11" i="1" s="1"/>
  <c r="G10" i="1"/>
  <c r="Y12" i="1"/>
  <c r="N14" i="1"/>
  <c r="S9" i="1"/>
  <c r="S10" i="1" s="1"/>
  <c r="G12" i="1"/>
  <c r="Z21" i="1"/>
  <c r="Z5" i="4" s="1"/>
  <c r="M14" i="1"/>
  <c r="M20" i="1" s="1"/>
  <c r="Y9" i="1"/>
  <c r="Y10" i="1" s="1"/>
  <c r="AB10" i="1"/>
  <c r="J12" i="1"/>
  <c r="D14" i="1"/>
  <c r="AB7" i="1"/>
  <c r="AB8" i="1" s="1"/>
  <c r="Z15" i="1"/>
  <c r="M15" i="1"/>
  <c r="M8" i="1"/>
  <c r="J8" i="1"/>
  <c r="Q14" i="1"/>
  <c r="P7" i="1"/>
  <c r="P6" i="1" s="1"/>
  <c r="Q6" i="1" s="1"/>
  <c r="O20" i="1"/>
  <c r="O21" i="1" s="1"/>
  <c r="O5" i="4" s="1"/>
  <c r="O21" i="4" s="1"/>
  <c r="O15" i="1"/>
  <c r="X20" i="1"/>
  <c r="X21" i="1" s="1"/>
  <c r="X5" i="4" s="1"/>
  <c r="X21" i="4" s="1"/>
  <c r="X15" i="1"/>
  <c r="T15" i="1"/>
  <c r="T20" i="1"/>
  <c r="T21" i="1" s="1"/>
  <c r="T5" i="4" s="1"/>
  <c r="N15" i="1"/>
  <c r="R22" i="12"/>
  <c r="Q23" i="12"/>
  <c r="T16" i="12"/>
  <c r="T13" i="12"/>
  <c r="T4" i="12"/>
  <c r="T22" i="12" s="1"/>
  <c r="Q23" i="11"/>
  <c r="T16" i="11"/>
  <c r="T13" i="11"/>
  <c r="T4" i="11"/>
  <c r="N22" i="7"/>
  <c r="N23" i="7" s="1"/>
  <c r="R22" i="11"/>
  <c r="R22" i="10"/>
  <c r="Q22" i="10"/>
  <c r="Q23" i="9"/>
  <c r="T16" i="9"/>
  <c r="T4" i="9"/>
  <c r="T22" i="9" s="1"/>
  <c r="T13" i="9"/>
  <c r="R22" i="9"/>
  <c r="Q13" i="8"/>
  <c r="Q16" i="8"/>
  <c r="N23" i="8"/>
  <c r="Q4" i="8"/>
  <c r="Q22" i="8" s="1"/>
  <c r="Q23" i="8" s="1"/>
  <c r="R23" i="8"/>
  <c r="U16" i="8"/>
  <c r="U13" i="8"/>
  <c r="U4" i="8"/>
  <c r="U22" i="8" s="1"/>
  <c r="D15" i="1"/>
  <c r="D20" i="1"/>
  <c r="D24" i="3"/>
  <c r="D54" i="3" s="1"/>
  <c r="F20" i="1"/>
  <c r="F15" i="1"/>
  <c r="C23" i="1"/>
  <c r="C26" i="1" s="1"/>
  <c r="C22" i="1"/>
  <c r="J15" i="1"/>
  <c r="J22" i="1"/>
  <c r="K15" i="1"/>
  <c r="K22" i="1"/>
  <c r="K23" i="1"/>
  <c r="K26" i="1" s="1"/>
  <c r="K8" i="1"/>
  <c r="H8" i="1"/>
  <c r="H14" i="1"/>
  <c r="I33" i="1"/>
  <c r="E22" i="1"/>
  <c r="E23" i="1"/>
  <c r="E26" i="1" s="1"/>
  <c r="L33" i="1"/>
  <c r="U9" i="4" l="1"/>
  <c r="U88" i="3"/>
  <c r="N5" i="3"/>
  <c r="N13" i="3" s="1"/>
  <c r="Q58" i="3"/>
  <c r="O58" i="3"/>
  <c r="O62" i="3" s="1"/>
  <c r="M75" i="3"/>
  <c r="M17" i="3"/>
  <c r="X34" i="3"/>
  <c r="U26" i="1"/>
  <c r="U34" i="1" s="1"/>
  <c r="P44" i="4"/>
  <c r="Q44" i="4"/>
  <c r="P31" i="4"/>
  <c r="Q31" i="4"/>
  <c r="AA23" i="1"/>
  <c r="AA4" i="4" s="1"/>
  <c r="G20" i="1"/>
  <c r="V6" i="1"/>
  <c r="W6" i="1" s="1"/>
  <c r="AB6" i="1"/>
  <c r="AC6" i="1" s="1"/>
  <c r="P12" i="1"/>
  <c r="AB12" i="1"/>
  <c r="AA15" i="1"/>
  <c r="V12" i="1"/>
  <c r="S21" i="1"/>
  <c r="S5" i="4" s="1"/>
  <c r="S21" i="4" s="1"/>
  <c r="T21" i="4" s="1"/>
  <c r="W43" i="3"/>
  <c r="Y43" i="3"/>
  <c r="W14" i="1"/>
  <c r="W15" i="1" s="1"/>
  <c r="V14" i="1"/>
  <c r="R23" i="1"/>
  <c r="R4" i="4" s="1"/>
  <c r="AB14" i="1"/>
  <c r="AC14" i="1"/>
  <c r="S14" i="1"/>
  <c r="Y21" i="1"/>
  <c r="Y5" i="4" s="1"/>
  <c r="Y21" i="4" s="1"/>
  <c r="Z21" i="4" s="1"/>
  <c r="Y14" i="1"/>
  <c r="Z23" i="1"/>
  <c r="Z4" i="4" s="1"/>
  <c r="Q15" i="1"/>
  <c r="Q20" i="1"/>
  <c r="Q21" i="1" s="1"/>
  <c r="Q5" i="4" s="1"/>
  <c r="P8" i="1"/>
  <c r="P14" i="1"/>
  <c r="T23" i="1"/>
  <c r="T4" i="4" s="1"/>
  <c r="O23" i="1"/>
  <c r="X23" i="1"/>
  <c r="X4" i="4" s="1"/>
  <c r="U16" i="12"/>
  <c r="U13" i="12"/>
  <c r="R23" i="12"/>
  <c r="U4" i="12"/>
  <c r="W16" i="12"/>
  <c r="W4" i="12"/>
  <c r="W13" i="12"/>
  <c r="T23" i="12"/>
  <c r="U13" i="11"/>
  <c r="U16" i="11"/>
  <c r="U4" i="11"/>
  <c r="R23" i="11"/>
  <c r="T22" i="11"/>
  <c r="T16" i="10"/>
  <c r="T13" i="10"/>
  <c r="Q23" i="10"/>
  <c r="T4" i="10"/>
  <c r="U16" i="10"/>
  <c r="U13" i="10"/>
  <c r="R23" i="10"/>
  <c r="U4" i="10"/>
  <c r="U22" i="10" s="1"/>
  <c r="U16" i="9"/>
  <c r="U13" i="9"/>
  <c r="R23" i="9"/>
  <c r="U4" i="9"/>
  <c r="W16" i="9"/>
  <c r="W13" i="9"/>
  <c r="T23" i="9"/>
  <c r="W4" i="9"/>
  <c r="W22" i="9" s="1"/>
  <c r="T4" i="8"/>
  <c r="T13" i="8"/>
  <c r="T16" i="8"/>
  <c r="U23" i="8"/>
  <c r="X16" i="8"/>
  <c r="X13" i="8"/>
  <c r="X4" i="8"/>
  <c r="X22" i="8" s="1"/>
  <c r="D22" i="1"/>
  <c r="D23" i="1"/>
  <c r="D26" i="1" s="1"/>
  <c r="G23" i="1"/>
  <c r="G26" i="1" s="1"/>
  <c r="G22" i="1"/>
  <c r="F22" i="1"/>
  <c r="F23" i="1"/>
  <c r="F26" i="1" s="1"/>
  <c r="C34" i="1"/>
  <c r="C33" i="1"/>
  <c r="K33" i="1"/>
  <c r="J33" i="1" s="1"/>
  <c r="J29" i="1" s="1"/>
  <c r="K34" i="1"/>
  <c r="J34" i="1" s="1"/>
  <c r="J31" i="1" s="1"/>
  <c r="J30" i="1" s="1"/>
  <c r="H20" i="1"/>
  <c r="H15" i="1"/>
  <c r="E34" i="1"/>
  <c r="E33" i="1"/>
  <c r="O88" i="3" l="1"/>
  <c r="O49" i="3"/>
  <c r="O4" i="4"/>
  <c r="U33" i="1"/>
  <c r="R9" i="4"/>
  <c r="R88" i="3"/>
  <c r="O65" i="3"/>
  <c r="O13" i="1"/>
  <c r="O18" i="4" s="1"/>
  <c r="X9" i="4"/>
  <c r="X88" i="3"/>
  <c r="AA9" i="4"/>
  <c r="AA88" i="3"/>
  <c r="T26" i="1"/>
  <c r="T33" i="1" s="1"/>
  <c r="T9" i="4"/>
  <c r="P21" i="1"/>
  <c r="P5" i="4" s="1"/>
  <c r="P21" i="4" s="1"/>
  <c r="Q21" i="4" s="1"/>
  <c r="Z26" i="1"/>
  <c r="Z33" i="1" s="1"/>
  <c r="Z9" i="4"/>
  <c r="Z22" i="4" s="1"/>
  <c r="AA34" i="3"/>
  <c r="O9" i="4"/>
  <c r="O22" i="4" s="1"/>
  <c r="O45" i="4" s="1"/>
  <c r="X26" i="1"/>
  <c r="X34" i="1" s="1"/>
  <c r="R26" i="1"/>
  <c r="R33" i="1" s="1"/>
  <c r="AA26" i="1"/>
  <c r="AA33" i="1" s="1"/>
  <c r="T44" i="4"/>
  <c r="S31" i="4"/>
  <c r="T31" i="4"/>
  <c r="V31" i="4"/>
  <c r="W31" i="4"/>
  <c r="Y31" i="4"/>
  <c r="Z31" i="4"/>
  <c r="S34" i="3"/>
  <c r="T34" i="3"/>
  <c r="M34" i="3"/>
  <c r="N34" i="3"/>
  <c r="P34" i="3"/>
  <c r="Q34" i="3"/>
  <c r="AC34" i="3"/>
  <c r="Z34" i="3"/>
  <c r="Y34" i="3"/>
  <c r="O26" i="1"/>
  <c r="O33" i="1" s="1"/>
  <c r="Z43" i="3"/>
  <c r="W20" i="1"/>
  <c r="V15" i="1"/>
  <c r="V20" i="1"/>
  <c r="AB15" i="1"/>
  <c r="AB20" i="1"/>
  <c r="Y15" i="1"/>
  <c r="Y20" i="1"/>
  <c r="Y23" i="1" s="1"/>
  <c r="S20" i="1"/>
  <c r="S15" i="1"/>
  <c r="AC20" i="1"/>
  <c r="AC15" i="1"/>
  <c r="Q23" i="1"/>
  <c r="P15" i="1"/>
  <c r="P20" i="1"/>
  <c r="D33" i="1"/>
  <c r="D34" i="1"/>
  <c r="D31" i="1" s="1"/>
  <c r="U22" i="12"/>
  <c r="W22" i="12"/>
  <c r="W16" i="11"/>
  <c r="W4" i="11"/>
  <c r="T23" i="11"/>
  <c r="W13" i="11"/>
  <c r="U22" i="11"/>
  <c r="X16" i="10"/>
  <c r="X4" i="10"/>
  <c r="X13" i="10"/>
  <c r="U23" i="10"/>
  <c r="T22" i="10"/>
  <c r="Z13" i="9"/>
  <c r="W23" i="9"/>
  <c r="Z16" i="9"/>
  <c r="Z4" i="9"/>
  <c r="U22" i="9"/>
  <c r="T22" i="8"/>
  <c r="X23" i="8"/>
  <c r="AA13" i="8"/>
  <c r="AA16" i="8"/>
  <c r="AA4" i="8"/>
  <c r="AA22" i="8" s="1"/>
  <c r="AA23" i="8" s="1"/>
  <c r="D29" i="1"/>
  <c r="F34" i="1"/>
  <c r="F33" i="1"/>
  <c r="H22" i="1"/>
  <c r="H23" i="1"/>
  <c r="H26" i="1" s="1"/>
  <c r="T34" i="1" l="1"/>
  <c r="Y88" i="3"/>
  <c r="Z88" i="3" s="1"/>
  <c r="Y4" i="4"/>
  <c r="Y9" i="4" s="1"/>
  <c r="Q4" i="4"/>
  <c r="Q9" i="4" s="1"/>
  <c r="Q22" i="4" s="1"/>
  <c r="Q45" i="4" s="1"/>
  <c r="Z34" i="1"/>
  <c r="P58" i="3"/>
  <c r="P62" i="3" s="1"/>
  <c r="O5" i="3"/>
  <c r="O13" i="3" s="1"/>
  <c r="X33" i="1"/>
  <c r="R34" i="1"/>
  <c r="Y26" i="1"/>
  <c r="Y33" i="1" s="1"/>
  <c r="AA34" i="1"/>
  <c r="S44" i="4"/>
  <c r="AB31" i="4"/>
  <c r="AC31" i="4"/>
  <c r="V34" i="3"/>
  <c r="W34" i="3"/>
  <c r="O34" i="1"/>
  <c r="AB34" i="3"/>
  <c r="AC43" i="3"/>
  <c r="AB43" i="3"/>
  <c r="Y22" i="1"/>
  <c r="Q26" i="1"/>
  <c r="Q34" i="1" s="1"/>
  <c r="W21" i="1"/>
  <c r="W5" i="4" s="1"/>
  <c r="D30" i="1"/>
  <c r="S23" i="1"/>
  <c r="S22" i="1"/>
  <c r="AC21" i="1"/>
  <c r="AC5" i="4" s="1"/>
  <c r="P23" i="1"/>
  <c r="P49" i="3" s="1"/>
  <c r="Q49" i="3" s="1"/>
  <c r="R49" i="3" s="1"/>
  <c r="S49" i="3" s="1"/>
  <c r="T49" i="3" s="1"/>
  <c r="U49" i="3" s="1"/>
  <c r="P22" i="1"/>
  <c r="X16" i="12"/>
  <c r="X13" i="12"/>
  <c r="U23" i="12"/>
  <c r="X4" i="12"/>
  <c r="Z16" i="12"/>
  <c r="Z4" i="12"/>
  <c r="Z22" i="12" s="1"/>
  <c r="Z13" i="12"/>
  <c r="W23" i="12"/>
  <c r="X16" i="11"/>
  <c r="X13" i="11"/>
  <c r="U23" i="11"/>
  <c r="X4" i="11"/>
  <c r="X22" i="11" s="1"/>
  <c r="W22" i="11"/>
  <c r="X22" i="10"/>
  <c r="W16" i="10"/>
  <c r="W13" i="10"/>
  <c r="T23" i="10"/>
  <c r="W4" i="10"/>
  <c r="W22" i="10" s="1"/>
  <c r="X16" i="9"/>
  <c r="X13" i="9"/>
  <c r="U23" i="9"/>
  <c r="X4" i="9"/>
  <c r="Z22" i="9"/>
  <c r="T23" i="8"/>
  <c r="W16" i="8"/>
  <c r="W4" i="8"/>
  <c r="W22" i="8" s="1"/>
  <c r="W13" i="8"/>
  <c r="H33" i="1"/>
  <c r="G33" i="1" s="1"/>
  <c r="G29" i="1" s="1"/>
  <c r="H34" i="1"/>
  <c r="G34" i="1" s="1"/>
  <c r="G31" i="1" s="1"/>
  <c r="L8" i="8"/>
  <c r="P88" i="3" l="1"/>
  <c r="P4" i="4"/>
  <c r="S88" i="3"/>
  <c r="T88" i="3" s="1"/>
  <c r="S4" i="4"/>
  <c r="Q88" i="3"/>
  <c r="P65" i="3"/>
  <c r="P5" i="3" s="1"/>
  <c r="P13" i="3" s="1"/>
  <c r="Q62" i="3"/>
  <c r="AB21" i="1"/>
  <c r="Y34" i="1"/>
  <c r="V21" i="1"/>
  <c r="S26" i="1"/>
  <c r="S33" i="1" s="1"/>
  <c r="S9" i="4"/>
  <c r="W44" i="4"/>
  <c r="P26" i="1"/>
  <c r="P33" i="1" s="1"/>
  <c r="P9" i="4"/>
  <c r="Q33" i="1"/>
  <c r="W23" i="1"/>
  <c r="W4" i="4" s="1"/>
  <c r="AC23" i="1"/>
  <c r="AC4" i="4" s="1"/>
  <c r="G30" i="1"/>
  <c r="AC13" i="12"/>
  <c r="Z23" i="12"/>
  <c r="AC4" i="12"/>
  <c r="AC16" i="12"/>
  <c r="X22" i="12"/>
  <c r="AA13" i="11"/>
  <c r="X23" i="11"/>
  <c r="AA16" i="11"/>
  <c r="AA4" i="11"/>
  <c r="AA22" i="11" s="1"/>
  <c r="AA23" i="11" s="1"/>
  <c r="Z16" i="11"/>
  <c r="Z13" i="11"/>
  <c r="W23" i="11"/>
  <c r="Z4" i="11"/>
  <c r="Z22" i="11" s="1"/>
  <c r="Z13" i="10"/>
  <c r="W23" i="10"/>
  <c r="Z16" i="10"/>
  <c r="Z4" i="10"/>
  <c r="AA13" i="10"/>
  <c r="X23" i="10"/>
  <c r="AA16" i="10"/>
  <c r="AA4" i="10"/>
  <c r="AA22" i="10" s="1"/>
  <c r="AA23" i="10" s="1"/>
  <c r="AC13" i="9"/>
  <c r="Z23" i="9"/>
  <c r="AC16" i="9"/>
  <c r="AC4" i="9"/>
  <c r="X22" i="9"/>
  <c r="Z4" i="8"/>
  <c r="Z22" i="8" s="1"/>
  <c r="Z16" i="8"/>
  <c r="Z13" i="8"/>
  <c r="W23" i="8"/>
  <c r="V23" i="1" l="1"/>
  <c r="V26" i="1" s="1"/>
  <c r="V33" i="1" s="1"/>
  <c r="V5" i="4"/>
  <c r="V21" i="4" s="1"/>
  <c r="W21" i="4" s="1"/>
  <c r="AB23" i="1"/>
  <c r="AB5" i="4"/>
  <c r="AB21" i="4" s="1"/>
  <c r="AC21" i="4" s="1"/>
  <c r="Q63" i="3"/>
  <c r="Q13" i="1"/>
  <c r="P13" i="1" s="1"/>
  <c r="P18" i="4" s="1"/>
  <c r="P22" i="4" s="1"/>
  <c r="P45" i="4" s="1"/>
  <c r="Q65" i="3"/>
  <c r="V22" i="1"/>
  <c r="AB22" i="1"/>
  <c r="AC26" i="1"/>
  <c r="AC34" i="1" s="1"/>
  <c r="AC9" i="4"/>
  <c r="W26" i="1"/>
  <c r="W33" i="1" s="1"/>
  <c r="W9" i="4"/>
  <c r="W22" i="4" s="1"/>
  <c r="W45" i="4" s="1"/>
  <c r="S34" i="1"/>
  <c r="AB26" i="1"/>
  <c r="AB34" i="1" s="1"/>
  <c r="V44" i="4"/>
  <c r="P34" i="1"/>
  <c r="AA4" i="12"/>
  <c r="AA22" i="12" s="1"/>
  <c r="AA23" i="12" s="1"/>
  <c r="AA13" i="12"/>
  <c r="X23" i="12"/>
  <c r="AA16" i="12"/>
  <c r="AC22" i="12"/>
  <c r="AC23" i="12" s="1"/>
  <c r="AC13" i="11"/>
  <c r="Z23" i="11"/>
  <c r="AC16" i="11"/>
  <c r="AC4" i="11"/>
  <c r="Z22" i="10"/>
  <c r="AA13" i="9"/>
  <c r="X23" i="9"/>
  <c r="AA16" i="9"/>
  <c r="AA4" i="9"/>
  <c r="AC22" i="9"/>
  <c r="AC23" i="9" s="1"/>
  <c r="AC16" i="8"/>
  <c r="Z23" i="8"/>
  <c r="AC4" i="8"/>
  <c r="AC22" i="8" s="1"/>
  <c r="AC23" i="8" s="1"/>
  <c r="AC13" i="8"/>
  <c r="AC22" i="4" l="1"/>
  <c r="AB88" i="3"/>
  <c r="AC88" i="3" s="1"/>
  <c r="AB4" i="4"/>
  <c r="AB9" i="4" s="1"/>
  <c r="V88" i="3"/>
  <c r="W88" i="3" s="1"/>
  <c r="V4" i="4"/>
  <c r="V9" i="4" s="1"/>
  <c r="V49" i="3"/>
  <c r="W49" i="3" s="1"/>
  <c r="X49" i="3" s="1"/>
  <c r="Y49" i="3" s="1"/>
  <c r="Z49" i="3" s="1"/>
  <c r="AA49" i="3" s="1"/>
  <c r="AB49" i="3" s="1"/>
  <c r="AC49" i="3" s="1"/>
  <c r="T58" i="3"/>
  <c r="R58" i="3"/>
  <c r="Q5" i="3"/>
  <c r="Q13" i="3" s="1"/>
  <c r="AC33" i="1"/>
  <c r="W34" i="1"/>
  <c r="AB33" i="1"/>
  <c r="V34" i="1"/>
  <c r="AC22" i="11"/>
  <c r="AC23" i="11" s="1"/>
  <c r="AC13" i="10"/>
  <c r="AC16" i="10"/>
  <c r="Z23" i="10"/>
  <c r="AC4" i="10"/>
  <c r="AC22" i="10" s="1"/>
  <c r="AC23" i="10" s="1"/>
  <c r="AA22" i="9"/>
  <c r="AA23" i="9" s="1"/>
  <c r="R62" i="3" l="1"/>
  <c r="Y44" i="4"/>
  <c r="Z44" i="4"/>
  <c r="Z45" i="4" s="1"/>
  <c r="N18" i="4"/>
  <c r="M18" i="4"/>
  <c r="N20" i="1"/>
  <c r="N21" i="1" s="1"/>
  <c r="R13" i="1" l="1"/>
  <c r="R18" i="4" s="1"/>
  <c r="R22" i="4" s="1"/>
  <c r="R45" i="4" s="1"/>
  <c r="R65" i="3"/>
  <c r="N23" i="1"/>
  <c r="N26" i="1" s="1"/>
  <c r="AB44" i="4"/>
  <c r="AC44" i="4"/>
  <c r="AC45" i="4" s="1"/>
  <c r="M21" i="1"/>
  <c r="S58" i="3" l="1"/>
  <c r="R5" i="3"/>
  <c r="R13" i="3" s="1"/>
  <c r="N9" i="4"/>
  <c r="N22" i="4" s="1"/>
  <c r="N45" i="4" s="1"/>
  <c r="N49" i="4" s="1"/>
  <c r="M22" i="1"/>
  <c r="M23" i="1"/>
  <c r="N34" i="1"/>
  <c r="N33" i="1"/>
  <c r="N21" i="3" l="1"/>
  <c r="N22" i="3" s="1"/>
  <c r="N24" i="3" s="1"/>
  <c r="O48" i="4"/>
  <c r="Q48" i="4" s="1"/>
  <c r="N88" i="3"/>
  <c r="M91" i="3"/>
  <c r="S62" i="3"/>
  <c r="T62" i="3" s="1"/>
  <c r="M9" i="4"/>
  <c r="M22" i="4" s="1"/>
  <c r="M45" i="4" s="1"/>
  <c r="M49" i="4" s="1"/>
  <c r="M21" i="3" s="1"/>
  <c r="M26" i="1"/>
  <c r="M22" i="3" l="1"/>
  <c r="M24" i="3" s="1"/>
  <c r="O49" i="4"/>
  <c r="O21" i="3" s="1"/>
  <c r="N91" i="3"/>
  <c r="T63" i="3"/>
  <c r="T13" i="1"/>
  <c r="T65" i="3"/>
  <c r="S65" i="3"/>
  <c r="S5" i="3" s="1"/>
  <c r="S13" i="3" s="1"/>
  <c r="M34" i="1"/>
  <c r="M33" i="1"/>
  <c r="P48" i="4" l="1"/>
  <c r="P49" i="4" s="1"/>
  <c r="P21" i="3" s="1"/>
  <c r="M50" i="3"/>
  <c r="M52" i="3" s="1"/>
  <c r="M54" i="3" s="1"/>
  <c r="Q49" i="4"/>
  <c r="O87" i="3"/>
  <c r="N50" i="3"/>
  <c r="N52" i="3" s="1"/>
  <c r="N54" i="3" s="1"/>
  <c r="T18" i="4"/>
  <c r="T22" i="4" s="1"/>
  <c r="T45" i="4" s="1"/>
  <c r="S13" i="1"/>
  <c r="S18" i="4" s="1"/>
  <c r="S22" i="4" s="1"/>
  <c r="S45" i="4" s="1"/>
  <c r="T5" i="3"/>
  <c r="T13" i="3" s="1"/>
  <c r="W58" i="3"/>
  <c r="U58" i="3"/>
  <c r="O22" i="3"/>
  <c r="O24" i="3" s="1"/>
  <c r="Q21" i="3" l="1"/>
  <c r="Q22" i="3" s="1"/>
  <c r="Q24" i="3" s="1"/>
  <c r="R48" i="4"/>
  <c r="T48" i="4" s="1"/>
  <c r="T49" i="4" s="1"/>
  <c r="Q87" i="3"/>
  <c r="Q91" i="3" s="1"/>
  <c r="O91" i="3"/>
  <c r="U62" i="3"/>
  <c r="P22" i="3"/>
  <c r="P24" i="3" s="1"/>
  <c r="T21" i="3" l="1"/>
  <c r="U48" i="4"/>
  <c r="W48" i="4" s="1"/>
  <c r="R49" i="4"/>
  <c r="P87" i="3"/>
  <c r="P91" i="3" s="1"/>
  <c r="P50" i="3" s="1"/>
  <c r="P52" i="3" s="1"/>
  <c r="P54" i="3" s="1"/>
  <c r="O50" i="3"/>
  <c r="O52" i="3" s="1"/>
  <c r="O54" i="3" s="1"/>
  <c r="Q50" i="3"/>
  <c r="Q52" i="3" s="1"/>
  <c r="Q54" i="3" s="1"/>
  <c r="T87" i="3"/>
  <c r="T91" i="3" s="1"/>
  <c r="R87" i="3"/>
  <c r="R91" i="3" s="1"/>
  <c r="U13" i="1"/>
  <c r="U18" i="4" s="1"/>
  <c r="U22" i="4" s="1"/>
  <c r="U45" i="4" s="1"/>
  <c r="U65" i="3"/>
  <c r="U49" i="4" l="1"/>
  <c r="V48" i="4" s="1"/>
  <c r="S48" i="4"/>
  <c r="S49" i="4" s="1"/>
  <c r="S21" i="3" s="1"/>
  <c r="S22" i="3" s="1"/>
  <c r="S24" i="3" s="1"/>
  <c r="R21" i="3"/>
  <c r="R22" i="3" s="1"/>
  <c r="R24" i="3" s="1"/>
  <c r="T50" i="3"/>
  <c r="T52" i="3" s="1"/>
  <c r="W87" i="3"/>
  <c r="W91" i="3" s="1"/>
  <c r="U87" i="3"/>
  <c r="U91" i="3" s="1"/>
  <c r="S87" i="3"/>
  <c r="S91" i="3" s="1"/>
  <c r="S50" i="3" s="1"/>
  <c r="S52" i="3" s="1"/>
  <c r="R50" i="3"/>
  <c r="R52" i="3" s="1"/>
  <c r="V58" i="3"/>
  <c r="U5" i="3"/>
  <c r="U13" i="3" s="1"/>
  <c r="T22" i="3"/>
  <c r="T24" i="3" s="1"/>
  <c r="W49" i="4"/>
  <c r="U21" i="3" l="1"/>
  <c r="U22" i="3" s="1"/>
  <c r="U24" i="3" s="1"/>
  <c r="S54" i="3"/>
  <c r="R54" i="3"/>
  <c r="X48" i="4"/>
  <c r="Z48" i="4" s="1"/>
  <c r="W21" i="3"/>
  <c r="T54" i="3"/>
  <c r="V87" i="3"/>
  <c r="V91" i="3" s="1"/>
  <c r="V50" i="3" s="1"/>
  <c r="V52" i="3" s="1"/>
  <c r="U50" i="3"/>
  <c r="U52" i="3" s="1"/>
  <c r="W50" i="3"/>
  <c r="W52" i="3" s="1"/>
  <c r="Z87" i="3"/>
  <c r="Z91" i="3" s="1"/>
  <c r="X87" i="3"/>
  <c r="X91" i="3" s="1"/>
  <c r="V62" i="3"/>
  <c r="W62" i="3" s="1"/>
  <c r="Z50" i="3" l="1"/>
  <c r="Z52" i="3" s="1"/>
  <c r="AC87" i="3"/>
  <c r="AC91" i="3" s="1"/>
  <c r="AC50" i="3" s="1"/>
  <c r="AC52" i="3" s="1"/>
  <c r="AA87" i="3"/>
  <c r="AA91" i="3" s="1"/>
  <c r="Y87" i="3"/>
  <c r="Y91" i="3" s="1"/>
  <c r="Y50" i="3" s="1"/>
  <c r="Y52" i="3" s="1"/>
  <c r="X50" i="3"/>
  <c r="X52" i="3" s="1"/>
  <c r="W63" i="3"/>
  <c r="W13" i="1"/>
  <c r="V13" i="1" s="1"/>
  <c r="V18" i="4" s="1"/>
  <c r="V22" i="4" s="1"/>
  <c r="V45" i="4" s="1"/>
  <c r="V49" i="4" s="1"/>
  <c r="V21" i="3" s="1"/>
  <c r="V22" i="3" s="1"/>
  <c r="V24" i="3" s="1"/>
  <c r="V54" i="3" s="1"/>
  <c r="W65" i="3"/>
  <c r="V65" i="3"/>
  <c r="V5" i="3" s="1"/>
  <c r="V13" i="3" s="1"/>
  <c r="Z49" i="4"/>
  <c r="U54" i="3"/>
  <c r="W22" i="3"/>
  <c r="AA48" i="4" l="1"/>
  <c r="AC48" i="4" s="1"/>
  <c r="Z21" i="3"/>
  <c r="AB87" i="3"/>
  <c r="AB91" i="3" s="1"/>
  <c r="AB50" i="3" s="1"/>
  <c r="AB52" i="3" s="1"/>
  <c r="AA50" i="3"/>
  <c r="AA52" i="3" s="1"/>
  <c r="W5" i="3"/>
  <c r="W13" i="3" s="1"/>
  <c r="W24" i="3" s="1"/>
  <c r="W54" i="3" s="1"/>
  <c r="X58" i="3"/>
  <c r="Z58" i="3"/>
  <c r="X62" i="3" l="1"/>
  <c r="AC49" i="4"/>
  <c r="AC21" i="3" s="1"/>
  <c r="Z22" i="3"/>
  <c r="X13" i="1" l="1"/>
  <c r="X18" i="4" s="1"/>
  <c r="X22" i="4" s="1"/>
  <c r="X45" i="4" s="1"/>
  <c r="X49" i="4" s="1"/>
  <c r="X65" i="3"/>
  <c r="AC22" i="3"/>
  <c r="Y48" i="4" l="1"/>
  <c r="X21" i="3"/>
  <c r="X22" i="3" s="1"/>
  <c r="Y58" i="3"/>
  <c r="Y62" i="3" s="1"/>
  <c r="X5" i="3"/>
  <c r="X13" i="3" s="1"/>
  <c r="X24" i="3" l="1"/>
  <c r="X54" i="3" s="1"/>
  <c r="Y65" i="3"/>
  <c r="Y5" i="3" s="1"/>
  <c r="Y13" i="3" s="1"/>
  <c r="Z62" i="3"/>
  <c r="Z63" i="3" l="1"/>
  <c r="Z13" i="1"/>
  <c r="Y13" i="1" s="1"/>
  <c r="Y18" i="4" s="1"/>
  <c r="Y22" i="4" s="1"/>
  <c r="Y45" i="4" s="1"/>
  <c r="Y49" i="4" s="1"/>
  <c r="Y21" i="3" s="1"/>
  <c r="Y22" i="3" s="1"/>
  <c r="Y24" i="3" s="1"/>
  <c r="Y54" i="3" s="1"/>
  <c r="Z65" i="3"/>
  <c r="AC58" i="3" l="1"/>
  <c r="AA58" i="3"/>
  <c r="Z5" i="3"/>
  <c r="Z13" i="3" s="1"/>
  <c r="Z24" i="3" s="1"/>
  <c r="Z54" i="3" s="1"/>
  <c r="AA62" i="3" l="1"/>
  <c r="AA65" i="3"/>
  <c r="AB58" i="3" l="1"/>
  <c r="AA5" i="3"/>
  <c r="AA13" i="3" s="1"/>
  <c r="AA13" i="1"/>
  <c r="AA18" i="4" s="1"/>
  <c r="AA22" i="4" s="1"/>
  <c r="AA45" i="4" s="1"/>
  <c r="AA49" i="4" s="1"/>
  <c r="AB48" i="4" l="1"/>
  <c r="AA21" i="3"/>
  <c r="AA22" i="3" s="1"/>
  <c r="AA24" i="3" s="1"/>
  <c r="AA54" i="3" s="1"/>
  <c r="AB62" i="3"/>
  <c r="AC62" i="3" s="1"/>
  <c r="AC63" i="3" l="1"/>
  <c r="AC13" i="1"/>
  <c r="AB13" i="1" s="1"/>
  <c r="AB18" i="4" s="1"/>
  <c r="AB22" i="4" s="1"/>
  <c r="AB45" i="4" s="1"/>
  <c r="AB49" i="4" s="1"/>
  <c r="AB21" i="3" s="1"/>
  <c r="AB22" i="3" s="1"/>
  <c r="AC65" i="3"/>
  <c r="AC5" i="3" s="1"/>
  <c r="AC13" i="3" s="1"/>
  <c r="AC24" i="3" s="1"/>
  <c r="AC54" i="3" s="1"/>
  <c r="AB65" i="3"/>
  <c r="AB5" i="3" s="1"/>
  <c r="AB13" i="3" s="1"/>
  <c r="AB24" i="3" l="1"/>
  <c r="AB5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8" authorId="0" shapeId="0" xr:uid="{BB2C0CCD-4F71-41A6-A7D1-A80161FF1C10}">
      <text>
        <r>
          <rPr>
            <sz val="11"/>
            <color rgb="FF000000"/>
            <rFont val="Calibri"/>
            <family val="2"/>
          </rPr>
          <t>Treasury yield sourced from Bloomberg</t>
        </r>
      </text>
    </comment>
    <comment ref="C29" authorId="0" shapeId="0" xr:uid="{26E74F41-97E8-43C9-8F41-2E48F29FD9F2}">
      <text>
        <r>
          <rPr>
            <sz val="11"/>
            <color rgb="FF000000"/>
            <rFont val="Calibri"/>
            <family val="2"/>
          </rPr>
          <t xml:space="preserve">Yahoo Finance
</t>
        </r>
      </text>
    </comment>
    <comment ref="C33" authorId="0" shapeId="0" xr:uid="{FB9B049E-2B8F-459B-A2C9-7841CB3FF5F1}">
      <text>
        <r>
          <rPr>
            <sz val="11"/>
            <color rgb="FF000000"/>
            <rFont val="Calibri"/>
            <family val="2"/>
          </rPr>
          <t>Assumed in line with revenue growth</t>
        </r>
      </text>
    </comment>
  </commentList>
</comments>
</file>

<file path=xl/sharedStrings.xml><?xml version="1.0" encoding="utf-8"?>
<sst xmlns="http://schemas.openxmlformats.org/spreadsheetml/2006/main" count="306" uniqueCount="209">
  <si>
    <t>H1'21</t>
  </si>
  <si>
    <t>H2'21</t>
  </si>
  <si>
    <t>FY'21</t>
  </si>
  <si>
    <t>H1'22</t>
  </si>
  <si>
    <t>H2'22</t>
  </si>
  <si>
    <t>FY'22</t>
  </si>
  <si>
    <t>H1'23</t>
  </si>
  <si>
    <t>H2'23</t>
  </si>
  <si>
    <t>FY'23</t>
  </si>
  <si>
    <t>H1'24</t>
  </si>
  <si>
    <t>Sales</t>
  </si>
  <si>
    <t>Excise Duties</t>
  </si>
  <si>
    <t>Net Sales</t>
  </si>
  <si>
    <t>Cost of Sales</t>
  </si>
  <si>
    <t>Marketing</t>
  </si>
  <si>
    <t>Other Operating Item</t>
  </si>
  <si>
    <t xml:space="preserve">Operating Profit </t>
  </si>
  <si>
    <t xml:space="preserve">Finance Income </t>
  </si>
  <si>
    <t>Finance Charges</t>
  </si>
  <si>
    <t>Share of after tax results of associates and JVs</t>
  </si>
  <si>
    <t>Profit Before Taxes</t>
  </si>
  <si>
    <t>Taxation</t>
  </si>
  <si>
    <t xml:space="preserve">Profit </t>
  </si>
  <si>
    <t>Non-controlling interests</t>
  </si>
  <si>
    <t xml:space="preserve">Share of parent </t>
  </si>
  <si>
    <t>Weighted number of shares</t>
  </si>
  <si>
    <t xml:space="preserve">Dilutive effect </t>
  </si>
  <si>
    <t>Non-operating items</t>
  </si>
  <si>
    <t>Basic EPS</t>
  </si>
  <si>
    <t>Diluted EPS</t>
  </si>
  <si>
    <t>H2'24E</t>
  </si>
  <si>
    <t>FY'24E</t>
  </si>
  <si>
    <t>H1'25E</t>
  </si>
  <si>
    <t>H2'25E</t>
  </si>
  <si>
    <t>FY'25E</t>
  </si>
  <si>
    <t>H1'26E</t>
  </si>
  <si>
    <t>H2'26E</t>
  </si>
  <si>
    <t>FY'26E</t>
  </si>
  <si>
    <t>H1'27E</t>
  </si>
  <si>
    <t>H2'27E</t>
  </si>
  <si>
    <t>FY'27E</t>
  </si>
  <si>
    <t>H1'28E</t>
  </si>
  <si>
    <t>H2'28E</t>
  </si>
  <si>
    <t>FY'28E</t>
  </si>
  <si>
    <t>H1'29E</t>
  </si>
  <si>
    <t>H2'29E</t>
  </si>
  <si>
    <t>FY'29E</t>
  </si>
  <si>
    <t xml:space="preserve">Gross Profit </t>
  </si>
  <si>
    <t>Diluted Shares</t>
  </si>
  <si>
    <t>Basic Shares</t>
  </si>
  <si>
    <t>EBIT Margin (%)</t>
  </si>
  <si>
    <t>Gross Profit Margin (%)</t>
  </si>
  <si>
    <t>Tax Rate (%)</t>
  </si>
  <si>
    <t xml:space="preserve">Non-current Assets </t>
  </si>
  <si>
    <t xml:space="preserve">Intangible Assets </t>
  </si>
  <si>
    <t>PP&amp;E</t>
  </si>
  <si>
    <t xml:space="preserve">Biological Assets </t>
  </si>
  <si>
    <t>Investments in associates and JVs</t>
  </si>
  <si>
    <t xml:space="preserve">Other investments </t>
  </si>
  <si>
    <t>Other receivables</t>
  </si>
  <si>
    <t xml:space="preserve">Other financial assets </t>
  </si>
  <si>
    <t xml:space="preserve">Deferred tax assets </t>
  </si>
  <si>
    <t xml:space="preserve">Post Employment Benefit Assets </t>
  </si>
  <si>
    <t xml:space="preserve">Total Non-Current Assets </t>
  </si>
  <si>
    <t xml:space="preserve">Current Assets </t>
  </si>
  <si>
    <t>Inventories</t>
  </si>
  <si>
    <t>Trade and other receivables</t>
  </si>
  <si>
    <t>Assets held for sales</t>
  </si>
  <si>
    <t>Corporate tax receivables</t>
  </si>
  <si>
    <t>Other financial assets</t>
  </si>
  <si>
    <t>Cash and Cash equivalents</t>
  </si>
  <si>
    <t xml:space="preserve">Total Current Assets </t>
  </si>
  <si>
    <t xml:space="preserve">Total Assets </t>
  </si>
  <si>
    <t>Current Liabilities</t>
  </si>
  <si>
    <t>Borrowings and bank overdrafts</t>
  </si>
  <si>
    <t>Other financial liabilities</t>
  </si>
  <si>
    <t xml:space="preserve">Share buyback liability </t>
  </si>
  <si>
    <t>Trade and other payables</t>
  </si>
  <si>
    <t>Liabilities held for sale</t>
  </si>
  <si>
    <t>Corporate tax payables</t>
  </si>
  <si>
    <t>Provisions</t>
  </si>
  <si>
    <t>Total Current Liabilities</t>
  </si>
  <si>
    <t>Total Non-Current Liabilities</t>
  </si>
  <si>
    <t>Non-Current Liabilities</t>
  </si>
  <si>
    <t xml:space="preserve">Equity </t>
  </si>
  <si>
    <t xml:space="preserve">Share Capital </t>
  </si>
  <si>
    <t xml:space="preserve">Share Premium </t>
  </si>
  <si>
    <t>Other reserves</t>
  </si>
  <si>
    <t xml:space="preserve">Retained Earnings </t>
  </si>
  <si>
    <t xml:space="preserve">Equity attributable to the parent </t>
  </si>
  <si>
    <t xml:space="preserve">Total Equity </t>
  </si>
  <si>
    <t xml:space="preserve">Borrowings </t>
  </si>
  <si>
    <t>Other Payables</t>
  </si>
  <si>
    <t>Deferred tax liabilities</t>
  </si>
  <si>
    <t>Post employment benefit liabilities</t>
  </si>
  <si>
    <t>Cash flows from operating activities</t>
  </si>
  <si>
    <t>Profit from the period</t>
  </si>
  <si>
    <t xml:space="preserve">Taxation </t>
  </si>
  <si>
    <t>Net finance charges</t>
  </si>
  <si>
    <t>Increase in inventories</t>
  </si>
  <si>
    <t>Increase in trade and other receivables</t>
  </si>
  <si>
    <t>Increase in trade and other payables</t>
  </si>
  <si>
    <t xml:space="preserve">Net change in working capital </t>
  </si>
  <si>
    <t>D&amp;A</t>
  </si>
  <si>
    <t>Dividends Received</t>
  </si>
  <si>
    <t xml:space="preserve">Post employment payments </t>
  </si>
  <si>
    <t>Other items</t>
  </si>
  <si>
    <t>Cash generated from operations</t>
  </si>
  <si>
    <t>Interest Received</t>
  </si>
  <si>
    <t>Interest Paid</t>
  </si>
  <si>
    <t>Taxation Paid</t>
  </si>
  <si>
    <t>Net Cash Flow from Operating Activities</t>
  </si>
  <si>
    <t>Cash Flows from investing activities</t>
  </si>
  <si>
    <t>Disposal of PP&amp;E</t>
  </si>
  <si>
    <t>Capex</t>
  </si>
  <si>
    <t xml:space="preserve">Movements in loans and other investments </t>
  </si>
  <si>
    <t>Sale of businesses and brands</t>
  </si>
  <si>
    <t>Acquisition of subsidiaries</t>
  </si>
  <si>
    <t>Investment in associates and JVs</t>
  </si>
  <si>
    <t>Net Cashflow from financing activities</t>
  </si>
  <si>
    <t>Net Cashflow from investing activities</t>
  </si>
  <si>
    <t>Cash Flows from financing activities</t>
  </si>
  <si>
    <t>Share buyback</t>
  </si>
  <si>
    <t>Net sale of own shares for share schemes</t>
  </si>
  <si>
    <t>Dividends paid to non-controlling interests</t>
  </si>
  <si>
    <t>Proceeds from bonds</t>
  </si>
  <si>
    <t>Repayment of bonds</t>
  </si>
  <si>
    <t>Cash inflow from other borrowings</t>
  </si>
  <si>
    <t>Cash outflow from other borrowings</t>
  </si>
  <si>
    <t>Equity Dividend Paid</t>
  </si>
  <si>
    <t>Net (decrease)/increase in net cash and cash equivalents</t>
  </si>
  <si>
    <t>FX</t>
  </si>
  <si>
    <t>Reclassification to assets held for sale</t>
  </si>
  <si>
    <t xml:space="preserve">Opening Cash </t>
  </si>
  <si>
    <t xml:space="preserve">Closing Cash </t>
  </si>
  <si>
    <t>Net cash and cash equivalents consist of:</t>
  </si>
  <si>
    <t>Cash and cash equivalents</t>
  </si>
  <si>
    <t>Bank overdrafts</t>
  </si>
  <si>
    <t xml:space="preserve">Check </t>
  </si>
  <si>
    <t>Purchase of treasury shares in respect of subsidiaries</t>
  </si>
  <si>
    <t>Purchase of non-controlling interests</t>
  </si>
  <si>
    <t>Organic Sales</t>
  </si>
  <si>
    <t>Organic growth (%)</t>
  </si>
  <si>
    <t>FX Growth (%)</t>
  </si>
  <si>
    <t xml:space="preserve">Scope </t>
  </si>
  <si>
    <t>Scope growth (%)</t>
  </si>
  <si>
    <t>Hyperinflation</t>
  </si>
  <si>
    <t>Hyprinflation (%)</t>
  </si>
  <si>
    <t>Volume</t>
  </si>
  <si>
    <t>Volume Growth (%)</t>
  </si>
  <si>
    <t>Price</t>
  </si>
  <si>
    <t>Price  (%)</t>
  </si>
  <si>
    <t xml:space="preserve">Total </t>
  </si>
  <si>
    <t>Hyperinflation (%)</t>
  </si>
  <si>
    <t>% of sales</t>
  </si>
  <si>
    <t xml:space="preserve">Adjustments </t>
  </si>
  <si>
    <t>Closing Balance</t>
  </si>
  <si>
    <t>Disposal</t>
  </si>
  <si>
    <t>Cost</t>
  </si>
  <si>
    <t>Depreciation charge for the year</t>
  </si>
  <si>
    <t>Working Capital Schedule</t>
  </si>
  <si>
    <t>Trade Receivables</t>
  </si>
  <si>
    <t>Trade Payables</t>
  </si>
  <si>
    <t>Inventory days</t>
  </si>
  <si>
    <t>DoR</t>
  </si>
  <si>
    <t>DP</t>
  </si>
  <si>
    <t>Debt Schedule</t>
  </si>
  <si>
    <t xml:space="preserve">Interest Charge </t>
  </si>
  <si>
    <t xml:space="preserve">Repayment/Addition </t>
  </si>
  <si>
    <t>Opening Balance</t>
  </si>
  <si>
    <t>Retained earnings</t>
  </si>
  <si>
    <t>Net Income</t>
  </si>
  <si>
    <t>Dividends</t>
  </si>
  <si>
    <t>Adjustments</t>
  </si>
  <si>
    <t>Remy Cointreau</t>
  </si>
  <si>
    <t>Figures in Euro millions, except share data</t>
  </si>
  <si>
    <t>2024E</t>
  </si>
  <si>
    <t>2025E</t>
  </si>
  <si>
    <t>2026E</t>
  </si>
  <si>
    <t>2027E</t>
  </si>
  <si>
    <t>2028E</t>
  </si>
  <si>
    <t>DCF</t>
  </si>
  <si>
    <t>Revenues</t>
  </si>
  <si>
    <t>EBIT</t>
  </si>
  <si>
    <t>Tax</t>
  </si>
  <si>
    <t>EBIT (1-t)</t>
  </si>
  <si>
    <t>NWC</t>
  </si>
  <si>
    <t>Capital expenditures</t>
  </si>
  <si>
    <t>Unlevered free cash flows (UFCF)</t>
  </si>
  <si>
    <t>Discounting factor</t>
  </si>
  <si>
    <t>FCFF</t>
  </si>
  <si>
    <t>TV</t>
  </si>
  <si>
    <t>Enterprise Value</t>
  </si>
  <si>
    <t>Net Debt</t>
  </si>
  <si>
    <t>Minority Interest</t>
  </si>
  <si>
    <t>Equity Value</t>
  </si>
  <si>
    <t>No. of shares</t>
  </si>
  <si>
    <t>Target Price</t>
  </si>
  <si>
    <t>CMP</t>
  </si>
  <si>
    <t>Change(%)</t>
  </si>
  <si>
    <t>Assumptions</t>
  </si>
  <si>
    <t>Sensitivity Analysis</t>
  </si>
  <si>
    <t>Equity Risk Premium</t>
  </si>
  <si>
    <t>Risk Free rate</t>
  </si>
  <si>
    <t>Beta</t>
  </si>
  <si>
    <t>WACC</t>
  </si>
  <si>
    <t>Cost of Equity</t>
  </si>
  <si>
    <t>Cost of Debt</t>
  </si>
  <si>
    <t>Growth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</si>
</sst>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0.0000"/>
    <numFmt numFmtId="167" formatCode="0.0%"/>
    <numFmt numFmtId="168" formatCode="#,##0.000"/>
    <numFmt numFmtId="169" formatCode="_ * #,##0_ ;_ * \-#,##0_ ;_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9"/>
      <color rgb="FFFF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AF1E7"/>
        <bgColor indexed="64"/>
      </patternFill>
    </fill>
    <fill>
      <patternFill patternType="solid">
        <fgColor rgb="FFEAF1DD"/>
        <bgColor rgb="FFEAF1DD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2">
    <xf numFmtId="0" fontId="0" fillId="0" borderId="0"/>
    <xf numFmtId="0" fontId="10" fillId="0" borderId="0"/>
  </cellStyleXfs>
  <cellXfs count="110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3" fontId="0" fillId="2" borderId="0" xfId="0" applyNumberFormat="1" applyFill="1"/>
    <xf numFmtId="167" fontId="2" fillId="0" borderId="0" xfId="0" applyNumberFormat="1" applyFont="1"/>
    <xf numFmtId="167" fontId="7" fillId="0" borderId="0" xfId="0" applyNumberFormat="1" applyFont="1"/>
    <xf numFmtId="167" fontId="6" fillId="3" borderId="0" xfId="0" applyNumberFormat="1" applyFont="1" applyFill="1"/>
    <xf numFmtId="1" fontId="8" fillId="0" borderId="0" xfId="0" applyNumberFormat="1" applyFont="1"/>
    <xf numFmtId="0" fontId="1" fillId="4" borderId="1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4" borderId="3" xfId="0" applyFont="1" applyFill="1" applyBorder="1"/>
    <xf numFmtId="0" fontId="0" fillId="0" borderId="4" xfId="0" applyBorder="1"/>
    <xf numFmtId="0" fontId="1" fillId="0" borderId="4" xfId="0" applyFont="1" applyBorder="1"/>
    <xf numFmtId="0" fontId="0" fillId="4" borderId="5" xfId="0" applyFill="1" applyBorder="1"/>
    <xf numFmtId="0" fontId="0" fillId="0" borderId="6" xfId="0" applyBorder="1"/>
    <xf numFmtId="165" fontId="0" fillId="0" borderId="6" xfId="0" applyNumberFormat="1" applyBorder="1"/>
    <xf numFmtId="9" fontId="0" fillId="4" borderId="5" xfId="0" applyNumberFormat="1" applyFill="1" applyBorder="1"/>
    <xf numFmtId="9" fontId="0" fillId="0" borderId="6" xfId="0" applyNumberFormat="1" applyBorder="1"/>
    <xf numFmtId="164" fontId="0" fillId="0" borderId="6" xfId="0" applyNumberFormat="1" applyBorder="1"/>
    <xf numFmtId="4" fontId="9" fillId="0" borderId="6" xfId="0" applyNumberFormat="1" applyFont="1" applyBorder="1"/>
    <xf numFmtId="0" fontId="2" fillId="4" borderId="5" xfId="0" applyFont="1" applyFill="1" applyBorder="1"/>
    <xf numFmtId="0" fontId="1" fillId="4" borderId="8" xfId="0" applyFont="1" applyFill="1" applyBorder="1"/>
    <xf numFmtId="0" fontId="1" fillId="0" borderId="9" xfId="0" applyFont="1" applyBorder="1"/>
    <xf numFmtId="0" fontId="1" fillId="0" borderId="10" xfId="0" applyFont="1" applyBorder="1"/>
    <xf numFmtId="165" fontId="1" fillId="0" borderId="10" xfId="0" applyNumberFormat="1" applyFont="1" applyBorder="1"/>
    <xf numFmtId="165" fontId="1" fillId="0" borderId="9" xfId="0" applyNumberFormat="1" applyFont="1" applyBorder="1"/>
    <xf numFmtId="3" fontId="1" fillId="0" borderId="9" xfId="0" applyNumberFormat="1" applyFont="1" applyBorder="1"/>
    <xf numFmtId="3" fontId="0" fillId="0" borderId="6" xfId="0" applyNumberFormat="1" applyBorder="1"/>
    <xf numFmtId="3" fontId="1" fillId="0" borderId="4" xfId="0" applyNumberFormat="1" applyFont="1" applyBorder="1"/>
    <xf numFmtId="3" fontId="9" fillId="0" borderId="0" xfId="0" applyNumberFormat="1" applyFont="1"/>
    <xf numFmtId="3" fontId="9" fillId="0" borderId="6" xfId="0" applyNumberFormat="1" applyFont="1" applyBorder="1"/>
    <xf numFmtId="3" fontId="0" fillId="0" borderId="7" xfId="0" applyNumberFormat="1" applyBorder="1"/>
    <xf numFmtId="3" fontId="1" fillId="0" borderId="10" xfId="0" applyNumberFormat="1" applyFont="1" applyBorder="1"/>
    <xf numFmtId="9" fontId="6" fillId="0" borderId="0" xfId="0" applyNumberFormat="1" applyFont="1"/>
    <xf numFmtId="3" fontId="1" fillId="2" borderId="0" xfId="0" applyNumberFormat="1" applyFont="1" applyFill="1"/>
    <xf numFmtId="0" fontId="11" fillId="0" borderId="0" xfId="1" applyFont="1"/>
    <xf numFmtId="0" fontId="10" fillId="0" borderId="0" xfId="1"/>
    <xf numFmtId="0" fontId="12" fillId="7" borderId="11" xfId="1" applyFont="1" applyFill="1" applyBorder="1"/>
    <xf numFmtId="0" fontId="11" fillId="7" borderId="12" xfId="1" applyFont="1" applyFill="1" applyBorder="1"/>
    <xf numFmtId="0" fontId="11" fillId="7" borderId="12" xfId="1" applyFont="1" applyFill="1" applyBorder="1" applyAlignment="1">
      <alignment horizontal="right"/>
    </xf>
    <xf numFmtId="0" fontId="11" fillId="7" borderId="13" xfId="1" applyFont="1" applyFill="1" applyBorder="1" applyAlignment="1">
      <alignment horizontal="right"/>
    </xf>
    <xf numFmtId="0" fontId="11" fillId="0" borderId="14" xfId="1" applyFont="1" applyBorder="1"/>
    <xf numFmtId="0" fontId="13" fillId="0" borderId="0" xfId="1" applyFont="1"/>
    <xf numFmtId="0" fontId="13" fillId="0" borderId="15" xfId="1" applyFont="1" applyBorder="1"/>
    <xf numFmtId="3" fontId="10" fillId="0" borderId="0" xfId="1" applyNumberFormat="1"/>
    <xf numFmtId="3" fontId="10" fillId="0" borderId="15" xfId="1" applyNumberFormat="1" applyBorder="1"/>
    <xf numFmtId="0" fontId="10" fillId="0" borderId="0" xfId="1" applyAlignment="1">
      <alignment horizontal="left"/>
    </xf>
    <xf numFmtId="0" fontId="14" fillId="0" borderId="0" xfId="1" applyFont="1" applyAlignment="1">
      <alignment horizontal="left"/>
    </xf>
    <xf numFmtId="0" fontId="14" fillId="0" borderId="0" xfId="1" applyFont="1"/>
    <xf numFmtId="9" fontId="14" fillId="0" borderId="0" xfId="1" applyNumberFormat="1" applyFont="1"/>
    <xf numFmtId="9" fontId="14" fillId="0" borderId="15" xfId="1" applyNumberFormat="1" applyFont="1" applyBorder="1"/>
    <xf numFmtId="0" fontId="11" fillId="7" borderId="0" xfId="1" applyFont="1" applyFill="1" applyAlignment="1">
      <alignment horizontal="left"/>
    </xf>
    <xf numFmtId="0" fontId="11" fillId="7" borderId="0" xfId="1" applyFont="1" applyFill="1"/>
    <xf numFmtId="3" fontId="10" fillId="7" borderId="0" xfId="1" applyNumberFormat="1" applyFill="1"/>
    <xf numFmtId="3" fontId="10" fillId="7" borderId="15" xfId="1" applyNumberFormat="1" applyFill="1" applyBorder="1"/>
    <xf numFmtId="168" fontId="10" fillId="0" borderId="0" xfId="1" applyNumberFormat="1"/>
    <xf numFmtId="168" fontId="10" fillId="0" borderId="15" xfId="1" applyNumberFormat="1" applyBorder="1"/>
    <xf numFmtId="0" fontId="10" fillId="0" borderId="16" xfId="1" applyBorder="1"/>
    <xf numFmtId="169" fontId="10" fillId="0" borderId="17" xfId="1" applyNumberFormat="1" applyBorder="1"/>
    <xf numFmtId="0" fontId="11" fillId="0" borderId="12" xfId="1" applyFont="1" applyBorder="1" applyAlignment="1">
      <alignment horizontal="left"/>
    </xf>
    <xf numFmtId="0" fontId="11" fillId="0" borderId="12" xfId="1" applyFont="1" applyBorder="1"/>
    <xf numFmtId="3" fontId="11" fillId="0" borderId="13" xfId="1" applyNumberFormat="1" applyFont="1" applyBorder="1"/>
    <xf numFmtId="0" fontId="11" fillId="0" borderId="0" xfId="1" applyFont="1" applyAlignment="1">
      <alignment horizontal="left"/>
    </xf>
    <xf numFmtId="0" fontId="10" fillId="7" borderId="0" xfId="1" applyFill="1" applyAlignment="1">
      <alignment horizontal="left"/>
    </xf>
    <xf numFmtId="0" fontId="10" fillId="7" borderId="0" xfId="1" applyFill="1"/>
    <xf numFmtId="167" fontId="14" fillId="7" borderId="18" xfId="1" applyNumberFormat="1" applyFont="1" applyFill="1" applyBorder="1" applyAlignment="1">
      <alignment horizontal="left"/>
    </xf>
    <xf numFmtId="167" fontId="14" fillId="7" borderId="18" xfId="1" applyNumberFormat="1" applyFont="1" applyFill="1" applyBorder="1"/>
    <xf numFmtId="167" fontId="14" fillId="7" borderId="19" xfId="1" applyNumberFormat="1" applyFont="1" applyFill="1" applyBorder="1"/>
    <xf numFmtId="0" fontId="12" fillId="7" borderId="20" xfId="1" applyFont="1" applyFill="1" applyBorder="1"/>
    <xf numFmtId="0" fontId="10" fillId="7" borderId="21" xfId="1" applyFill="1" applyBorder="1"/>
    <xf numFmtId="0" fontId="10" fillId="7" borderId="22" xfId="1" applyFill="1" applyBorder="1"/>
    <xf numFmtId="0" fontId="10" fillId="0" borderId="25" xfId="1" applyBorder="1"/>
    <xf numFmtId="10" fontId="10" fillId="0" borderId="15" xfId="1" applyNumberFormat="1" applyBorder="1"/>
    <xf numFmtId="164" fontId="10" fillId="0" borderId="11" xfId="1" applyNumberFormat="1" applyBorder="1"/>
    <xf numFmtId="167" fontId="10" fillId="0" borderId="12" xfId="1" applyNumberFormat="1" applyBorder="1"/>
    <xf numFmtId="167" fontId="10" fillId="7" borderId="12" xfId="1" applyNumberFormat="1" applyFill="1" applyBorder="1"/>
    <xf numFmtId="167" fontId="10" fillId="0" borderId="26" xfId="1" applyNumberFormat="1" applyBorder="1"/>
    <xf numFmtId="167" fontId="10" fillId="0" borderId="14" xfId="1" applyNumberFormat="1" applyBorder="1"/>
    <xf numFmtId="4" fontId="10" fillId="0" borderId="0" xfId="1" applyNumberFormat="1"/>
    <xf numFmtId="4" fontId="10" fillId="7" borderId="0" xfId="1" applyNumberFormat="1" applyFill="1"/>
    <xf numFmtId="4" fontId="10" fillId="0" borderId="27" xfId="1" applyNumberFormat="1" applyBorder="1"/>
    <xf numFmtId="0" fontId="10" fillId="0" borderId="15" xfId="1" applyBorder="1"/>
    <xf numFmtId="167" fontId="10" fillId="0" borderId="15" xfId="1" applyNumberFormat="1" applyBorder="1"/>
    <xf numFmtId="167" fontId="10" fillId="7" borderId="14" xfId="1" applyNumberFormat="1" applyFill="1" applyBorder="1"/>
    <xf numFmtId="4" fontId="10" fillId="7" borderId="27" xfId="1" applyNumberFormat="1" applyFill="1" applyBorder="1"/>
    <xf numFmtId="167" fontId="10" fillId="0" borderId="28" xfId="1" applyNumberFormat="1" applyBorder="1"/>
    <xf numFmtId="4" fontId="10" fillId="0" borderId="16" xfId="1" applyNumberFormat="1" applyBorder="1"/>
    <xf numFmtId="4" fontId="10" fillId="7" borderId="16" xfId="1" applyNumberFormat="1" applyFill="1" applyBorder="1"/>
    <xf numFmtId="4" fontId="10" fillId="0" borderId="29" xfId="1" applyNumberFormat="1" applyBorder="1"/>
    <xf numFmtId="0" fontId="10" fillId="0" borderId="30" xfId="1" applyBorder="1"/>
    <xf numFmtId="0" fontId="10" fillId="0" borderId="18" xfId="1" applyBorder="1"/>
    <xf numFmtId="9" fontId="10" fillId="0" borderId="19" xfId="1" applyNumberFormat="1" applyBorder="1"/>
    <xf numFmtId="0" fontId="12" fillId="7" borderId="23" xfId="1" applyFont="1" applyFill="1" applyBorder="1" applyAlignment="1">
      <alignment horizontal="center"/>
    </xf>
    <xf numFmtId="0" fontId="15" fillId="0" borderId="24" xfId="1" applyFont="1" applyBorder="1"/>
  </cellXfs>
  <cellStyles count="2">
    <cellStyle name="Normal" xfId="0" builtinId="0"/>
    <cellStyle name="Normal 2" xfId="1" xr:uid="{2377A587-42E2-4885-9418-B71CF2D02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yemp\Downloads\Remy_Cointreau_v1.xlsx" TargetMode="External"/><Relationship Id="rId1" Type="http://schemas.openxmlformats.org/officeDocument/2006/relationships/externalLinkPath" Target="file:///C:\Users\eyemp\Downloads\Remy_Cointreau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tatements"/>
      <sheetName val="Schedules"/>
      <sheetName val="Revenue Model"/>
      <sheetName val="DCF "/>
    </sheetNames>
    <sheetDataSet>
      <sheetData sheetId="0">
        <row r="23">
          <cell r="Q23">
            <v>0.17905089599732049</v>
          </cell>
        </row>
        <row r="103">
          <cell r="Q103"/>
          <cell r="T103"/>
          <cell r="W103"/>
          <cell r="Z103"/>
          <cell r="AC103"/>
        </row>
      </sheetData>
      <sheetData sheetId="1">
        <row r="39">
          <cell r="Q39">
            <v>3.4782059380922298E-2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EC47-D73E-4320-BA35-3B4B8FA0AE72}">
  <dimension ref="B2:AC24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AC4" sqref="AC4"/>
    </sheetView>
  </sheetViews>
  <sheetFormatPr defaultRowHeight="14.4" x14ac:dyDescent="0.3"/>
  <cols>
    <col min="1" max="1" width="2.5546875" customWidth="1"/>
  </cols>
  <sheetData>
    <row r="2" spans="2:29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29" x14ac:dyDescent="0.3">
      <c r="B3" s="1" t="s">
        <v>12</v>
      </c>
    </row>
    <row r="4" spans="2:29" x14ac:dyDescent="0.3">
      <c r="B4" t="s">
        <v>141</v>
      </c>
      <c r="H4">
        <v>2716</v>
      </c>
      <c r="I4">
        <v>742</v>
      </c>
      <c r="K4">
        <v>969</v>
      </c>
      <c r="L4">
        <f>L7+L10</f>
        <v>-67</v>
      </c>
      <c r="N4">
        <f>'North America'!N4+Europe!N4+'Asia Pacific'!N4+LATAM!N4+Africa!N4</f>
        <v>1358.3200000000002</v>
      </c>
      <c r="O4">
        <f>'North America'!O4+Europe!O4+'Asia Pacific'!O4+LATAM!O4+Africa!O4</f>
        <v>871.92000000000007</v>
      </c>
      <c r="Q4">
        <f>'North America'!Q4+Europe!Q4+'Asia Pacific'!Q4+LATAM!Q4+Africa!Q4</f>
        <v>1473.7772</v>
      </c>
      <c r="R4">
        <f>'North America'!R4+Europe!R4+'Asia Pacific'!R4+LATAM!R4+Africa!R4</f>
        <v>946.03320000000019</v>
      </c>
      <c r="T4">
        <f>'North America'!T4+Europe!T4+'Asia Pacific'!T4+LATAM!T4+Africa!T4</f>
        <v>1621.1549200000004</v>
      </c>
      <c r="U4">
        <f>'North America'!U4+Europe!U4+'Asia Pacific'!U4+LATAM!U4+Africa!U4</f>
        <v>1026.4460220000001</v>
      </c>
      <c r="W4">
        <f>'North America'!W4+Europe!W4+'Asia Pacific'!W4+LATAM!W4+Africa!W4</f>
        <v>1783.2704119999999</v>
      </c>
      <c r="X4">
        <f>'North America'!X4+Europe!X4+'Asia Pacific'!X4+LATAM!X4+Africa!X4</f>
        <v>1113.6939338700001</v>
      </c>
      <c r="Z4">
        <f>'North America'!Z4+Europe!Z4+'Asia Pacific'!Z4+LATAM!Z4+Africa!Z4</f>
        <v>1961.5974532</v>
      </c>
      <c r="AA4">
        <f>'North America'!AA4+Europe!AA4+'Asia Pacific'!AA4+LATAM!AA4+Africa!AA4</f>
        <v>1208.3579182489502</v>
      </c>
      <c r="AC4">
        <f>'North America'!AC4+Europe!AC4+'Asia Pacific'!AC4+LATAM!AC4+Africa!AC4</f>
        <v>2157.7571985199997</v>
      </c>
    </row>
    <row r="5" spans="2:29" x14ac:dyDescent="0.3">
      <c r="B5" s="5" t="s">
        <v>142</v>
      </c>
      <c r="H5" s="7">
        <v>0.21</v>
      </c>
      <c r="K5" s="6">
        <f>K4/H22</f>
        <v>6.2710328760031062E-2</v>
      </c>
      <c r="L5" s="6">
        <f>L8+L11</f>
        <v>-6.0251798561151079E-3</v>
      </c>
      <c r="N5" s="6">
        <f>N4/K22</f>
        <v>7.9373575644247074E-2</v>
      </c>
      <c r="O5" s="6">
        <f>O4/L22</f>
        <v>7.9540229885057476E-2</v>
      </c>
      <c r="Q5" s="6">
        <f>Q4/N22</f>
        <v>7.9422295980079993E-2</v>
      </c>
      <c r="R5" s="6">
        <f>R4/O22</f>
        <v>7.9576057868101013E-2</v>
      </c>
      <c r="T5" s="6">
        <f>T4/Q22</f>
        <v>7.9474469526132574E-2</v>
      </c>
      <c r="U5" s="6">
        <f>U4/R22</f>
        <v>7.9609107645280341E-2</v>
      </c>
      <c r="W5" s="6">
        <f>W4/T22</f>
        <v>7.9521959540996695E-2</v>
      </c>
      <c r="X5" s="6">
        <f>X4/U22</f>
        <v>7.9639592589629229E-2</v>
      </c>
      <c r="Z5" s="6">
        <f>Z4/W22</f>
        <v>7.9565181559079851E-2</v>
      </c>
      <c r="AA5" s="6">
        <f>AA4/X22</f>
        <v>7.9667709995265332E-2</v>
      </c>
      <c r="AC5" s="6">
        <f>AC4/Z22</f>
        <v>7.960451509447028E-2</v>
      </c>
    </row>
    <row r="7" spans="2:29" x14ac:dyDescent="0.3">
      <c r="B7" t="s">
        <v>148</v>
      </c>
      <c r="I7">
        <v>142</v>
      </c>
      <c r="L7">
        <v>-573</v>
      </c>
      <c r="N7">
        <f>'North America'!N7+Europe!N7+'Asia Pacific'!N7+LATAM!N7+Africa!N7</f>
        <v>0</v>
      </c>
      <c r="O7">
        <f>'North America'!O7+Europe!O7+'Asia Pacific'!O7+LATAM!O7+Africa!O7</f>
        <v>0</v>
      </c>
      <c r="Q7">
        <f>'North America'!Q7+Europe!Q7+'Asia Pacific'!Q7+LATAM!Q7+Africa!Q7</f>
        <v>0</v>
      </c>
      <c r="R7">
        <f>'North America'!R7+Europe!R7+'Asia Pacific'!R7+LATAM!R7+Africa!R7</f>
        <v>0</v>
      </c>
      <c r="T7">
        <f>'North America'!T7+Europe!T7+'Asia Pacific'!T7+LATAM!T7+Africa!T7</f>
        <v>0</v>
      </c>
      <c r="U7">
        <f>'North America'!U7+Europe!U7+'Asia Pacific'!U7+LATAM!U7+Africa!U7</f>
        <v>0</v>
      </c>
      <c r="W7">
        <f>'North America'!W7+Europe!W7+'Asia Pacific'!W7+LATAM!W7+Africa!W7</f>
        <v>0</v>
      </c>
      <c r="X7">
        <f>'North America'!X7+Europe!X7+'Asia Pacific'!X7+LATAM!X7+Africa!X7</f>
        <v>0</v>
      </c>
      <c r="Z7">
        <f>'North America'!Z7+Europe!Z7+'Asia Pacific'!Z7+LATAM!Z7+Africa!Z7</f>
        <v>0</v>
      </c>
      <c r="AA7">
        <f>'North America'!AA7+Europe!AA7+'Asia Pacific'!AA7+LATAM!AA7+Africa!AA7</f>
        <v>0</v>
      </c>
      <c r="AC7">
        <f>'North America'!AC7+Europe!AC7+'Asia Pacific'!AC7+LATAM!AC7+Africa!AC7</f>
        <v>0</v>
      </c>
    </row>
    <row r="8" spans="2:29" x14ac:dyDescent="0.3">
      <c r="B8" s="5" t="s">
        <v>149</v>
      </c>
      <c r="K8" s="6">
        <f>K7/H22</f>
        <v>0</v>
      </c>
      <c r="L8" s="6">
        <f>L7/I22</f>
        <v>-5.1528776978417269E-2</v>
      </c>
    </row>
    <row r="10" spans="2:29" x14ac:dyDescent="0.3">
      <c r="B10" t="s">
        <v>150</v>
      </c>
      <c r="I10">
        <v>600</v>
      </c>
      <c r="L10">
        <v>506</v>
      </c>
      <c r="N10">
        <f>'North America'!N10+Europe!N10+'Asia Pacific'!N10+LATAM!N10+Africa!N10</f>
        <v>0</v>
      </c>
      <c r="O10">
        <f>'North America'!O10+Europe!O10+'Asia Pacific'!O10+LATAM!O10+Africa!O10</f>
        <v>0</v>
      </c>
      <c r="Q10">
        <f>'North America'!Q10+Europe!Q10+'Asia Pacific'!Q10+LATAM!Q10+Africa!Q10</f>
        <v>0</v>
      </c>
      <c r="R10">
        <f>'North America'!R10+Europe!R10+'Asia Pacific'!R10+LATAM!R10+Africa!R10</f>
        <v>0</v>
      </c>
      <c r="T10">
        <f>'North America'!T10+Europe!T10+'Asia Pacific'!T10+LATAM!T10+Africa!T10</f>
        <v>0</v>
      </c>
      <c r="U10">
        <f>'North America'!U10+Europe!U10+'Asia Pacific'!U10+LATAM!U10+Africa!U10</f>
        <v>0</v>
      </c>
      <c r="W10">
        <f>'North America'!W10+Europe!W10+'Asia Pacific'!W10+LATAM!W10+Africa!W10</f>
        <v>0</v>
      </c>
      <c r="X10">
        <f>'North America'!X10+Europe!X10+'Asia Pacific'!X10+LATAM!X10+Africa!X10</f>
        <v>0</v>
      </c>
      <c r="Z10">
        <f>'North America'!Z10+Europe!Z10+'Asia Pacific'!Z10+LATAM!Z10+Africa!Z10</f>
        <v>0</v>
      </c>
      <c r="AA10">
        <f>'North America'!AA10+Europe!AA10+'Asia Pacific'!AA10+LATAM!AA10+Africa!AA10</f>
        <v>0</v>
      </c>
      <c r="AC10">
        <f>'North America'!AC10+Europe!AC10+'Asia Pacific'!AC10+LATAM!AC10+Africa!AC10</f>
        <v>0</v>
      </c>
    </row>
    <row r="11" spans="2:29" x14ac:dyDescent="0.3">
      <c r="B11" s="5" t="s">
        <v>151</v>
      </c>
      <c r="K11" s="6">
        <f>K10/H22</f>
        <v>0</v>
      </c>
      <c r="L11" s="6">
        <f>L10/I22</f>
        <v>4.5503597122302161E-2</v>
      </c>
    </row>
    <row r="13" spans="2:29" x14ac:dyDescent="0.3">
      <c r="B13" t="s">
        <v>131</v>
      </c>
      <c r="H13">
        <v>-223</v>
      </c>
      <c r="I13">
        <v>669</v>
      </c>
      <c r="K13">
        <v>817</v>
      </c>
      <c r="L13">
        <v>-167</v>
      </c>
      <c r="N13">
        <f>'North America'!N13+Europe!N13+'Asia Pacific'!N13+LATAM!N13+Africa!N13</f>
        <v>0</v>
      </c>
      <c r="O13">
        <f>'North America'!O13+Europe!O13+'Asia Pacific'!O13+LATAM!O13+Africa!O13</f>
        <v>0</v>
      </c>
      <c r="Q13">
        <f>'North America'!Q13+Europe!Q13+'Asia Pacific'!Q13+LATAM!Q13+Africa!Q13</f>
        <v>0</v>
      </c>
      <c r="R13">
        <f>'North America'!R13+Europe!R13+'Asia Pacific'!R13+LATAM!R13+Africa!R13</f>
        <v>0</v>
      </c>
      <c r="T13">
        <f>'North America'!T13+Europe!T13+'Asia Pacific'!T13+LATAM!T13+Africa!T13</f>
        <v>0</v>
      </c>
      <c r="U13">
        <f>'North America'!U13+Europe!U13+'Asia Pacific'!U13+LATAM!U13+Africa!U13</f>
        <v>0</v>
      </c>
      <c r="W13">
        <f>'North America'!W13+Europe!W13+'Asia Pacific'!W13+LATAM!W13+Africa!W13</f>
        <v>0</v>
      </c>
      <c r="X13">
        <f>'North America'!X13+Europe!X13+'Asia Pacific'!X13+LATAM!X13+Africa!X13</f>
        <v>0</v>
      </c>
      <c r="Z13">
        <f>'North America'!Z13+Europe!Z13+'Asia Pacific'!Z13+LATAM!Z13+Africa!Z13</f>
        <v>0</v>
      </c>
      <c r="AA13">
        <f>'North America'!AA13+Europe!AA13+'Asia Pacific'!AA13+LATAM!AA13+Africa!AA13</f>
        <v>0</v>
      </c>
      <c r="AC13">
        <f>'North America'!AC13+Europe!AC13+'Asia Pacific'!AC13+LATAM!AC13+Africa!AC13</f>
        <v>0</v>
      </c>
    </row>
    <row r="14" spans="2:29" x14ac:dyDescent="0.3">
      <c r="B14" s="5" t="s">
        <v>143</v>
      </c>
      <c r="K14" s="6">
        <f>K13/H22</f>
        <v>5.2873414444732071E-2</v>
      </c>
      <c r="L14" s="6">
        <f>L13/I22</f>
        <v>-1.5017985611510791E-2</v>
      </c>
    </row>
    <row r="16" spans="2:29" x14ac:dyDescent="0.3">
      <c r="B16" t="s">
        <v>144</v>
      </c>
      <c r="H16">
        <v>75</v>
      </c>
      <c r="I16">
        <v>-33</v>
      </c>
      <c r="K16">
        <v>182</v>
      </c>
      <c r="L16">
        <v>-51</v>
      </c>
      <c r="N16">
        <f>'North America'!N16+Europe!N16+'Asia Pacific'!N16+LATAM!N16+Africa!N16</f>
        <v>84.89500000000001</v>
      </c>
      <c r="O16">
        <f>'North America'!O16+Europe!O16+'Asia Pacific'!O16+LATAM!O16+Africa!O16</f>
        <v>54.495000000000005</v>
      </c>
      <c r="Q16">
        <f>'North America'!Q16+Europe!Q16+'Asia Pacific'!Q16+LATAM!Q16+Africa!Q16</f>
        <v>368.4443</v>
      </c>
      <c r="R16">
        <f>'North America'!R16+Europe!R16+'Asia Pacific'!R16+LATAM!R16+Africa!R16</f>
        <v>59.127075000000012</v>
      </c>
      <c r="T16">
        <f>'North America'!T16+Europe!T16+'Asia Pacific'!T16+LATAM!T16+Africa!T16</f>
        <v>405.2887300000001</v>
      </c>
      <c r="U16">
        <f>'North America'!U16+Europe!U16+'Asia Pacific'!U16+LATAM!U16+Africa!U16</f>
        <v>64.152876375000005</v>
      </c>
      <c r="W16">
        <f>'North America'!W16+Europe!W16+'Asia Pacific'!W16+LATAM!W16+Africa!W16</f>
        <v>445.81760299999996</v>
      </c>
      <c r="X16">
        <f>'North America'!X16+Europe!X16+'Asia Pacific'!X16+LATAM!X16+Africa!X16</f>
        <v>69.605870866875009</v>
      </c>
      <c r="Z16">
        <f>'North America'!Z16+Europe!Z16+'Asia Pacific'!Z16+LATAM!Z16+Africa!Z16</f>
        <v>490.3993633</v>
      </c>
      <c r="AA16">
        <f>'North America'!AA16+Europe!AA16+'Asia Pacific'!AA16+LATAM!AA16+Africa!AA16</f>
        <v>75.522369890559389</v>
      </c>
      <c r="AC16">
        <f>'North America'!AC16+Europe!AC16+'Asia Pacific'!AC16+LATAM!AC16+Africa!AC16</f>
        <v>539.43929962999994</v>
      </c>
    </row>
    <row r="17" spans="2:29" x14ac:dyDescent="0.3">
      <c r="B17" s="5" t="s">
        <v>145</v>
      </c>
      <c r="K17" s="6">
        <f>K16/H22</f>
        <v>1.177841056173958E-2</v>
      </c>
      <c r="L17" s="6">
        <f>L16/I22</f>
        <v>-4.5863309352517983E-3</v>
      </c>
      <c r="N17" s="6">
        <f>N16/K22</f>
        <v>4.9608484777654421E-3</v>
      </c>
      <c r="O17" s="6">
        <f>O16/L22</f>
        <v>4.9712643678160922E-3</v>
      </c>
      <c r="Q17" s="6">
        <f>Q16/N22</f>
        <v>1.9855573995019998E-2</v>
      </c>
      <c r="R17" s="6">
        <f>R16/O22</f>
        <v>4.9735036167563133E-3</v>
      </c>
      <c r="T17" s="6">
        <f>T16/Q22</f>
        <v>1.9868617381533143E-2</v>
      </c>
      <c r="U17" s="6">
        <f>U16/R22</f>
        <v>4.9755692278300213E-3</v>
      </c>
      <c r="W17" s="6">
        <f>W16/T22</f>
        <v>1.9880489885249174E-2</v>
      </c>
      <c r="X17" s="6">
        <f>X16/U22</f>
        <v>4.9774745368518268E-3</v>
      </c>
      <c r="Z17" s="6">
        <f>Z16/W22</f>
        <v>1.9891295389769963E-2</v>
      </c>
      <c r="AA17" s="6">
        <f>AA16/X22</f>
        <v>4.9792318747040832E-3</v>
      </c>
      <c r="AC17" s="6">
        <f>AC16/Z22</f>
        <v>1.990112877361757E-2</v>
      </c>
    </row>
    <row r="19" spans="2:29" x14ac:dyDescent="0.3">
      <c r="B19" t="s">
        <v>146</v>
      </c>
      <c r="H19">
        <v>189</v>
      </c>
      <c r="I19">
        <v>85</v>
      </c>
      <c r="K19">
        <v>175</v>
      </c>
      <c r="L19">
        <v>127</v>
      </c>
      <c r="N19">
        <f>'North America'!N19+Europe!N19+'Asia Pacific'!N19+LATAM!N19+Africa!N19</f>
        <v>0</v>
      </c>
      <c r="O19">
        <f>'North America'!O19+Europe!O19+'Asia Pacific'!O19+LATAM!O19+Africa!O19</f>
        <v>0</v>
      </c>
      <c r="Q19">
        <f>'North America'!Q19+Europe!Q19+'Asia Pacific'!Q19+LATAM!Q19+Africa!Q19</f>
        <v>0</v>
      </c>
      <c r="R19">
        <f>'North America'!R19+Europe!R19+'Asia Pacific'!R19+LATAM!R19+Africa!R19</f>
        <v>0</v>
      </c>
      <c r="T19">
        <f>'North America'!T19+Europe!T19+'Asia Pacific'!T19+LATAM!T19+Africa!T19</f>
        <v>0</v>
      </c>
      <c r="U19">
        <f>'North America'!U19+Europe!U19+'Asia Pacific'!U19+LATAM!U19+Africa!U19</f>
        <v>0</v>
      </c>
      <c r="W19">
        <f>'North America'!W19+Europe!W19+'Asia Pacific'!W19+LATAM!W19+Africa!W19</f>
        <v>0</v>
      </c>
      <c r="X19">
        <f>'North America'!X19+Europe!X19+'Asia Pacific'!X19+LATAM!X19+Africa!X19</f>
        <v>0</v>
      </c>
      <c r="Z19">
        <f>'North America'!Z19+Europe!Z19+'Asia Pacific'!Z19+LATAM!Z19+Africa!Z19</f>
        <v>0</v>
      </c>
      <c r="AA19">
        <f>'North America'!AA19+Europe!AA19+'Asia Pacific'!AA19+LATAM!AA19+Africa!AA19</f>
        <v>0</v>
      </c>
      <c r="AC19">
        <f>'North America'!AC19+Europe!AC19+'Asia Pacific'!AC19+LATAM!AC19+Africa!AC19</f>
        <v>0</v>
      </c>
    </row>
    <row r="20" spans="2:29" x14ac:dyDescent="0.3">
      <c r="B20" s="5" t="s">
        <v>147</v>
      </c>
    </row>
    <row r="21" spans="2:29" x14ac:dyDescent="0.3">
      <c r="H21">
        <v>-38</v>
      </c>
      <c r="I21">
        <f>11120-9420</f>
        <v>1700</v>
      </c>
      <c r="K21">
        <f>-(15452-14970)</f>
        <v>-482</v>
      </c>
    </row>
    <row r="22" spans="2:29" x14ac:dyDescent="0.3">
      <c r="B22" s="1" t="s">
        <v>152</v>
      </c>
      <c r="E22" s="1">
        <v>12733</v>
      </c>
      <c r="F22" s="1">
        <v>7957</v>
      </c>
      <c r="H22" s="4">
        <f>E22+H4+H13+H16+H19+H21</f>
        <v>15452</v>
      </c>
      <c r="I22" s="4">
        <f>F22+I4+I13+I16+I19+I21</f>
        <v>11120</v>
      </c>
      <c r="J22" s="1"/>
      <c r="K22" s="4">
        <f>H22+K4+K13+K16+K19+K21</f>
        <v>17113</v>
      </c>
      <c r="L22" s="4">
        <f>I22+L4+L13+L16+L19+L21</f>
        <v>10962</v>
      </c>
      <c r="N22" s="4">
        <f>K22+N4+N13+N16+N19+N21</f>
        <v>18556.215</v>
      </c>
      <c r="O22" s="4">
        <f>L22+O4+O13+O16+O19+O21</f>
        <v>11888.415000000001</v>
      </c>
      <c r="Q22" s="4">
        <f>N22+Q4+Q13+Q16+Q19+Q21</f>
        <v>20398.4365</v>
      </c>
      <c r="R22" s="4">
        <f>O22+R4+R13+R16+R19+R21</f>
        <v>12893.575275000001</v>
      </c>
      <c r="T22" s="4">
        <f>Q22+T4+T13+T16+T19+T21</f>
        <v>22424.880150000001</v>
      </c>
      <c r="U22" s="4">
        <f>R22+U4+U13+U16+U19+U21</f>
        <v>13984.174173375</v>
      </c>
      <c r="W22" s="4">
        <f>T22+W4+W13+W16+W19+W21</f>
        <v>24653.968165000002</v>
      </c>
      <c r="X22" s="4">
        <f>U22+X4+X13+X16+X19+X21</f>
        <v>15167.473978111875</v>
      </c>
      <c r="Z22" s="4">
        <f>W22+Z4+Z13+Z16+Z19+Z21</f>
        <v>27105.964981500001</v>
      </c>
      <c r="AA22" s="4">
        <f>X22+AA4+AA13+AA16+AA19+AA21</f>
        <v>16451.354266251386</v>
      </c>
      <c r="AC22" s="4">
        <f>Z22+AC4+AC13+AC16+AC19+AC21</f>
        <v>29803.161479650003</v>
      </c>
    </row>
    <row r="23" spans="2:29" x14ac:dyDescent="0.3">
      <c r="K23" s="6">
        <f>K22/H22-1</f>
        <v>0.10749417551126061</v>
      </c>
      <c r="L23" s="6">
        <f>L22/I22-1</f>
        <v>-1.4208633093525158E-2</v>
      </c>
      <c r="N23" s="6">
        <f>N22/K22-1</f>
        <v>8.433442412201253E-2</v>
      </c>
      <c r="O23" s="6">
        <f>O22/L22-1</f>
        <v>8.4511494252873742E-2</v>
      </c>
      <c r="Q23" s="6">
        <f>Q22/N22-1</f>
        <v>9.9277869975100019E-2</v>
      </c>
      <c r="R23" s="6">
        <f>R22/O22-1</f>
        <v>8.4549561484857261E-2</v>
      </c>
      <c r="T23" s="6">
        <f>T22/Q22-1</f>
        <v>9.934308690766569E-2</v>
      </c>
      <c r="U23" s="6">
        <f>U22/R22-1</f>
        <v>8.4584676873110221E-2</v>
      </c>
      <c r="W23" s="6">
        <f>W22/T22-1</f>
        <v>9.9402449426245987E-2</v>
      </c>
      <c r="X23" s="6">
        <f>X22/U22-1</f>
        <v>8.4617067126480983E-2</v>
      </c>
      <c r="Z23" s="6">
        <f>Z22/W22-1</f>
        <v>9.9456476948849737E-2</v>
      </c>
      <c r="AA23" s="6">
        <f>AA22/X22-1</f>
        <v>8.4646941869969572E-2</v>
      </c>
      <c r="AC23" s="6">
        <f>AC22/Z22-1</f>
        <v>9.9505643868087912E-2</v>
      </c>
    </row>
    <row r="24" spans="2:29" x14ac:dyDescent="0.3">
      <c r="B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9F66-E392-4D5C-AC75-9AC2BE95D0F6}">
  <dimension ref="B2:AC23"/>
  <sheetViews>
    <sheetView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N4" sqref="N4:AC23"/>
    </sheetView>
  </sheetViews>
  <sheetFormatPr defaultRowHeight="14.4" x14ac:dyDescent="0.3"/>
  <cols>
    <col min="1" max="1" width="1.77734375" customWidth="1"/>
  </cols>
  <sheetData>
    <row r="2" spans="2:29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29" x14ac:dyDescent="0.3">
      <c r="B3" s="1" t="s">
        <v>12</v>
      </c>
    </row>
    <row r="4" spans="2:29" x14ac:dyDescent="0.3">
      <c r="B4" t="s">
        <v>141</v>
      </c>
      <c r="H4">
        <v>754</v>
      </c>
      <c r="I4">
        <v>88</v>
      </c>
      <c r="K4">
        <v>11</v>
      </c>
      <c r="L4">
        <v>-64</v>
      </c>
      <c r="N4">
        <f>N5*K22</f>
        <v>536.96</v>
      </c>
      <c r="O4">
        <f>O5*L22</f>
        <v>326.72000000000003</v>
      </c>
      <c r="Q4">
        <f>Q5*N22</f>
        <v>582.60160000000008</v>
      </c>
      <c r="R4">
        <f>R5*O22</f>
        <v>354.49120000000005</v>
      </c>
      <c r="T4">
        <f>T5*Q22</f>
        <v>640.86176000000012</v>
      </c>
      <c r="U4">
        <f>U5*R22</f>
        <v>384.622952</v>
      </c>
      <c r="W4">
        <f>W5*T22</f>
        <v>704.94793600000003</v>
      </c>
      <c r="X4">
        <f>X5*U22</f>
        <v>417.31590292000004</v>
      </c>
      <c r="Z4">
        <f>Z5*W22</f>
        <v>775.44272960000001</v>
      </c>
      <c r="AA4">
        <f>AA5*X22</f>
        <v>452.78775466820002</v>
      </c>
      <c r="AC4">
        <f>AC5*Z22</f>
        <v>852.98700255999995</v>
      </c>
    </row>
    <row r="5" spans="2:29" s="5" customFormat="1" x14ac:dyDescent="0.3">
      <c r="B5" s="5" t="s">
        <v>142</v>
      </c>
      <c r="I5" s="7">
        <v>0.03</v>
      </c>
      <c r="K5" s="7">
        <f>K4/H22</f>
        <v>1.8184823937840966E-3</v>
      </c>
      <c r="L5" s="7">
        <f>L4/I22</f>
        <v>-1.5425403711737768E-2</v>
      </c>
      <c r="N5" s="7">
        <f>N8+N11</f>
        <v>0.08</v>
      </c>
      <c r="O5" s="7">
        <f>O8+O11</f>
        <v>0.08</v>
      </c>
      <c r="Q5" s="7">
        <f>Q8+Q11</f>
        <v>0.08</v>
      </c>
      <c r="R5" s="7">
        <f>R8+R11</f>
        <v>0.08</v>
      </c>
      <c r="T5" s="7">
        <f>T8+T11</f>
        <v>0.08</v>
      </c>
      <c r="U5" s="7">
        <f>U8+U11</f>
        <v>0.08</v>
      </c>
      <c r="W5" s="7">
        <f>W8+W11</f>
        <v>0.08</v>
      </c>
      <c r="X5" s="7">
        <f>X8+X11</f>
        <v>0.08</v>
      </c>
      <c r="Z5" s="7">
        <f>Z8+Z11</f>
        <v>0.08</v>
      </c>
      <c r="AA5" s="7">
        <f>AA8+AA11</f>
        <v>0.08</v>
      </c>
      <c r="AC5" s="7">
        <f>AC8+AC11</f>
        <v>0.08</v>
      </c>
    </row>
    <row r="7" spans="2:29" x14ac:dyDescent="0.3">
      <c r="B7" t="s">
        <v>148</v>
      </c>
      <c r="L7">
        <v>-124.47</v>
      </c>
    </row>
    <row r="8" spans="2:29" s="5" customFormat="1" x14ac:dyDescent="0.3">
      <c r="B8" s="5" t="s">
        <v>149</v>
      </c>
      <c r="L8" s="7">
        <f>L7/I22</f>
        <v>-0.03</v>
      </c>
      <c r="N8" s="10">
        <v>0.04</v>
      </c>
      <c r="O8" s="10">
        <v>0.04</v>
      </c>
      <c r="Q8" s="10">
        <v>0.04</v>
      </c>
      <c r="R8" s="10">
        <v>0.04</v>
      </c>
      <c r="T8" s="10">
        <v>0.04</v>
      </c>
      <c r="U8" s="10">
        <v>0.04</v>
      </c>
      <c r="W8" s="10">
        <v>0.04</v>
      </c>
      <c r="X8" s="10">
        <v>0.04</v>
      </c>
      <c r="Z8" s="10">
        <v>0.04</v>
      </c>
      <c r="AA8" s="10">
        <v>0.04</v>
      </c>
      <c r="AC8" s="10">
        <v>0.04</v>
      </c>
    </row>
    <row r="10" spans="2:29" x14ac:dyDescent="0.3">
      <c r="B10" t="s">
        <v>150</v>
      </c>
      <c r="L10">
        <f>L11*I22</f>
        <v>41.49</v>
      </c>
    </row>
    <row r="11" spans="2:29" s="5" customFormat="1" x14ac:dyDescent="0.3">
      <c r="B11" s="5" t="s">
        <v>151</v>
      </c>
      <c r="L11" s="7">
        <v>0.01</v>
      </c>
      <c r="N11" s="10">
        <v>0.04</v>
      </c>
      <c r="O11" s="10">
        <v>0.04</v>
      </c>
      <c r="Q11" s="10">
        <v>0.04</v>
      </c>
      <c r="R11" s="10">
        <v>0.04</v>
      </c>
      <c r="T11" s="10">
        <v>0.04</v>
      </c>
      <c r="U11" s="10">
        <v>0.04</v>
      </c>
      <c r="W11" s="10">
        <v>0.04</v>
      </c>
      <c r="X11" s="10">
        <v>0.04</v>
      </c>
      <c r="Z11" s="10">
        <v>0.04</v>
      </c>
      <c r="AA11" s="10">
        <v>0.04</v>
      </c>
      <c r="AC11" s="10">
        <v>0.04</v>
      </c>
    </row>
    <row r="13" spans="2:29" x14ac:dyDescent="0.3">
      <c r="B13" t="s">
        <v>131</v>
      </c>
      <c r="H13">
        <v>97</v>
      </c>
      <c r="I13">
        <v>452</v>
      </c>
      <c r="K13">
        <v>678</v>
      </c>
      <c r="L13">
        <v>-3</v>
      </c>
      <c r="N13">
        <f>N14*K22</f>
        <v>0</v>
      </c>
      <c r="O13">
        <f>O14*L22</f>
        <v>0</v>
      </c>
      <c r="Q13">
        <f>Q14*N22</f>
        <v>0</v>
      </c>
      <c r="R13">
        <f>R14*O22</f>
        <v>0</v>
      </c>
      <c r="T13">
        <f>T14*Q22</f>
        <v>0</v>
      </c>
      <c r="U13">
        <f>U14*R22</f>
        <v>0</v>
      </c>
      <c r="W13">
        <f>W14*T22</f>
        <v>0</v>
      </c>
      <c r="X13">
        <f>X14*U22</f>
        <v>0</v>
      </c>
      <c r="Z13">
        <f>Z14*W22</f>
        <v>0</v>
      </c>
      <c r="AA13">
        <f>AA14*X22</f>
        <v>0</v>
      </c>
      <c r="AC13">
        <f>AC14*Z22</f>
        <v>0</v>
      </c>
    </row>
    <row r="14" spans="2:29" x14ac:dyDescent="0.3">
      <c r="B14" s="5" t="s">
        <v>143</v>
      </c>
      <c r="K14" s="7">
        <f>K13/H22</f>
        <v>0.11208464208960159</v>
      </c>
      <c r="L14" s="7">
        <f>L13/I22</f>
        <v>-7.2306579898770787E-4</v>
      </c>
      <c r="N14" s="10">
        <v>0</v>
      </c>
      <c r="O14" s="10">
        <v>0</v>
      </c>
      <c r="Q14" s="10">
        <v>0</v>
      </c>
      <c r="R14" s="10">
        <v>0</v>
      </c>
      <c r="T14" s="10">
        <v>0</v>
      </c>
      <c r="U14" s="10">
        <v>0</v>
      </c>
      <c r="W14" s="10">
        <v>0</v>
      </c>
      <c r="X14" s="10">
        <v>0</v>
      </c>
      <c r="Z14" s="10">
        <v>0</v>
      </c>
      <c r="AA14" s="10">
        <v>0</v>
      </c>
      <c r="AC14" s="10">
        <v>0</v>
      </c>
    </row>
    <row r="16" spans="2:29" x14ac:dyDescent="0.3">
      <c r="B16" t="s">
        <v>144</v>
      </c>
      <c r="H16">
        <v>34</v>
      </c>
      <c r="I16">
        <v>13</v>
      </c>
      <c r="K16">
        <v>20</v>
      </c>
      <c r="L16">
        <v>2</v>
      </c>
      <c r="N16">
        <f>N17*K22</f>
        <v>33.56</v>
      </c>
      <c r="O16">
        <f>O17*L22</f>
        <v>20.420000000000002</v>
      </c>
      <c r="Q16">
        <f>Q17*N22</f>
        <v>145.65040000000002</v>
      </c>
      <c r="R16">
        <f>R17*O22</f>
        <v>22.155700000000003</v>
      </c>
      <c r="T16">
        <f>T17*Q22</f>
        <v>160.21544000000003</v>
      </c>
      <c r="U16">
        <f>U17*R22</f>
        <v>24.0389345</v>
      </c>
      <c r="W16">
        <f>W17*T22</f>
        <v>176.23698400000001</v>
      </c>
      <c r="X16">
        <f>X17*U22</f>
        <v>26.082243932500003</v>
      </c>
      <c r="Z16">
        <f>Z17*W22</f>
        <v>193.8606824</v>
      </c>
      <c r="AA16">
        <f>AA17*X22</f>
        <v>28.299234666762501</v>
      </c>
      <c r="AC16">
        <f>AC17*Z22</f>
        <v>213.24675063999999</v>
      </c>
    </row>
    <row r="17" spans="2:29" x14ac:dyDescent="0.3">
      <c r="B17" s="5" t="s">
        <v>145</v>
      </c>
      <c r="K17" s="7">
        <f>K16/H22</f>
        <v>3.3063316250619935E-3</v>
      </c>
      <c r="L17" s="7">
        <f>L16/I22</f>
        <v>4.8204386599180526E-4</v>
      </c>
      <c r="N17" s="10">
        <v>5.0000000000000001E-3</v>
      </c>
      <c r="O17" s="10">
        <v>5.0000000000000001E-3</v>
      </c>
      <c r="Q17" s="10">
        <v>0.02</v>
      </c>
      <c r="R17" s="10">
        <v>5.0000000000000001E-3</v>
      </c>
      <c r="T17" s="10">
        <v>0.02</v>
      </c>
      <c r="U17" s="10">
        <v>5.0000000000000001E-3</v>
      </c>
      <c r="W17" s="10">
        <v>0.02</v>
      </c>
      <c r="X17" s="10">
        <v>5.0000000000000001E-3</v>
      </c>
      <c r="Z17" s="10">
        <v>0.02</v>
      </c>
      <c r="AA17" s="10">
        <v>5.0000000000000001E-3</v>
      </c>
      <c r="AC17" s="10">
        <v>0.02</v>
      </c>
    </row>
    <row r="19" spans="2:29" x14ac:dyDescent="0.3">
      <c r="B19" t="s">
        <v>146</v>
      </c>
      <c r="K19">
        <v>0</v>
      </c>
      <c r="L19">
        <v>0</v>
      </c>
    </row>
    <row r="20" spans="2:29" x14ac:dyDescent="0.3">
      <c r="B20" s="5" t="s">
        <v>153</v>
      </c>
    </row>
    <row r="21" spans="2:29" x14ac:dyDescent="0.3">
      <c r="H21">
        <v>-46</v>
      </c>
      <c r="I21">
        <f>4149-3517</f>
        <v>632</v>
      </c>
      <c r="K21">
        <v>-46</v>
      </c>
    </row>
    <row r="22" spans="2:29" x14ac:dyDescent="0.3">
      <c r="B22" s="1" t="s">
        <v>152</v>
      </c>
      <c r="E22">
        <v>5210</v>
      </c>
      <c r="F22">
        <v>2964</v>
      </c>
      <c r="H22" s="4">
        <f>E22+H4+H13+H16+H19+H21</f>
        <v>6049</v>
      </c>
      <c r="I22" s="4">
        <f>F22+I4+I13+I16+I19+I21</f>
        <v>4149</v>
      </c>
      <c r="K22" s="4">
        <f>H22+K4+K13+K16+K19+K21</f>
        <v>6712</v>
      </c>
      <c r="L22" s="4">
        <f>I22+L4+L13+L16+L19+L21</f>
        <v>4084</v>
      </c>
      <c r="N22" s="4">
        <f>N4+N13+N16+K22</f>
        <v>7282.52</v>
      </c>
      <c r="O22" s="4">
        <f>O4+O13+O16+L22</f>
        <v>4431.1400000000003</v>
      </c>
      <c r="Q22" s="4">
        <f>Q4+Q13+Q16+N22</f>
        <v>8010.7720000000008</v>
      </c>
      <c r="R22" s="4">
        <f>R4+R13+R16+O22</f>
        <v>4807.7869000000001</v>
      </c>
      <c r="T22" s="4">
        <f>T4+T13+T16+Q22</f>
        <v>8811.8492000000006</v>
      </c>
      <c r="U22" s="4">
        <f>U4+U13+U16+R22</f>
        <v>5216.4487865000001</v>
      </c>
      <c r="W22" s="4">
        <f>W4+W13+W16+T22</f>
        <v>9693.0341200000003</v>
      </c>
      <c r="X22" s="4">
        <f>X4+X13+X16+U22</f>
        <v>5659.8469333524999</v>
      </c>
      <c r="Z22" s="4">
        <f>Z4+Z13+Z16+W22</f>
        <v>10662.337532</v>
      </c>
      <c r="AA22" s="4">
        <f>AA4+AA13+AA16+X22</f>
        <v>6140.9339226874627</v>
      </c>
      <c r="AC22" s="4">
        <f>AC4+AC13+AC16+Z22</f>
        <v>11728.5712852</v>
      </c>
    </row>
    <row r="23" spans="2:29" x14ac:dyDescent="0.3">
      <c r="K23" s="7">
        <f>K22/H22-1</f>
        <v>0.10960489337080515</v>
      </c>
      <c r="L23" s="7">
        <f>L22/I22-1</f>
        <v>-1.5666425644733639E-2</v>
      </c>
      <c r="N23" s="7">
        <f>N22/K22-1</f>
        <v>8.4999999999999964E-2</v>
      </c>
      <c r="O23" s="7">
        <f>O22/L22-1</f>
        <v>8.5000000000000187E-2</v>
      </c>
      <c r="Q23" s="7">
        <f>Q22/N22-1</f>
        <v>0.10000000000000009</v>
      </c>
      <c r="R23" s="7">
        <f>R22/O22-1</f>
        <v>8.4999999999999964E-2</v>
      </c>
      <c r="T23" s="7">
        <f>T22/Q22-1</f>
        <v>9.9999999999999867E-2</v>
      </c>
      <c r="U23" s="7">
        <f>U22/R22-1</f>
        <v>8.4999999999999964E-2</v>
      </c>
      <c r="W23" s="7">
        <f>W22/T22-1</f>
        <v>9.9999999999999867E-2</v>
      </c>
      <c r="X23" s="7">
        <f>X22/U22-1</f>
        <v>8.4999999999999964E-2</v>
      </c>
      <c r="Z23" s="7">
        <f>Z22/W22-1</f>
        <v>9.9999999999999867E-2</v>
      </c>
      <c r="AA23" s="7">
        <f>AA22/X22-1</f>
        <v>8.4999999999999964E-2</v>
      </c>
      <c r="AC23" s="7">
        <f>AC22/Z22-1</f>
        <v>0.10000000000000009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57D4-BCD5-4778-B611-EF6165AC3DFF}">
  <dimension ref="B2:AC23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N4" sqref="N4:AC23"/>
    </sheetView>
  </sheetViews>
  <sheetFormatPr defaultRowHeight="14.4" x14ac:dyDescent="0.3"/>
  <cols>
    <col min="1" max="1" width="3.44140625" customWidth="1"/>
  </cols>
  <sheetData>
    <row r="2" spans="2:29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29" x14ac:dyDescent="0.3">
      <c r="B3" s="1" t="s">
        <v>12</v>
      </c>
    </row>
    <row r="4" spans="2:29" x14ac:dyDescent="0.3">
      <c r="B4" t="s">
        <v>141</v>
      </c>
      <c r="H4">
        <v>766</v>
      </c>
      <c r="I4">
        <v>164</v>
      </c>
      <c r="K4">
        <v>347</v>
      </c>
      <c r="L4">
        <v>78</v>
      </c>
      <c r="N4">
        <f>N5*K22</f>
        <v>285.52</v>
      </c>
      <c r="O4">
        <f>O5*L22</f>
        <v>205.20000000000002</v>
      </c>
      <c r="Q4">
        <f>Q5*N22</f>
        <v>309.78919999999999</v>
      </c>
      <c r="R4">
        <f>R5*O22</f>
        <v>222.64200000000002</v>
      </c>
      <c r="T4">
        <f>T5*Q22</f>
        <v>340.76812000000001</v>
      </c>
      <c r="U4">
        <f>U5*R22</f>
        <v>241.56656999999998</v>
      </c>
      <c r="W4">
        <f>W5*T22</f>
        <v>374.84493199999997</v>
      </c>
      <c r="X4">
        <f>X5*U22</f>
        <v>262.09972844999999</v>
      </c>
      <c r="Z4">
        <f>Z5*W22</f>
        <v>412.3294252</v>
      </c>
      <c r="AA4">
        <f>AA5*X22</f>
        <v>284.37820536825001</v>
      </c>
      <c r="AC4">
        <f>AC5*Z22</f>
        <v>453.56236772</v>
      </c>
    </row>
    <row r="5" spans="2:29" x14ac:dyDescent="0.3">
      <c r="B5" s="5" t="s">
        <v>142</v>
      </c>
      <c r="I5" s="6">
        <v>0.1</v>
      </c>
      <c r="K5" s="6">
        <f>K4/H22</f>
        <v>0.10803237858032379</v>
      </c>
      <c r="L5" s="6">
        <f>L4/I22</f>
        <v>3.3347584437793926E-2</v>
      </c>
      <c r="N5" s="7">
        <f>N8+N11</f>
        <v>0.08</v>
      </c>
      <c r="O5" s="7">
        <f>O8+O11</f>
        <v>0.08</v>
      </c>
      <c r="P5" s="5"/>
      <c r="Q5" s="7">
        <f>Q8+Q11</f>
        <v>0.08</v>
      </c>
      <c r="R5" s="7">
        <f>R8+R11</f>
        <v>0.08</v>
      </c>
      <c r="S5" s="5"/>
      <c r="T5" s="7">
        <f>T8+T11</f>
        <v>0.08</v>
      </c>
      <c r="U5" s="7">
        <f>U8+U11</f>
        <v>0.08</v>
      </c>
      <c r="V5" s="5"/>
      <c r="W5" s="7">
        <f>W8+W11</f>
        <v>0.08</v>
      </c>
      <c r="X5" s="7">
        <f>X8+X11</f>
        <v>0.08</v>
      </c>
      <c r="Y5" s="5"/>
      <c r="Z5" s="7">
        <f>Z8+Z11</f>
        <v>0.08</v>
      </c>
      <c r="AA5" s="7">
        <f>AA8+AA11</f>
        <v>0.08</v>
      </c>
      <c r="AB5" s="5"/>
      <c r="AC5" s="7">
        <f>AC8+AC11</f>
        <v>0.08</v>
      </c>
    </row>
    <row r="7" spans="2:29" x14ac:dyDescent="0.3">
      <c r="B7" t="s">
        <v>148</v>
      </c>
    </row>
    <row r="8" spans="2:29" x14ac:dyDescent="0.3">
      <c r="B8" s="5" t="s">
        <v>149</v>
      </c>
      <c r="L8" s="6">
        <v>-0.04</v>
      </c>
      <c r="N8" s="10">
        <v>0.04</v>
      </c>
      <c r="O8" s="10">
        <v>0.04</v>
      </c>
      <c r="P8" s="5"/>
      <c r="Q8" s="10">
        <v>0.04</v>
      </c>
      <c r="R8" s="10">
        <v>0.04</v>
      </c>
      <c r="S8" s="5"/>
      <c r="T8" s="10">
        <v>0.04</v>
      </c>
      <c r="U8" s="10">
        <v>0.04</v>
      </c>
      <c r="V8" s="5"/>
      <c r="W8" s="10">
        <v>0.04</v>
      </c>
      <c r="X8" s="10">
        <v>0.04</v>
      </c>
      <c r="Y8" s="5"/>
      <c r="Z8" s="10">
        <v>0.04</v>
      </c>
      <c r="AA8" s="10">
        <v>0.04</v>
      </c>
      <c r="AB8" s="5"/>
      <c r="AC8" s="10">
        <v>0.04</v>
      </c>
    </row>
    <row r="10" spans="2:29" x14ac:dyDescent="0.3">
      <c r="B10" t="s">
        <v>150</v>
      </c>
    </row>
    <row r="11" spans="2:29" x14ac:dyDescent="0.3">
      <c r="B11" s="5" t="s">
        <v>151</v>
      </c>
      <c r="L11" s="6">
        <v>7.0000000000000007E-2</v>
      </c>
      <c r="N11" s="10">
        <v>0.04</v>
      </c>
      <c r="O11" s="10">
        <v>0.04</v>
      </c>
      <c r="P11" s="5"/>
      <c r="Q11" s="10">
        <v>0.04</v>
      </c>
      <c r="R11" s="10">
        <v>0.04</v>
      </c>
      <c r="S11" s="5"/>
      <c r="T11" s="10">
        <v>0.04</v>
      </c>
      <c r="U11" s="10">
        <v>0.04</v>
      </c>
      <c r="V11" s="5"/>
      <c r="W11" s="10">
        <v>0.04</v>
      </c>
      <c r="X11" s="10">
        <v>0.04</v>
      </c>
      <c r="Y11" s="5"/>
      <c r="Z11" s="10">
        <v>0.04</v>
      </c>
      <c r="AA11" s="10">
        <v>0.04</v>
      </c>
      <c r="AB11" s="5"/>
      <c r="AC11" s="10">
        <v>0.04</v>
      </c>
    </row>
    <row r="13" spans="2:29" x14ac:dyDescent="0.3">
      <c r="B13" t="s">
        <v>131</v>
      </c>
      <c r="H13">
        <v>-304</v>
      </c>
      <c r="I13">
        <v>-13</v>
      </c>
      <c r="K13">
        <v>-41</v>
      </c>
      <c r="L13">
        <v>5</v>
      </c>
      <c r="N13">
        <f>N14*K22</f>
        <v>0</v>
      </c>
      <c r="O13">
        <f>O14*L22</f>
        <v>0</v>
      </c>
      <c r="Q13">
        <f>Q14*N22</f>
        <v>0</v>
      </c>
      <c r="R13">
        <f>R14*O22</f>
        <v>0</v>
      </c>
      <c r="T13">
        <f>T14*Q22</f>
        <v>0</v>
      </c>
      <c r="U13">
        <f>U14*R22</f>
        <v>0</v>
      </c>
      <c r="W13">
        <f>W14*T22</f>
        <v>0</v>
      </c>
      <c r="X13">
        <f>X14*U22</f>
        <v>0</v>
      </c>
      <c r="Z13">
        <f>Z14*W22</f>
        <v>0</v>
      </c>
      <c r="AA13">
        <f>AA14*X22</f>
        <v>0</v>
      </c>
      <c r="AC13">
        <f>AC14*Z22</f>
        <v>0</v>
      </c>
    </row>
    <row r="14" spans="2:29" x14ac:dyDescent="0.3">
      <c r="B14" s="5" t="s">
        <v>143</v>
      </c>
      <c r="K14" s="6">
        <f>K13/H22</f>
        <v>-1.2764632627646327E-2</v>
      </c>
      <c r="L14" s="6">
        <f>L13/I22</f>
        <v>2.1376656690893546E-3</v>
      </c>
      <c r="N14" s="10">
        <v>0</v>
      </c>
      <c r="O14" s="10">
        <v>0</v>
      </c>
      <c r="Q14" s="10">
        <v>0</v>
      </c>
      <c r="R14" s="10">
        <v>0</v>
      </c>
      <c r="T14" s="10">
        <v>0</v>
      </c>
      <c r="U14" s="10">
        <v>0</v>
      </c>
      <c r="W14" s="10">
        <v>0</v>
      </c>
      <c r="X14" s="10">
        <v>0</v>
      </c>
      <c r="Z14" s="10">
        <v>0</v>
      </c>
      <c r="AA14" s="10">
        <v>0</v>
      </c>
      <c r="AC14" s="10">
        <v>0</v>
      </c>
    </row>
    <row r="16" spans="2:29" x14ac:dyDescent="0.3">
      <c r="B16" t="s">
        <v>144</v>
      </c>
      <c r="H16">
        <v>23</v>
      </c>
      <c r="I16">
        <v>-9</v>
      </c>
      <c r="K16">
        <v>20</v>
      </c>
      <c r="L16">
        <v>20</v>
      </c>
      <c r="N16">
        <f>N17*K22</f>
        <v>17.844999999999999</v>
      </c>
      <c r="O16">
        <f>O17*L22</f>
        <v>12.825000000000001</v>
      </c>
      <c r="Q16">
        <f>Q17*N22</f>
        <v>77.447299999999998</v>
      </c>
      <c r="R16">
        <f>R17*O22</f>
        <v>13.915125000000002</v>
      </c>
      <c r="T16">
        <f>T17*Q22</f>
        <v>85.192030000000003</v>
      </c>
      <c r="U16">
        <f>U17*R22</f>
        <v>15.097910624999999</v>
      </c>
      <c r="W16">
        <f>W17*T22</f>
        <v>93.711232999999993</v>
      </c>
      <c r="X16">
        <f>X17*U22</f>
        <v>16.381233028124999</v>
      </c>
      <c r="Z16">
        <f>Z17*W22</f>
        <v>103.0823563</v>
      </c>
      <c r="AA16">
        <f>AA17*X22</f>
        <v>17.773637835515625</v>
      </c>
      <c r="AC16">
        <f>AC17*Z22</f>
        <v>113.39059193</v>
      </c>
    </row>
    <row r="17" spans="2:29" x14ac:dyDescent="0.3">
      <c r="B17" s="5" t="s">
        <v>145</v>
      </c>
      <c r="K17" s="6">
        <f>K16/H22</f>
        <v>6.2266500622665004E-3</v>
      </c>
      <c r="L17" s="6">
        <f>L16/I22</f>
        <v>8.5506626763574185E-3</v>
      </c>
      <c r="N17" s="10">
        <v>5.0000000000000001E-3</v>
      </c>
      <c r="O17" s="10">
        <v>5.0000000000000001E-3</v>
      </c>
      <c r="Q17" s="10">
        <v>0.02</v>
      </c>
      <c r="R17" s="10">
        <v>5.0000000000000001E-3</v>
      </c>
      <c r="T17" s="10">
        <v>0.02</v>
      </c>
      <c r="U17" s="10">
        <v>5.0000000000000001E-3</v>
      </c>
      <c r="W17" s="10">
        <v>0.02</v>
      </c>
      <c r="X17" s="10">
        <v>5.0000000000000001E-3</v>
      </c>
      <c r="Z17" s="10">
        <v>0.02</v>
      </c>
      <c r="AA17" s="10">
        <v>5.0000000000000001E-3</v>
      </c>
      <c r="AC17" s="10">
        <v>0.02</v>
      </c>
    </row>
    <row r="19" spans="2:29" x14ac:dyDescent="0.3">
      <c r="B19" t="s">
        <v>146</v>
      </c>
      <c r="H19">
        <v>189</v>
      </c>
      <c r="I19">
        <v>85</v>
      </c>
      <c r="K19">
        <v>175</v>
      </c>
      <c r="L19">
        <v>123</v>
      </c>
    </row>
    <row r="20" spans="2:29" x14ac:dyDescent="0.3">
      <c r="B20" s="5" t="s">
        <v>153</v>
      </c>
    </row>
    <row r="21" spans="2:29" x14ac:dyDescent="0.3">
      <c r="I21">
        <v>360</v>
      </c>
      <c r="K21">
        <v>-144</v>
      </c>
    </row>
    <row r="22" spans="2:29" x14ac:dyDescent="0.3">
      <c r="B22" s="1" t="s">
        <v>152</v>
      </c>
      <c r="E22">
        <v>2538</v>
      </c>
      <c r="F22">
        <v>1752</v>
      </c>
      <c r="H22" s="4">
        <v>3212</v>
      </c>
      <c r="I22" s="4">
        <f>F22+I4+I13+I16+I19+I21</f>
        <v>2339</v>
      </c>
      <c r="K22" s="4">
        <f>H22+K4+K13+K16+K19+K21</f>
        <v>3569</v>
      </c>
      <c r="L22" s="4">
        <f>I22+L4+L13+L16+L19+L21</f>
        <v>2565</v>
      </c>
      <c r="N22" s="4">
        <f>N4+N13+N16+K22</f>
        <v>3872.3649999999998</v>
      </c>
      <c r="O22" s="4">
        <f>O4+O13+O16+L22</f>
        <v>2783.0250000000001</v>
      </c>
      <c r="Q22" s="4">
        <f>Q4+Q13+Q16+N22</f>
        <v>4259.6014999999998</v>
      </c>
      <c r="R22" s="4">
        <f>R4+R13+R16+O22</f>
        <v>3019.5821249999999</v>
      </c>
      <c r="T22" s="4">
        <f>T4+T13+T16+Q22</f>
        <v>4685.5616499999996</v>
      </c>
      <c r="U22" s="4">
        <f>U4+U13+U16+R22</f>
        <v>3276.246605625</v>
      </c>
      <c r="W22" s="4">
        <f>W4+W13+W16+T22</f>
        <v>5154.1178149999996</v>
      </c>
      <c r="X22" s="4">
        <f>X4+X13+X16+U22</f>
        <v>3554.7275671031248</v>
      </c>
      <c r="Z22" s="4">
        <f>Z4+Z13+Z16+W22</f>
        <v>5669.5295964999996</v>
      </c>
      <c r="AA22" s="4">
        <f>AA4+AA13+AA16+X22</f>
        <v>3856.8794103068903</v>
      </c>
      <c r="AC22" s="4">
        <f>AC4+AC13+AC16+Z22</f>
        <v>6236.4825561499993</v>
      </c>
    </row>
    <row r="23" spans="2:29" x14ac:dyDescent="0.3">
      <c r="K23" s="6">
        <f>K22/H22-1</f>
        <v>0.11114570361145693</v>
      </c>
      <c r="L23" s="6">
        <f>L22/I22-1</f>
        <v>9.6622488242838811E-2</v>
      </c>
      <c r="N23" s="7">
        <f>N22/K22-1</f>
        <v>8.4999999999999964E-2</v>
      </c>
      <c r="O23" s="7">
        <f>O22/L22-1</f>
        <v>8.4999999999999964E-2</v>
      </c>
      <c r="Q23" s="7">
        <f>Q22/N22-1</f>
        <v>0.10000000000000009</v>
      </c>
      <c r="R23" s="7">
        <f>R22/O22-1</f>
        <v>8.4999999999999964E-2</v>
      </c>
      <c r="T23" s="7">
        <f>T22/Q22-1</f>
        <v>0.10000000000000009</v>
      </c>
      <c r="U23" s="7">
        <f>U22/R22-1</f>
        <v>8.4999999999999964E-2</v>
      </c>
      <c r="W23" s="7">
        <f>W22/T22-1</f>
        <v>0.10000000000000009</v>
      </c>
      <c r="X23" s="7">
        <f>X22/U22-1</f>
        <v>8.4999999999999964E-2</v>
      </c>
      <c r="Z23" s="7">
        <f>Z22/W22-1</f>
        <v>0.10000000000000009</v>
      </c>
      <c r="AA23" s="7">
        <f>AA22/X22-1</f>
        <v>8.4999999999999964E-2</v>
      </c>
      <c r="AC23" s="7">
        <f>AC22/Z22-1</f>
        <v>9.9999999999999867E-2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C90D-D0F5-42F8-BD61-04E124CD26BE}">
  <dimension ref="B2:AC23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N4" sqref="N4:AC23"/>
    </sheetView>
  </sheetViews>
  <sheetFormatPr defaultRowHeight="14.4" x14ac:dyDescent="0.3"/>
  <cols>
    <col min="1" max="1" width="3.44140625" customWidth="1"/>
  </cols>
  <sheetData>
    <row r="2" spans="2:29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29" x14ac:dyDescent="0.3">
      <c r="B3" s="1" t="s">
        <v>12</v>
      </c>
    </row>
    <row r="4" spans="2:29" x14ac:dyDescent="0.3">
      <c r="B4" t="s">
        <v>141</v>
      </c>
      <c r="H4">
        <v>402</v>
      </c>
      <c r="I4">
        <v>250</v>
      </c>
      <c r="K4">
        <v>353</v>
      </c>
      <c r="L4">
        <v>125</v>
      </c>
      <c r="N4">
        <f>N5*K22</f>
        <v>256</v>
      </c>
      <c r="O4">
        <f>O5*L22</f>
        <v>176.48</v>
      </c>
      <c r="Q4">
        <f>Q5*N22</f>
        <v>277.76</v>
      </c>
      <c r="R4">
        <f>R5*O22</f>
        <v>191.48080000000002</v>
      </c>
      <c r="T4">
        <f>T5*Q22</f>
        <v>305.536</v>
      </c>
      <c r="U4">
        <f>U5*R22</f>
        <v>207.75666800000002</v>
      </c>
      <c r="W4">
        <f>W5*T22</f>
        <v>336.08960000000002</v>
      </c>
      <c r="X4">
        <f>X5*U22</f>
        <v>225.41598478000003</v>
      </c>
      <c r="Z4">
        <f>Z5*W22</f>
        <v>369.69855999999999</v>
      </c>
      <c r="AA4">
        <f>AA5*X22</f>
        <v>244.57634348630003</v>
      </c>
      <c r="AC4">
        <f>AC5*Z22</f>
        <v>406.66841599999998</v>
      </c>
    </row>
    <row r="5" spans="2:29" x14ac:dyDescent="0.3">
      <c r="B5" s="5" t="s">
        <v>142</v>
      </c>
      <c r="K5" s="6">
        <f>K4/H22</f>
        <v>0.12887915297553851</v>
      </c>
      <c r="L5" s="6">
        <f>L4/I22</f>
        <v>5.7630244352236057E-2</v>
      </c>
      <c r="N5" s="7">
        <f>N8+N11</f>
        <v>0.08</v>
      </c>
      <c r="O5" s="7">
        <f>O8+O11</f>
        <v>0.08</v>
      </c>
      <c r="P5" s="5"/>
      <c r="Q5" s="7">
        <f>Q8+Q11</f>
        <v>0.08</v>
      </c>
      <c r="R5" s="7">
        <f>R8+R11</f>
        <v>0.08</v>
      </c>
      <c r="S5" s="5"/>
      <c r="T5" s="7">
        <f>T8+T11</f>
        <v>0.08</v>
      </c>
      <c r="U5" s="7">
        <f>U8+U11</f>
        <v>0.08</v>
      </c>
      <c r="V5" s="5"/>
      <c r="W5" s="7">
        <f>W8+W11</f>
        <v>0.08</v>
      </c>
      <c r="X5" s="7">
        <f>X8+X11</f>
        <v>0.08</v>
      </c>
      <c r="Y5" s="5"/>
      <c r="Z5" s="7">
        <f>Z8+Z11</f>
        <v>0.08</v>
      </c>
      <c r="AA5" s="7">
        <f>AA8+AA11</f>
        <v>0.08</v>
      </c>
      <c r="AB5" s="5"/>
      <c r="AC5" s="7">
        <f>AC8+AC11</f>
        <v>0.08</v>
      </c>
    </row>
    <row r="7" spans="2:29" x14ac:dyDescent="0.3">
      <c r="B7" t="s">
        <v>148</v>
      </c>
    </row>
    <row r="8" spans="2:29" x14ac:dyDescent="0.3">
      <c r="B8" s="5" t="s">
        <v>149</v>
      </c>
      <c r="L8" s="6">
        <v>-0.02</v>
      </c>
      <c r="N8" s="10">
        <v>0.04</v>
      </c>
      <c r="O8" s="10">
        <v>0.04</v>
      </c>
      <c r="P8" s="5"/>
      <c r="Q8" s="10">
        <v>0.04</v>
      </c>
      <c r="R8" s="10">
        <v>0.04</v>
      </c>
      <c r="S8" s="5"/>
      <c r="T8" s="10">
        <v>0.04</v>
      </c>
      <c r="U8" s="10">
        <v>0.04</v>
      </c>
      <c r="V8" s="5"/>
      <c r="W8" s="10">
        <v>0.04</v>
      </c>
      <c r="X8" s="10">
        <v>0.04</v>
      </c>
      <c r="Y8" s="5"/>
      <c r="Z8" s="10">
        <v>0.04</v>
      </c>
      <c r="AA8" s="10">
        <v>0.04</v>
      </c>
      <c r="AB8" s="5"/>
      <c r="AC8" s="10">
        <v>0.04</v>
      </c>
    </row>
    <row r="10" spans="2:29" x14ac:dyDescent="0.3">
      <c r="B10" t="s">
        <v>150</v>
      </c>
    </row>
    <row r="11" spans="2:29" x14ac:dyDescent="0.3">
      <c r="B11" s="5" t="s">
        <v>151</v>
      </c>
      <c r="L11" s="6">
        <v>0.08</v>
      </c>
      <c r="N11" s="10">
        <v>0.04</v>
      </c>
      <c r="O11" s="10">
        <v>0.04</v>
      </c>
      <c r="P11" s="5"/>
      <c r="Q11" s="10">
        <v>0.04</v>
      </c>
      <c r="R11" s="10">
        <v>0.04</v>
      </c>
      <c r="S11" s="5"/>
      <c r="T11" s="10">
        <v>0.04</v>
      </c>
      <c r="U11" s="10">
        <v>0.04</v>
      </c>
      <c r="V11" s="5"/>
      <c r="W11" s="10">
        <v>0.04</v>
      </c>
      <c r="X11" s="10">
        <v>0.04</v>
      </c>
      <c r="Y11" s="5"/>
      <c r="Z11" s="10">
        <v>0.04</v>
      </c>
      <c r="AA11" s="10">
        <v>0.04</v>
      </c>
      <c r="AB11" s="5"/>
      <c r="AC11" s="10">
        <v>0.04</v>
      </c>
    </row>
    <row r="13" spans="2:29" x14ac:dyDescent="0.3">
      <c r="B13" t="s">
        <v>131</v>
      </c>
      <c r="H13">
        <v>-4</v>
      </c>
      <c r="I13">
        <v>89</v>
      </c>
      <c r="K13">
        <v>73</v>
      </c>
      <c r="L13">
        <v>-23</v>
      </c>
      <c r="N13">
        <f>N14*K22</f>
        <v>0</v>
      </c>
      <c r="O13">
        <f>O14*L22</f>
        <v>0</v>
      </c>
      <c r="Q13">
        <f>Q14*N22</f>
        <v>0</v>
      </c>
      <c r="R13">
        <f>R14*O22</f>
        <v>0</v>
      </c>
      <c r="T13">
        <f>T14*Q22</f>
        <v>0</v>
      </c>
      <c r="U13">
        <f>U14*R22</f>
        <v>0</v>
      </c>
      <c r="W13">
        <f>W14*T22</f>
        <v>0</v>
      </c>
      <c r="X13">
        <f>X14*U22</f>
        <v>0</v>
      </c>
      <c r="Z13">
        <f>Z14*W22</f>
        <v>0</v>
      </c>
      <c r="AA13">
        <f>AA14*X22</f>
        <v>0</v>
      </c>
      <c r="AC13">
        <f>AC14*Z22</f>
        <v>0</v>
      </c>
    </row>
    <row r="14" spans="2:29" x14ac:dyDescent="0.3">
      <c r="B14" s="5" t="s">
        <v>143</v>
      </c>
      <c r="K14" s="6">
        <f>K13/H22</f>
        <v>2.6652062796641111E-2</v>
      </c>
      <c r="L14" s="6">
        <f>L13/I22</f>
        <v>-1.0603964960811434E-2</v>
      </c>
      <c r="N14" s="10">
        <v>0</v>
      </c>
      <c r="O14" s="10">
        <v>0</v>
      </c>
      <c r="Q14" s="10">
        <v>0</v>
      </c>
      <c r="R14" s="10">
        <v>0</v>
      </c>
      <c r="T14" s="10">
        <v>0</v>
      </c>
      <c r="U14" s="10">
        <v>0</v>
      </c>
      <c r="W14" s="10">
        <v>0</v>
      </c>
      <c r="X14" s="10">
        <v>0</v>
      </c>
      <c r="Z14" s="10">
        <v>0</v>
      </c>
      <c r="AA14" s="10">
        <v>0</v>
      </c>
      <c r="AC14" s="10">
        <v>0</v>
      </c>
    </row>
    <row r="16" spans="2:29" x14ac:dyDescent="0.3">
      <c r="B16" t="s">
        <v>144</v>
      </c>
      <c r="I16">
        <v>-33</v>
      </c>
      <c r="K16">
        <v>35</v>
      </c>
      <c r="L16">
        <v>-65</v>
      </c>
      <c r="N16">
        <f>N17*K22</f>
        <v>16</v>
      </c>
      <c r="O16">
        <f>O17*L22</f>
        <v>11.03</v>
      </c>
      <c r="Q16">
        <f>Q17*N22</f>
        <v>69.44</v>
      </c>
      <c r="R16">
        <f>R17*O22</f>
        <v>11.967550000000001</v>
      </c>
      <c r="T16">
        <f>T17*Q22</f>
        <v>76.384</v>
      </c>
      <c r="U16">
        <f>U17*R22</f>
        <v>12.984791750000001</v>
      </c>
      <c r="W16">
        <f>W17*T22</f>
        <v>84.022400000000005</v>
      </c>
      <c r="X16">
        <f>X17*U22</f>
        <v>14.088499048750002</v>
      </c>
      <c r="Z16">
        <f>Z17*W22</f>
        <v>92.424639999999997</v>
      </c>
      <c r="AA16">
        <f>AA17*X22</f>
        <v>15.286021467893752</v>
      </c>
      <c r="AC16">
        <f>AC17*Z22</f>
        <v>101.66710399999999</v>
      </c>
    </row>
    <row r="17" spans="2:29" x14ac:dyDescent="0.3">
      <c r="B17" s="5" t="s">
        <v>145</v>
      </c>
      <c r="K17" s="6">
        <f>K16/H22</f>
        <v>1.2778386272362175E-2</v>
      </c>
      <c r="L17" s="6">
        <f>L16/I22</f>
        <v>-2.9967727063162749E-2</v>
      </c>
      <c r="N17" s="10">
        <v>5.0000000000000001E-3</v>
      </c>
      <c r="O17" s="10">
        <v>5.0000000000000001E-3</v>
      </c>
      <c r="Q17" s="10">
        <v>0.02</v>
      </c>
      <c r="R17" s="10">
        <v>5.0000000000000001E-3</v>
      </c>
      <c r="T17" s="10">
        <v>0.02</v>
      </c>
      <c r="U17" s="10">
        <v>5.0000000000000001E-3</v>
      </c>
      <c r="W17" s="10">
        <v>0.02</v>
      </c>
      <c r="X17" s="10">
        <v>5.0000000000000001E-3</v>
      </c>
      <c r="Z17" s="10">
        <v>0.02</v>
      </c>
      <c r="AA17" s="10">
        <v>5.0000000000000001E-3</v>
      </c>
      <c r="AC17" s="10">
        <v>0.02</v>
      </c>
    </row>
    <row r="19" spans="2:29" x14ac:dyDescent="0.3">
      <c r="B19" t="s">
        <v>146</v>
      </c>
    </row>
    <row r="20" spans="2:29" x14ac:dyDescent="0.3">
      <c r="B20" s="5" t="s">
        <v>153</v>
      </c>
    </row>
    <row r="21" spans="2:29" x14ac:dyDescent="0.3">
      <c r="H21">
        <f>2739-2884</f>
        <v>-145</v>
      </c>
      <c r="I21">
        <f>2169-1837</f>
        <v>332</v>
      </c>
    </row>
    <row r="22" spans="2:29" x14ac:dyDescent="0.3">
      <c r="B22" s="1" t="s">
        <v>152</v>
      </c>
      <c r="E22">
        <v>2486</v>
      </c>
      <c r="F22">
        <v>1531</v>
      </c>
      <c r="H22" s="1">
        <v>2739</v>
      </c>
      <c r="I22" s="4">
        <f>F22+I4+I13+I16+I19+I21</f>
        <v>2169</v>
      </c>
      <c r="K22" s="4">
        <f>H22+K4+K13+K16+K19+K21</f>
        <v>3200</v>
      </c>
      <c r="L22" s="4">
        <f>I22+L4+L13+L16+L19+L21</f>
        <v>2206</v>
      </c>
      <c r="N22" s="4">
        <f>N4+N13+N16+K22</f>
        <v>3472</v>
      </c>
      <c r="O22" s="4">
        <f>O4+O13+O16+L22</f>
        <v>2393.5100000000002</v>
      </c>
      <c r="Q22" s="4">
        <f>Q4+Q13+Q16+N22</f>
        <v>3819.2</v>
      </c>
      <c r="R22" s="4">
        <f>R4+R13+R16+O22</f>
        <v>2596.9583500000003</v>
      </c>
      <c r="T22" s="4">
        <f>T4+T13+T16+Q22</f>
        <v>4201.12</v>
      </c>
      <c r="U22" s="4">
        <f>U4+U13+U16+R22</f>
        <v>2817.6998097500004</v>
      </c>
      <c r="W22" s="4">
        <f>W4+W13+W16+T22</f>
        <v>4621.232</v>
      </c>
      <c r="X22" s="4">
        <f>X4+X13+X16+U22</f>
        <v>3057.2042935787504</v>
      </c>
      <c r="Z22" s="4">
        <f>Z4+Z13+Z16+W22</f>
        <v>5083.3552</v>
      </c>
      <c r="AA22" s="4">
        <f>AA4+AA13+AA16+X22</f>
        <v>3317.0666585329441</v>
      </c>
      <c r="AC22" s="4">
        <f>AC4+AC13+AC16+Z22</f>
        <v>5591.6907199999996</v>
      </c>
    </row>
    <row r="23" spans="2:29" x14ac:dyDescent="0.3">
      <c r="K23" s="6">
        <f>K22/H22-1</f>
        <v>0.16830960204454182</v>
      </c>
      <c r="L23" s="6">
        <f>L22/I22-1</f>
        <v>1.7058552328261811E-2</v>
      </c>
      <c r="N23" s="7">
        <f>N22/K22-1</f>
        <v>8.4999999999999964E-2</v>
      </c>
      <c r="O23" s="7">
        <f>O22/L22-1</f>
        <v>8.5000000000000187E-2</v>
      </c>
      <c r="Q23" s="7">
        <f>Q22/N22-1</f>
        <v>9.9999999999999867E-2</v>
      </c>
      <c r="R23" s="7">
        <f>R22/O22-1</f>
        <v>8.4999999999999964E-2</v>
      </c>
      <c r="T23" s="7">
        <f>T22/Q22-1</f>
        <v>0.10000000000000009</v>
      </c>
      <c r="U23" s="7">
        <f>U22/R22-1</f>
        <v>8.4999999999999964E-2</v>
      </c>
      <c r="W23" s="7">
        <f>W22/T22-1</f>
        <v>0.10000000000000009</v>
      </c>
      <c r="X23" s="7">
        <f>X22/U22-1</f>
        <v>8.4999999999999964E-2</v>
      </c>
      <c r="Z23" s="7">
        <f>Z22/W22-1</f>
        <v>0.10000000000000009</v>
      </c>
      <c r="AA23" s="7">
        <f>AA22/X22-1</f>
        <v>8.4999999999999964E-2</v>
      </c>
      <c r="AC23" s="7">
        <f>AC22/Z22-1</f>
        <v>9.9999999999999867E-2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4B30-A5D1-49CF-A3E0-C2A9D86CB22B}">
  <dimension ref="B2:AC23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N4" sqref="N4:AC23"/>
    </sheetView>
  </sheetViews>
  <sheetFormatPr defaultRowHeight="14.4" x14ac:dyDescent="0.3"/>
  <cols>
    <col min="1" max="1" width="3.44140625" customWidth="1"/>
  </cols>
  <sheetData>
    <row r="2" spans="2:29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29" x14ac:dyDescent="0.3">
      <c r="B3" s="1" t="s">
        <v>12</v>
      </c>
    </row>
    <row r="4" spans="2:29" x14ac:dyDescent="0.3">
      <c r="B4" t="s">
        <v>141</v>
      </c>
      <c r="H4">
        <v>308</v>
      </c>
      <c r="I4">
        <v>167</v>
      </c>
      <c r="K4">
        <v>142</v>
      </c>
      <c r="L4">
        <v>-310</v>
      </c>
      <c r="N4">
        <f>N5*K22</f>
        <v>143.92000000000002</v>
      </c>
      <c r="O4">
        <f>O5*L22</f>
        <v>85.52</v>
      </c>
      <c r="Q4">
        <f>Q5*N22</f>
        <v>156.1532</v>
      </c>
      <c r="R4">
        <f>R5*O22</f>
        <v>92.789200000000008</v>
      </c>
      <c r="T4">
        <f>T5*Q22</f>
        <v>171.76852</v>
      </c>
      <c r="U4">
        <f>U5*R22</f>
        <v>100.676282</v>
      </c>
      <c r="W4">
        <f>W5*T22</f>
        <v>188.94537199999999</v>
      </c>
      <c r="X4">
        <f>X5*U22</f>
        <v>109.23376596999999</v>
      </c>
      <c r="Z4">
        <f>Z5*W22</f>
        <v>207.83990919999999</v>
      </c>
      <c r="AA4">
        <f>AA5*X22</f>
        <v>118.51863607745</v>
      </c>
      <c r="AC4">
        <f>AC5*Z22</f>
        <v>228.62390012</v>
      </c>
    </row>
    <row r="5" spans="2:29" x14ac:dyDescent="0.3">
      <c r="B5" s="5" t="s">
        <v>142</v>
      </c>
      <c r="K5" s="6">
        <f>K4/H22</f>
        <v>9.4102054340622923E-2</v>
      </c>
      <c r="L5" s="6">
        <f>L4/I22</f>
        <v>-0.23864511162432642</v>
      </c>
      <c r="N5" s="7">
        <f>N8+N11</f>
        <v>0.08</v>
      </c>
      <c r="O5" s="7">
        <f>O8+O11</f>
        <v>0.08</v>
      </c>
      <c r="P5" s="5"/>
      <c r="Q5" s="7">
        <f>Q8+Q11</f>
        <v>0.08</v>
      </c>
      <c r="R5" s="7">
        <f>R8+R11</f>
        <v>0.08</v>
      </c>
      <c r="S5" s="5"/>
      <c r="T5" s="7">
        <f>T8+T11</f>
        <v>0.08</v>
      </c>
      <c r="U5" s="7">
        <f>U8+U11</f>
        <v>0.08</v>
      </c>
      <c r="V5" s="5"/>
      <c r="W5" s="7">
        <f>W8+W11</f>
        <v>0.08</v>
      </c>
      <c r="X5" s="7">
        <f>X8+X11</f>
        <v>0.08</v>
      </c>
      <c r="Y5" s="5"/>
      <c r="Z5" s="7">
        <f>Z8+Z11</f>
        <v>0.08</v>
      </c>
      <c r="AA5" s="7">
        <f>AA8+AA11</f>
        <v>0.08</v>
      </c>
      <c r="AB5" s="5"/>
      <c r="AC5" s="7">
        <f>AC8+AC11</f>
        <v>0.08</v>
      </c>
    </row>
    <row r="7" spans="2:29" x14ac:dyDescent="0.3">
      <c r="B7" t="s">
        <v>148</v>
      </c>
    </row>
    <row r="8" spans="2:29" x14ac:dyDescent="0.3">
      <c r="B8" s="5" t="s">
        <v>149</v>
      </c>
      <c r="L8" s="6">
        <v>-0.19</v>
      </c>
      <c r="N8" s="10">
        <v>0.04</v>
      </c>
      <c r="O8" s="10">
        <v>0.04</v>
      </c>
      <c r="P8" s="5"/>
      <c r="Q8" s="10">
        <v>0.04</v>
      </c>
      <c r="R8" s="10">
        <v>0.04</v>
      </c>
      <c r="S8" s="5"/>
      <c r="T8" s="10">
        <v>0.04</v>
      </c>
      <c r="U8" s="10">
        <v>0.04</v>
      </c>
      <c r="V8" s="5"/>
      <c r="W8" s="10">
        <v>0.04</v>
      </c>
      <c r="X8" s="10">
        <v>0.04</v>
      </c>
      <c r="Y8" s="5"/>
      <c r="Z8" s="10">
        <v>0.04</v>
      </c>
      <c r="AA8" s="10">
        <v>0.04</v>
      </c>
      <c r="AB8" s="5"/>
      <c r="AC8" s="10">
        <v>0.04</v>
      </c>
    </row>
    <row r="10" spans="2:29" x14ac:dyDescent="0.3">
      <c r="B10" t="s">
        <v>150</v>
      </c>
    </row>
    <row r="11" spans="2:29" x14ac:dyDescent="0.3">
      <c r="B11" s="5" t="s">
        <v>151</v>
      </c>
      <c r="L11" s="6">
        <v>-0.04</v>
      </c>
      <c r="N11" s="10">
        <v>0.04</v>
      </c>
      <c r="O11" s="10">
        <v>0.04</v>
      </c>
      <c r="P11" s="5"/>
      <c r="Q11" s="10">
        <v>0.04</v>
      </c>
      <c r="R11" s="10">
        <v>0.04</v>
      </c>
      <c r="S11" s="5"/>
      <c r="T11" s="10">
        <v>0.04</v>
      </c>
      <c r="U11" s="10">
        <v>0.04</v>
      </c>
      <c r="V11" s="5"/>
      <c r="W11" s="10">
        <v>0.04</v>
      </c>
      <c r="X11" s="10">
        <v>0.04</v>
      </c>
      <c r="Y11" s="5"/>
      <c r="Z11" s="10">
        <v>0.04</v>
      </c>
      <c r="AA11" s="10">
        <v>0.04</v>
      </c>
      <c r="AB11" s="5"/>
      <c r="AC11" s="10">
        <v>0.04</v>
      </c>
    </row>
    <row r="13" spans="2:29" x14ac:dyDescent="0.3">
      <c r="B13" t="s">
        <v>131</v>
      </c>
      <c r="H13">
        <v>-35</v>
      </c>
      <c r="I13">
        <v>111</v>
      </c>
      <c r="K13">
        <v>145</v>
      </c>
      <c r="L13">
        <v>80</v>
      </c>
      <c r="N13">
        <f>N14*K22</f>
        <v>0</v>
      </c>
      <c r="O13">
        <f>O14*L22</f>
        <v>0</v>
      </c>
      <c r="Q13">
        <f>Q14*N22</f>
        <v>0</v>
      </c>
      <c r="R13">
        <f>R14*O22</f>
        <v>0</v>
      </c>
      <c r="T13">
        <f>T14*Q22</f>
        <v>0</v>
      </c>
      <c r="U13">
        <f>U14*R22</f>
        <v>0</v>
      </c>
      <c r="W13">
        <f>W14*T22</f>
        <v>0</v>
      </c>
      <c r="X13">
        <f>X14*U22</f>
        <v>0</v>
      </c>
      <c r="Z13">
        <f>Z14*W22</f>
        <v>0</v>
      </c>
      <c r="AA13">
        <f>AA14*X22</f>
        <v>0</v>
      </c>
      <c r="AC13">
        <f>AC14*Z22</f>
        <v>0</v>
      </c>
    </row>
    <row r="14" spans="2:29" x14ac:dyDescent="0.3">
      <c r="B14" s="5" t="s">
        <v>143</v>
      </c>
      <c r="K14" s="6">
        <f>K13/H22</f>
        <v>9.6090125911199475E-2</v>
      </c>
      <c r="L14" s="6">
        <f>L13/I22</f>
        <v>6.1585835257890686E-2</v>
      </c>
      <c r="N14" s="10">
        <v>0</v>
      </c>
      <c r="O14" s="10">
        <v>0</v>
      </c>
      <c r="Q14" s="10">
        <v>0</v>
      </c>
      <c r="R14" s="10">
        <v>0</v>
      </c>
      <c r="T14" s="10">
        <v>0</v>
      </c>
      <c r="U14" s="10">
        <v>0</v>
      </c>
      <c r="W14" s="10">
        <v>0</v>
      </c>
      <c r="X14" s="10">
        <v>0</v>
      </c>
      <c r="Z14" s="10">
        <v>0</v>
      </c>
      <c r="AA14" s="10">
        <v>0</v>
      </c>
      <c r="AC14" s="10">
        <v>0</v>
      </c>
    </row>
    <row r="16" spans="2:29" x14ac:dyDescent="0.3">
      <c r="B16" t="s">
        <v>144</v>
      </c>
      <c r="H16">
        <v>15</v>
      </c>
      <c r="I16">
        <v>3</v>
      </c>
      <c r="K16">
        <v>3</v>
      </c>
      <c r="L16">
        <v>0</v>
      </c>
      <c r="N16">
        <f>N17*K22</f>
        <v>8.995000000000001</v>
      </c>
      <c r="O16">
        <f>O17*L22</f>
        <v>5.3449999999999998</v>
      </c>
      <c r="Q16">
        <f>Q17*N22</f>
        <v>39.0383</v>
      </c>
      <c r="R16">
        <f>R17*O22</f>
        <v>5.7993250000000005</v>
      </c>
      <c r="T16">
        <f>T17*Q22</f>
        <v>42.942129999999999</v>
      </c>
      <c r="U16">
        <f>U17*R22</f>
        <v>6.292267625</v>
      </c>
      <c r="W16">
        <f>W17*T22</f>
        <v>47.236342999999998</v>
      </c>
      <c r="X16">
        <f>X17*U22</f>
        <v>6.8271103731249996</v>
      </c>
      <c r="Z16">
        <f>Z17*W22</f>
        <v>51.959977299999998</v>
      </c>
      <c r="AA16">
        <f>AA17*X22</f>
        <v>7.4074147548406248</v>
      </c>
      <c r="AC16">
        <f>AC17*Z22</f>
        <v>57.15597503</v>
      </c>
    </row>
    <row r="17" spans="2:29" x14ac:dyDescent="0.3">
      <c r="B17" s="5" t="s">
        <v>145</v>
      </c>
      <c r="K17" s="6">
        <f>K16/H22</f>
        <v>1.9880715705765406E-3</v>
      </c>
      <c r="L17" s="6">
        <f>L16/I22</f>
        <v>0</v>
      </c>
      <c r="N17" s="10">
        <v>5.0000000000000001E-3</v>
      </c>
      <c r="O17" s="10">
        <v>5.0000000000000001E-3</v>
      </c>
      <c r="Q17" s="10">
        <v>0.02</v>
      </c>
      <c r="R17" s="10">
        <v>5.0000000000000001E-3</v>
      </c>
      <c r="T17" s="10">
        <v>0.02</v>
      </c>
      <c r="U17" s="10">
        <v>5.0000000000000001E-3</v>
      </c>
      <c r="W17" s="10">
        <v>0.02</v>
      </c>
      <c r="X17" s="10">
        <v>5.0000000000000001E-3</v>
      </c>
      <c r="Z17" s="10">
        <v>0.02</v>
      </c>
      <c r="AA17" s="10">
        <v>5.0000000000000001E-3</v>
      </c>
      <c r="AC17" s="10">
        <v>0.02</v>
      </c>
    </row>
    <row r="19" spans="2:29" x14ac:dyDescent="0.3">
      <c r="B19" t="s">
        <v>146</v>
      </c>
    </row>
    <row r="20" spans="2:29" x14ac:dyDescent="0.3">
      <c r="B20" s="5" t="s">
        <v>153</v>
      </c>
    </row>
    <row r="21" spans="2:29" x14ac:dyDescent="0.3">
      <c r="H21">
        <f>1682-1509</f>
        <v>173</v>
      </c>
      <c r="I21">
        <f>1299-1100</f>
        <v>199</v>
      </c>
    </row>
    <row r="22" spans="2:29" x14ac:dyDescent="0.3">
      <c r="B22" s="1" t="s">
        <v>152</v>
      </c>
      <c r="E22">
        <v>1394</v>
      </c>
      <c r="F22">
        <v>819</v>
      </c>
      <c r="H22">
        <v>1509</v>
      </c>
      <c r="I22" s="4">
        <f>F22+I4+I13+I16+I19+I21</f>
        <v>1299</v>
      </c>
      <c r="K22" s="4">
        <f>H22+K4+K13+K16+K19+K21</f>
        <v>1799</v>
      </c>
      <c r="L22" s="4">
        <f>I22+L4+L13+L16+L19+L21</f>
        <v>1069</v>
      </c>
      <c r="N22" s="4">
        <f>N4+N13+N16+K22</f>
        <v>1951.915</v>
      </c>
      <c r="O22" s="4">
        <f>O4+O13+O16+L22</f>
        <v>1159.865</v>
      </c>
      <c r="Q22" s="4">
        <f>Q4+Q13+Q16+N22</f>
        <v>2147.1064999999999</v>
      </c>
      <c r="R22" s="4">
        <f>R4+R13+R16+O22</f>
        <v>1258.4535249999999</v>
      </c>
      <c r="T22" s="4">
        <f>T4+T13+T16+Q22</f>
        <v>2361.8171499999999</v>
      </c>
      <c r="U22" s="4">
        <f>U4+U13+U16+R22</f>
        <v>1365.4220746249998</v>
      </c>
      <c r="W22" s="4">
        <f>W4+W13+W16+T22</f>
        <v>2597.998865</v>
      </c>
      <c r="X22" s="4">
        <f>X4+X13+X16+U22</f>
        <v>1481.4829509681249</v>
      </c>
      <c r="Z22" s="4">
        <f>Z4+Z13+Z16+W22</f>
        <v>2857.7987515</v>
      </c>
      <c r="AA22" s="4">
        <f>AA4+AA13+AA16+X22</f>
        <v>1607.4090018004156</v>
      </c>
      <c r="AC22" s="4">
        <f>AC4+AC13+AC16+Z22</f>
        <v>3143.5786266499999</v>
      </c>
    </row>
    <row r="23" spans="2:29" x14ac:dyDescent="0.3">
      <c r="K23" s="6">
        <f>K22/H22-1</f>
        <v>0.19218025182239895</v>
      </c>
      <c r="L23" s="6">
        <f>L22/I22-1</f>
        <v>-0.1770592763664357</v>
      </c>
      <c r="N23" s="7">
        <f>N22/K22-1</f>
        <v>8.4999999999999964E-2</v>
      </c>
      <c r="O23" s="7">
        <f>O22/L22-1</f>
        <v>8.4999999999999964E-2</v>
      </c>
      <c r="Q23" s="7">
        <f>Q22/N22-1</f>
        <v>9.9999999999999867E-2</v>
      </c>
      <c r="R23" s="7">
        <f>R22/O22-1</f>
        <v>8.4999999999999964E-2</v>
      </c>
      <c r="T23" s="7">
        <f>T22/Q22-1</f>
        <v>0.10000000000000009</v>
      </c>
      <c r="U23" s="7">
        <f>U22/R22-1</f>
        <v>8.4999999999999964E-2</v>
      </c>
      <c r="W23" s="7">
        <f>W22/T22-1</f>
        <v>0.10000000000000009</v>
      </c>
      <c r="X23" s="7">
        <f>X22/U22-1</f>
        <v>8.4999999999999964E-2</v>
      </c>
      <c r="Z23" s="7">
        <f>Z22/W22-1</f>
        <v>0.10000000000000009</v>
      </c>
      <c r="AA23" s="7">
        <f>AA22/X22-1</f>
        <v>8.4999999999999964E-2</v>
      </c>
      <c r="AC23" s="7">
        <f>AC22/Z22-1</f>
        <v>0.10000000000000009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79A2-26C1-4072-84DC-D2111DA2B38B}">
  <dimension ref="B2:AC23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N4" sqref="N4:AC23"/>
    </sheetView>
  </sheetViews>
  <sheetFormatPr defaultRowHeight="14.4" x14ac:dyDescent="0.3"/>
  <cols>
    <col min="1" max="1" width="3.44140625" customWidth="1"/>
  </cols>
  <sheetData>
    <row r="2" spans="2:29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29" x14ac:dyDescent="0.3">
      <c r="B3" s="1" t="s">
        <v>12</v>
      </c>
    </row>
    <row r="4" spans="2:29" x14ac:dyDescent="0.3">
      <c r="B4" t="s">
        <v>141</v>
      </c>
      <c r="H4">
        <v>451</v>
      </c>
      <c r="I4">
        <v>52</v>
      </c>
      <c r="K4">
        <v>83</v>
      </c>
      <c r="L4">
        <v>95</v>
      </c>
      <c r="N4">
        <f>N5*K22</f>
        <v>135.92000000000002</v>
      </c>
      <c r="O4">
        <f>O5*L22</f>
        <v>78</v>
      </c>
      <c r="Q4">
        <f>Q5*N22</f>
        <v>147.47319999999999</v>
      </c>
      <c r="R4">
        <f>R5*O22</f>
        <v>84.63</v>
      </c>
      <c r="T4">
        <f>T5*Q22</f>
        <v>162.22051999999999</v>
      </c>
      <c r="U4">
        <f>U5*R22</f>
        <v>91.823549999999997</v>
      </c>
      <c r="W4">
        <f>W5*T22</f>
        <v>178.44257200000001</v>
      </c>
      <c r="X4">
        <f>X5*U22</f>
        <v>99.628551749999986</v>
      </c>
      <c r="Z4">
        <f>Z5*W22</f>
        <v>196.2868292</v>
      </c>
      <c r="AA4">
        <f>AA5*X22</f>
        <v>108.09697864875</v>
      </c>
      <c r="AC4">
        <f>AC5*Z22</f>
        <v>215.91551211999999</v>
      </c>
    </row>
    <row r="5" spans="2:29" x14ac:dyDescent="0.3">
      <c r="B5" s="5" t="s">
        <v>142</v>
      </c>
      <c r="L5" s="6">
        <f>L4/I22</f>
        <v>8.5354896675651395E-2</v>
      </c>
      <c r="N5" s="7">
        <f>N8+N11</f>
        <v>0.08</v>
      </c>
      <c r="O5" s="7">
        <f>O8+O11</f>
        <v>0.08</v>
      </c>
      <c r="P5" s="5"/>
      <c r="Q5" s="7">
        <f>Q8+Q11</f>
        <v>0.08</v>
      </c>
      <c r="R5" s="7">
        <f>R8+R11</f>
        <v>0.08</v>
      </c>
      <c r="S5" s="5"/>
      <c r="T5" s="7">
        <f>T8+T11</f>
        <v>0.08</v>
      </c>
      <c r="U5" s="7">
        <f>U8+U11</f>
        <v>0.08</v>
      </c>
      <c r="V5" s="5"/>
      <c r="W5" s="7">
        <f>W8+W11</f>
        <v>0.08</v>
      </c>
      <c r="X5" s="7">
        <f>X8+X11</f>
        <v>0.08</v>
      </c>
      <c r="Y5" s="5"/>
      <c r="Z5" s="7">
        <f>Z8+Z11</f>
        <v>0.08</v>
      </c>
      <c r="AA5" s="7">
        <f>AA8+AA11</f>
        <v>0.08</v>
      </c>
      <c r="AB5" s="5"/>
      <c r="AC5" s="7">
        <f>AC8+AC11</f>
        <v>0.08</v>
      </c>
    </row>
    <row r="7" spans="2:29" x14ac:dyDescent="0.3">
      <c r="B7" t="s">
        <v>148</v>
      </c>
    </row>
    <row r="8" spans="2:29" x14ac:dyDescent="0.3">
      <c r="B8" s="5" t="s">
        <v>149</v>
      </c>
      <c r="L8" s="6">
        <v>-0.06</v>
      </c>
      <c r="N8" s="10">
        <v>0.04</v>
      </c>
      <c r="O8" s="10">
        <v>0.04</v>
      </c>
      <c r="P8" s="5"/>
      <c r="Q8" s="10">
        <v>0.04</v>
      </c>
      <c r="R8" s="10">
        <v>0.04</v>
      </c>
      <c r="S8" s="5"/>
      <c r="T8" s="10">
        <v>0.04</v>
      </c>
      <c r="U8" s="10">
        <v>0.04</v>
      </c>
      <c r="V8" s="5"/>
      <c r="W8" s="10">
        <v>0.04</v>
      </c>
      <c r="X8" s="10">
        <v>0.04</v>
      </c>
      <c r="Y8" s="5"/>
      <c r="Z8" s="10">
        <v>0.04</v>
      </c>
      <c r="AA8" s="10">
        <v>0.04</v>
      </c>
      <c r="AB8" s="5"/>
      <c r="AC8" s="10">
        <v>0.04</v>
      </c>
    </row>
    <row r="10" spans="2:29" x14ac:dyDescent="0.3">
      <c r="B10" t="s">
        <v>150</v>
      </c>
    </row>
    <row r="11" spans="2:29" x14ac:dyDescent="0.3">
      <c r="B11" s="5" t="s">
        <v>151</v>
      </c>
      <c r="L11" s="6">
        <v>0.16</v>
      </c>
      <c r="N11" s="10">
        <v>0.04</v>
      </c>
      <c r="O11" s="10">
        <v>0.04</v>
      </c>
      <c r="P11" s="5"/>
      <c r="Q11" s="10">
        <v>0.04</v>
      </c>
      <c r="R11" s="10">
        <v>0.04</v>
      </c>
      <c r="S11" s="5"/>
      <c r="T11" s="10">
        <v>0.04</v>
      </c>
      <c r="U11" s="10">
        <v>0.04</v>
      </c>
      <c r="V11" s="5"/>
      <c r="W11" s="10">
        <v>0.04</v>
      </c>
      <c r="X11" s="10">
        <v>0.04</v>
      </c>
      <c r="Y11" s="5"/>
      <c r="Z11" s="10">
        <v>0.04</v>
      </c>
      <c r="AA11" s="10">
        <v>0.04</v>
      </c>
      <c r="AB11" s="5"/>
      <c r="AC11" s="10">
        <v>0.04</v>
      </c>
    </row>
    <row r="13" spans="2:29" x14ac:dyDescent="0.3">
      <c r="B13" t="s">
        <v>131</v>
      </c>
      <c r="H13">
        <v>24</v>
      </c>
      <c r="I13">
        <v>30</v>
      </c>
      <c r="K13">
        <v>-39</v>
      </c>
      <c r="L13">
        <v>-229</v>
      </c>
      <c r="N13">
        <f>N14*K22</f>
        <v>0</v>
      </c>
      <c r="O13">
        <f>O14*L22</f>
        <v>0</v>
      </c>
      <c r="Q13">
        <f>Q14*N22</f>
        <v>0</v>
      </c>
      <c r="R13">
        <f>R14*O22</f>
        <v>0</v>
      </c>
      <c r="T13">
        <f>T14*Q22</f>
        <v>0</v>
      </c>
      <c r="U13">
        <f>U14*R22</f>
        <v>0</v>
      </c>
      <c r="W13">
        <f>W14*T22</f>
        <v>0</v>
      </c>
      <c r="X13">
        <f>X14*U22</f>
        <v>0</v>
      </c>
      <c r="Z13">
        <f>Z14*W22</f>
        <v>0</v>
      </c>
      <c r="AA13">
        <f>AA14*X22</f>
        <v>0</v>
      </c>
      <c r="AC13">
        <f>AC14*Z22</f>
        <v>0</v>
      </c>
    </row>
    <row r="14" spans="2:29" x14ac:dyDescent="0.3">
      <c r="B14" s="5" t="s">
        <v>143</v>
      </c>
      <c r="L14" s="6">
        <f>L13/I22</f>
        <v>-0.20575022461814915</v>
      </c>
      <c r="N14" s="10">
        <v>0</v>
      </c>
      <c r="O14" s="10">
        <v>0</v>
      </c>
      <c r="Q14" s="10">
        <v>0</v>
      </c>
      <c r="R14" s="10">
        <v>0</v>
      </c>
      <c r="T14" s="10">
        <v>0</v>
      </c>
      <c r="U14" s="10">
        <v>0</v>
      </c>
      <c r="W14" s="10">
        <v>0</v>
      </c>
      <c r="X14" s="10">
        <v>0</v>
      </c>
      <c r="Z14" s="10">
        <v>0</v>
      </c>
      <c r="AA14" s="10">
        <v>0</v>
      </c>
      <c r="AC14" s="10">
        <v>0</v>
      </c>
    </row>
    <row r="16" spans="2:29" x14ac:dyDescent="0.3">
      <c r="B16" t="s">
        <v>144</v>
      </c>
      <c r="H16">
        <v>3</v>
      </c>
      <c r="I16">
        <v>-73</v>
      </c>
      <c r="K16">
        <v>104</v>
      </c>
      <c r="L16">
        <v>-8</v>
      </c>
      <c r="N16">
        <f>N17*K22</f>
        <v>8.495000000000001</v>
      </c>
      <c r="O16">
        <f>O17*L22</f>
        <v>4.875</v>
      </c>
      <c r="Q16">
        <f>Q17*N22</f>
        <v>36.868299999999998</v>
      </c>
      <c r="R16">
        <f>R17*O22</f>
        <v>5.2893749999999997</v>
      </c>
      <c r="T16">
        <f>T17*Q22</f>
        <v>40.555129999999998</v>
      </c>
      <c r="U16">
        <f>U17*R22</f>
        <v>5.7389718749999998</v>
      </c>
      <c r="W16">
        <f>W17*T22</f>
        <v>44.610643000000003</v>
      </c>
      <c r="X16">
        <f>X17*U22</f>
        <v>6.2267844843749991</v>
      </c>
      <c r="Z16">
        <f>Z17*W22</f>
        <v>49.0717073</v>
      </c>
      <c r="AA16">
        <f>AA17*X22</f>
        <v>6.7560611655468747</v>
      </c>
      <c r="AC16">
        <f>AC17*Z22</f>
        <v>53.978878029999997</v>
      </c>
    </row>
    <row r="17" spans="2:29" x14ac:dyDescent="0.3">
      <c r="B17" s="5" t="s">
        <v>145</v>
      </c>
      <c r="L17" s="6">
        <f>L16/I22</f>
        <v>-7.1877807726864335E-3</v>
      </c>
      <c r="N17" s="10">
        <v>5.0000000000000001E-3</v>
      </c>
      <c r="O17" s="10">
        <v>5.0000000000000001E-3</v>
      </c>
      <c r="Q17" s="10">
        <v>0.02</v>
      </c>
      <c r="R17" s="10">
        <v>5.0000000000000001E-3</v>
      </c>
      <c r="T17" s="10">
        <v>0.02</v>
      </c>
      <c r="U17" s="10">
        <v>5.0000000000000001E-3</v>
      </c>
      <c r="W17" s="10">
        <v>0.02</v>
      </c>
      <c r="X17" s="10">
        <v>5.0000000000000001E-3</v>
      </c>
      <c r="Z17" s="10">
        <v>0.02</v>
      </c>
      <c r="AA17" s="10">
        <v>5.0000000000000001E-3</v>
      </c>
      <c r="AC17" s="10">
        <v>0.02</v>
      </c>
    </row>
    <row r="19" spans="2:29" x14ac:dyDescent="0.3">
      <c r="B19" t="s">
        <v>146</v>
      </c>
      <c r="L19">
        <v>4</v>
      </c>
    </row>
    <row r="20" spans="2:29" x14ac:dyDescent="0.3">
      <c r="B20" s="5" t="s">
        <v>153</v>
      </c>
    </row>
    <row r="21" spans="2:29" x14ac:dyDescent="0.3">
      <c r="H21">
        <v>26</v>
      </c>
      <c r="I21">
        <f>1113-943</f>
        <v>170</v>
      </c>
    </row>
    <row r="22" spans="2:29" x14ac:dyDescent="0.3">
      <c r="B22" s="1" t="s">
        <v>152</v>
      </c>
      <c r="E22">
        <v>1047</v>
      </c>
      <c r="F22">
        <v>868</v>
      </c>
      <c r="H22">
        <v>1551</v>
      </c>
      <c r="I22" s="4">
        <v>1113</v>
      </c>
      <c r="K22" s="4">
        <f>H22+K4+K13+K16+K19</f>
        <v>1699</v>
      </c>
      <c r="L22" s="4">
        <f>I22+L4+L13+L16+L19</f>
        <v>975</v>
      </c>
      <c r="N22" s="4">
        <f>N4+N13+N16+K22</f>
        <v>1843.415</v>
      </c>
      <c r="O22" s="4">
        <f>O4+O13+O16+L22</f>
        <v>1057.875</v>
      </c>
      <c r="Q22" s="4">
        <f>Q4+Q13+Q16+N22</f>
        <v>2027.7565</v>
      </c>
      <c r="R22" s="4">
        <f>R4+R13+R16+O22</f>
        <v>1147.7943749999999</v>
      </c>
      <c r="T22" s="4">
        <f>T4+T13+T16+Q22</f>
        <v>2230.53215</v>
      </c>
      <c r="U22" s="4">
        <f>U4+U13+U16+R22</f>
        <v>1245.3568968749998</v>
      </c>
      <c r="W22" s="4">
        <f>W4+W13+W16+T22</f>
        <v>2453.5853649999999</v>
      </c>
      <c r="X22" s="4">
        <f>X4+X13+X16+U22</f>
        <v>1351.2122331093749</v>
      </c>
      <c r="Z22" s="4">
        <f>Z4+Z13+Z16+W22</f>
        <v>2698.9439014999998</v>
      </c>
      <c r="AA22" s="4">
        <f>AA4+AA13+AA16+X22</f>
        <v>1466.0652729236717</v>
      </c>
      <c r="AC22" s="4">
        <f>AC4+AC13+AC16+Z22</f>
        <v>2968.83829165</v>
      </c>
    </row>
    <row r="23" spans="2:29" x14ac:dyDescent="0.3">
      <c r="K23" s="6">
        <f>K22/H22-1</f>
        <v>9.5422308188265692E-2</v>
      </c>
      <c r="L23" s="6">
        <f>L22/I22-1</f>
        <v>-0.12398921832884102</v>
      </c>
      <c r="N23" s="7">
        <f>N22/K22-1</f>
        <v>8.4999999999999964E-2</v>
      </c>
      <c r="O23" s="7">
        <f>O22/L22-1</f>
        <v>8.4999999999999964E-2</v>
      </c>
      <c r="Q23" s="7">
        <f>Q22/N22-1</f>
        <v>0.10000000000000009</v>
      </c>
      <c r="R23" s="7">
        <f>R22/O22-1</f>
        <v>8.4999999999999964E-2</v>
      </c>
      <c r="T23" s="7">
        <f>T22/Q22-1</f>
        <v>0.10000000000000009</v>
      </c>
      <c r="U23" s="7">
        <f>U22/R22-1</f>
        <v>8.4999999999999964E-2</v>
      </c>
      <c r="W23" s="7">
        <f>W22/T22-1</f>
        <v>9.9999999999999867E-2</v>
      </c>
      <c r="X23" s="7">
        <f>X22/U22-1</f>
        <v>8.4999999999999964E-2</v>
      </c>
      <c r="Z23" s="7">
        <f>Z22/W22-1</f>
        <v>9.9999999999999867E-2</v>
      </c>
      <c r="AA23" s="7">
        <f>AA22/X22-1</f>
        <v>8.4999999999999964E-2</v>
      </c>
      <c r="AC23" s="7">
        <f>AC22/Z22-1</f>
        <v>0.10000000000000009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E6AD-BA1D-49D8-B608-50412841E2F6}">
  <dimension ref="B2:AC16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N17" sqref="N17"/>
    </sheetView>
  </sheetViews>
  <sheetFormatPr defaultRowHeight="14.4" x14ac:dyDescent="0.3"/>
  <cols>
    <col min="1" max="1" width="3.44140625" customWidth="1"/>
  </cols>
  <sheetData>
    <row r="2" spans="2:29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29" x14ac:dyDescent="0.3">
      <c r="B3" s="1" t="s">
        <v>12</v>
      </c>
    </row>
    <row r="4" spans="2:29" x14ac:dyDescent="0.3">
      <c r="B4" t="s">
        <v>141</v>
      </c>
      <c r="K4">
        <v>33</v>
      </c>
      <c r="L4">
        <v>9</v>
      </c>
    </row>
    <row r="5" spans="2:29" x14ac:dyDescent="0.3">
      <c r="B5" s="5" t="s">
        <v>142</v>
      </c>
      <c r="L5" s="6">
        <v>0.17</v>
      </c>
    </row>
    <row r="7" spans="2:29" x14ac:dyDescent="0.3">
      <c r="B7" t="s">
        <v>131</v>
      </c>
      <c r="K7">
        <v>1</v>
      </c>
      <c r="L7">
        <v>-229</v>
      </c>
    </row>
    <row r="8" spans="2:29" x14ac:dyDescent="0.3">
      <c r="B8" s="5" t="s">
        <v>143</v>
      </c>
    </row>
    <row r="10" spans="2:29" x14ac:dyDescent="0.3">
      <c r="B10" t="s">
        <v>144</v>
      </c>
      <c r="L10">
        <v>-8</v>
      </c>
    </row>
    <row r="11" spans="2:29" x14ac:dyDescent="0.3">
      <c r="B11" s="5" t="s">
        <v>145</v>
      </c>
    </row>
    <row r="13" spans="2:29" x14ac:dyDescent="0.3">
      <c r="B13" t="s">
        <v>146</v>
      </c>
      <c r="L13">
        <v>4</v>
      </c>
    </row>
    <row r="14" spans="2:29" x14ac:dyDescent="0.3">
      <c r="B14" s="5" t="s">
        <v>153</v>
      </c>
    </row>
    <row r="16" spans="2:29" x14ac:dyDescent="0.3">
      <c r="B16" s="1" t="s">
        <v>152</v>
      </c>
      <c r="H16">
        <v>54</v>
      </c>
      <c r="I16" s="4">
        <v>1113</v>
      </c>
      <c r="K16" s="4">
        <f>H16+K4+K7+K10+K13</f>
        <v>88</v>
      </c>
      <c r="L16" s="4">
        <f>I16+L4+L7+L10+L13</f>
        <v>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8438-5115-405A-91E6-4A2B810A1A2B}">
  <dimension ref="B2:AC37"/>
  <sheetViews>
    <sheetView workbookViewId="0">
      <pane xSplit="2" ySplit="2" topLeftCell="C11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RowHeight="14.4" x14ac:dyDescent="0.3"/>
  <cols>
    <col min="1" max="1" width="2.5546875" customWidth="1"/>
    <col min="2" max="2" width="13.6640625" customWidth="1"/>
    <col min="3" max="4" width="0" hidden="1" customWidth="1"/>
    <col min="6" max="7" width="0" hidden="1" customWidth="1"/>
    <col min="9" max="9" width="9.109375" hidden="1" customWidth="1"/>
    <col min="10" max="10" width="0" hidden="1" customWidth="1"/>
    <col min="11" max="11" width="9.109375" bestFit="1" customWidth="1"/>
    <col min="12" max="12" width="9.109375" hidden="1" customWidth="1"/>
    <col min="13" max="13" width="0" hidden="1" customWidth="1"/>
  </cols>
  <sheetData>
    <row r="2" spans="2:29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</row>
    <row r="3" spans="2:29" x14ac:dyDescent="0.3">
      <c r="B3" s="1" t="s">
        <v>10</v>
      </c>
      <c r="C3" s="3">
        <v>10436</v>
      </c>
      <c r="D3" s="3">
        <f>E3-C3</f>
        <v>8717</v>
      </c>
      <c r="E3" s="3">
        <v>19153</v>
      </c>
      <c r="F3" s="3">
        <v>11753</v>
      </c>
      <c r="G3" s="3">
        <f>H3-F3</f>
        <v>10695</v>
      </c>
      <c r="H3" s="3">
        <v>22448</v>
      </c>
      <c r="I3" s="3">
        <v>15611</v>
      </c>
      <c r="J3" s="3">
        <f>K3-I3</f>
        <v>7904</v>
      </c>
      <c r="K3" s="3">
        <v>23515</v>
      </c>
      <c r="L3" s="3">
        <v>15181</v>
      </c>
      <c r="M3" s="3"/>
      <c r="N3" s="3"/>
    </row>
    <row r="4" spans="2:29" x14ac:dyDescent="0.3">
      <c r="B4" t="s">
        <v>11</v>
      </c>
      <c r="C4" s="3">
        <v>3562</v>
      </c>
      <c r="D4" s="3">
        <f>E4-C4</f>
        <v>2858</v>
      </c>
      <c r="E4" s="3">
        <v>6420</v>
      </c>
      <c r="F4" s="3">
        <v>3796</v>
      </c>
      <c r="G4" s="3">
        <f>H4-F4</f>
        <v>3200</v>
      </c>
      <c r="H4" s="3">
        <v>6996</v>
      </c>
      <c r="I4" s="3">
        <v>4491</v>
      </c>
      <c r="J4" s="3">
        <f>K4-I4</f>
        <v>1911</v>
      </c>
      <c r="K4" s="3">
        <v>6402</v>
      </c>
      <c r="L4" s="3">
        <v>4219</v>
      </c>
      <c r="M4" s="3"/>
      <c r="N4" s="3"/>
    </row>
    <row r="5" spans="2:29" x14ac:dyDescent="0.3">
      <c r="B5" s="1" t="s">
        <v>12</v>
      </c>
      <c r="C5" s="4">
        <f t="shared" ref="C5:H5" si="0">C3-C4</f>
        <v>6874</v>
      </c>
      <c r="D5" s="4">
        <f t="shared" si="0"/>
        <v>5859</v>
      </c>
      <c r="E5" s="4">
        <f t="shared" si="0"/>
        <v>12733</v>
      </c>
      <c r="F5" s="4">
        <f t="shared" si="0"/>
        <v>7957</v>
      </c>
      <c r="G5" s="4">
        <f t="shared" si="0"/>
        <v>7495</v>
      </c>
      <c r="H5" s="4">
        <f t="shared" si="0"/>
        <v>15452</v>
      </c>
      <c r="I5" s="4">
        <f>I3-I4</f>
        <v>11120</v>
      </c>
      <c r="J5" s="4">
        <f t="shared" ref="J5:L5" si="1">J3-J4</f>
        <v>5993</v>
      </c>
      <c r="K5" s="4">
        <f t="shared" si="1"/>
        <v>17113</v>
      </c>
      <c r="L5" s="4">
        <f t="shared" si="1"/>
        <v>10962</v>
      </c>
      <c r="M5" s="4">
        <f>N5-L5</f>
        <v>7594.2150000000001</v>
      </c>
      <c r="N5" s="4">
        <f>'Revenue Drivers'!N22</f>
        <v>18556.215</v>
      </c>
      <c r="O5" s="4">
        <f>'Revenue Drivers'!O22</f>
        <v>11888.415000000001</v>
      </c>
      <c r="P5" s="4">
        <f>Q5-O5</f>
        <v>8510.0214999999989</v>
      </c>
      <c r="Q5" s="4">
        <f>'Revenue Drivers'!Q22</f>
        <v>20398.4365</v>
      </c>
      <c r="R5" s="4">
        <f>'Revenue Drivers'!R22</f>
        <v>12893.575275000001</v>
      </c>
      <c r="S5" s="4">
        <f>T5-R5</f>
        <v>9531.3048749999998</v>
      </c>
      <c r="T5" s="4">
        <f>'Revenue Drivers'!T22</f>
        <v>22424.880150000001</v>
      </c>
      <c r="U5" s="4">
        <f>'Revenue Drivers'!U22</f>
        <v>13984.174173375</v>
      </c>
      <c r="V5" s="4">
        <f>W5-U5</f>
        <v>10669.793991625002</v>
      </c>
      <c r="W5" s="4">
        <f>'Revenue Drivers'!W22</f>
        <v>24653.968165000002</v>
      </c>
      <c r="X5" s="4">
        <f>'Revenue Drivers'!X22</f>
        <v>15167.473978111875</v>
      </c>
      <c r="Y5" s="4">
        <f>Z5-X5</f>
        <v>11938.491003388126</v>
      </c>
      <c r="Z5" s="4">
        <f>'Revenue Drivers'!Z22</f>
        <v>27105.964981500001</v>
      </c>
      <c r="AA5" s="4">
        <f>'Revenue Drivers'!AA22</f>
        <v>16451.354266251386</v>
      </c>
      <c r="AB5" s="4">
        <f>AC5-AA5</f>
        <v>13351.807213398617</v>
      </c>
      <c r="AC5" s="4">
        <f>'Revenue Drivers'!AC22</f>
        <v>29803.161479650003</v>
      </c>
    </row>
    <row r="6" spans="2:29" x14ac:dyDescent="0.3">
      <c r="B6" t="s">
        <v>13</v>
      </c>
      <c r="C6" s="3">
        <v>2661</v>
      </c>
      <c r="D6" s="3">
        <f>E6-C6</f>
        <v>2377</v>
      </c>
      <c r="E6" s="3">
        <v>5038</v>
      </c>
      <c r="F6" s="3">
        <v>2955</v>
      </c>
      <c r="G6" s="3">
        <f>H6-F6</f>
        <v>3018</v>
      </c>
      <c r="H6" s="3">
        <v>5973</v>
      </c>
      <c r="I6" s="3">
        <v>4279</v>
      </c>
      <c r="J6" s="3">
        <f>K6-I6</f>
        <v>2620</v>
      </c>
      <c r="K6" s="3">
        <v>6899</v>
      </c>
      <c r="L6" s="3">
        <v>4241</v>
      </c>
      <c r="M6" s="3">
        <f>M5-M7</f>
        <v>3181.4860000000008</v>
      </c>
      <c r="N6" s="3">
        <f>L6+M6</f>
        <v>7422.4860000000008</v>
      </c>
      <c r="O6" s="3">
        <f>O5-O7</f>
        <v>4160.9452499999998</v>
      </c>
      <c r="P6" s="3">
        <f>P5-P7</f>
        <v>2978.507525</v>
      </c>
      <c r="Q6" s="3">
        <f>O6+P6</f>
        <v>7139.4527749999997</v>
      </c>
      <c r="R6" s="3">
        <f>R5-R7</f>
        <v>4512.7513462499992</v>
      </c>
      <c r="S6" s="3">
        <f>S5-S7</f>
        <v>3335.9567062500009</v>
      </c>
      <c r="T6" s="3">
        <f>R6+S6</f>
        <v>7848.7080525000001</v>
      </c>
      <c r="U6" s="3">
        <f>U5-U7</f>
        <v>4894.4609606812501</v>
      </c>
      <c r="V6" s="3">
        <f>V5-V7</f>
        <v>3734.4278970687501</v>
      </c>
      <c r="W6" s="3">
        <f>U6+V6</f>
        <v>8628.8888577500002</v>
      </c>
      <c r="X6" s="3">
        <f>X5-X7</f>
        <v>5308.6158923391558</v>
      </c>
      <c r="Y6" s="3">
        <f>Y5-Y7</f>
        <v>4178.4718511858446</v>
      </c>
      <c r="Z6" s="3">
        <f>X6+Y6</f>
        <v>9487.0877435250004</v>
      </c>
      <c r="AA6" s="3">
        <f>AA5-AA7</f>
        <v>5757.9739931879849</v>
      </c>
      <c r="AB6" s="3">
        <f>AB5-AB7</f>
        <v>4673.132524689514</v>
      </c>
      <c r="AC6" s="3">
        <f>AA6+AB6</f>
        <v>10431.106517877499</v>
      </c>
    </row>
    <row r="7" spans="2:29" x14ac:dyDescent="0.3">
      <c r="B7" s="1" t="s">
        <v>47</v>
      </c>
      <c r="C7" s="4">
        <f t="shared" ref="C7:H7" si="2">C5-C6</f>
        <v>4213</v>
      </c>
      <c r="D7" s="4">
        <f t="shared" si="2"/>
        <v>3482</v>
      </c>
      <c r="E7" s="4">
        <f t="shared" si="2"/>
        <v>7695</v>
      </c>
      <c r="F7" s="4">
        <f t="shared" si="2"/>
        <v>5002</v>
      </c>
      <c r="G7" s="4">
        <f t="shared" si="2"/>
        <v>4477</v>
      </c>
      <c r="H7" s="4">
        <f t="shared" si="2"/>
        <v>9479</v>
      </c>
      <c r="I7" s="4">
        <f>I5-I6</f>
        <v>6841</v>
      </c>
      <c r="J7" s="4">
        <f t="shared" ref="J7:L7" si="3">J5-J6</f>
        <v>3373</v>
      </c>
      <c r="K7" s="4">
        <f t="shared" si="3"/>
        <v>10214</v>
      </c>
      <c r="L7" s="4">
        <f t="shared" si="3"/>
        <v>6721</v>
      </c>
      <c r="M7" s="4">
        <f>N7-L7</f>
        <v>4412.7289999999994</v>
      </c>
      <c r="N7" s="4">
        <f>N5*N8</f>
        <v>11133.728999999999</v>
      </c>
      <c r="O7" s="4">
        <f>O5*O8</f>
        <v>7727.4697500000011</v>
      </c>
      <c r="P7" s="4">
        <f>Q7-O7</f>
        <v>5531.5139749999989</v>
      </c>
      <c r="Q7" s="4">
        <f>Q5*Q8</f>
        <v>13258.983725</v>
      </c>
      <c r="R7" s="4">
        <f>R5*R8</f>
        <v>8380.8239287500019</v>
      </c>
      <c r="S7" s="4">
        <f>T7-R7</f>
        <v>6195.3481687499989</v>
      </c>
      <c r="T7" s="4">
        <f>T5*T8</f>
        <v>14576.172097500001</v>
      </c>
      <c r="U7" s="4">
        <f>U5*U8</f>
        <v>9089.7132126937504</v>
      </c>
      <c r="V7" s="4">
        <f>W7-U7</f>
        <v>6935.3660945562515</v>
      </c>
      <c r="W7" s="4">
        <f>W5*W8</f>
        <v>16025.079307250002</v>
      </c>
      <c r="X7" s="4">
        <f>X5*X8</f>
        <v>9858.8580857727193</v>
      </c>
      <c r="Y7" s="4">
        <f>Z7-X7</f>
        <v>7760.0191522022815</v>
      </c>
      <c r="Z7" s="4">
        <f>Z5*Z8</f>
        <v>17618.877237975001</v>
      </c>
      <c r="AA7" s="4">
        <f>AA5*AA8</f>
        <v>10693.380273063402</v>
      </c>
      <c r="AB7" s="4">
        <f>AC7-AA7</f>
        <v>8678.6746887091031</v>
      </c>
      <c r="AC7" s="4">
        <f>AC5*AC8</f>
        <v>19372.054961772505</v>
      </c>
    </row>
    <row r="8" spans="2:29" s="5" customFormat="1" x14ac:dyDescent="0.3">
      <c r="B8" s="5" t="s">
        <v>51</v>
      </c>
      <c r="C8" s="7">
        <f t="shared" ref="C8:H8" si="4">C7/C5</f>
        <v>0.61288914751236545</v>
      </c>
      <c r="D8" s="7">
        <f t="shared" si="4"/>
        <v>0.59429936849291687</v>
      </c>
      <c r="E8" s="7">
        <f t="shared" si="4"/>
        <v>0.60433519202073349</v>
      </c>
      <c r="F8" s="7">
        <f t="shared" si="4"/>
        <v>0.62862888023124297</v>
      </c>
      <c r="G8" s="7">
        <f t="shared" si="4"/>
        <v>0.59733155436957974</v>
      </c>
      <c r="H8" s="7">
        <f t="shared" si="4"/>
        <v>0.61344809733367844</v>
      </c>
      <c r="I8" s="7">
        <f>I7/I5</f>
        <v>0.61519784172661873</v>
      </c>
      <c r="J8" s="7">
        <f t="shared" ref="J8:P8" si="5">J7/J5</f>
        <v>0.5628232938428166</v>
      </c>
      <c r="K8" s="7">
        <f t="shared" si="5"/>
        <v>0.59685619119967281</v>
      </c>
      <c r="L8" s="7">
        <f t="shared" si="5"/>
        <v>0.61311804415252691</v>
      </c>
      <c r="M8" s="7">
        <f t="shared" si="5"/>
        <v>0.5810645339906757</v>
      </c>
      <c r="N8" s="10">
        <v>0.6</v>
      </c>
      <c r="O8" s="10">
        <v>0.65</v>
      </c>
      <c r="P8" s="7">
        <f t="shared" si="5"/>
        <v>0.64999999999999991</v>
      </c>
      <c r="Q8" s="10">
        <v>0.65</v>
      </c>
      <c r="R8" s="10">
        <v>0.65</v>
      </c>
      <c r="S8" s="7">
        <f t="shared" ref="S8" si="6">S7/S5</f>
        <v>0.64999999999999991</v>
      </c>
      <c r="T8" s="10">
        <v>0.65</v>
      </c>
      <c r="U8" s="10">
        <v>0.65</v>
      </c>
      <c r="V8" s="7">
        <f t="shared" ref="V8" si="7">V7/V5</f>
        <v>0.65</v>
      </c>
      <c r="W8" s="10">
        <v>0.65</v>
      </c>
      <c r="X8" s="10">
        <v>0.65</v>
      </c>
      <c r="Y8" s="7">
        <f t="shared" ref="Y8" si="8">Y7/Y5</f>
        <v>0.64999999999999991</v>
      </c>
      <c r="Z8" s="10">
        <v>0.65</v>
      </c>
      <c r="AA8" s="10">
        <v>0.65</v>
      </c>
      <c r="AB8" s="7">
        <f t="shared" ref="AB8" si="9">AB7/AB5</f>
        <v>0.65000000000000013</v>
      </c>
      <c r="AC8" s="10">
        <v>0.65</v>
      </c>
    </row>
    <row r="9" spans="2:29" x14ac:dyDescent="0.3">
      <c r="B9" t="s">
        <v>14</v>
      </c>
      <c r="C9" s="3">
        <v>1085</v>
      </c>
      <c r="D9" s="3">
        <f t="shared" ref="D9:D11" si="10">E9-C9</f>
        <v>1078</v>
      </c>
      <c r="E9" s="3">
        <v>2163</v>
      </c>
      <c r="F9" s="3">
        <v>1351</v>
      </c>
      <c r="G9" s="3">
        <f t="shared" ref="G9:G11" si="11">H9-F9</f>
        <v>1370</v>
      </c>
      <c r="H9" s="3">
        <v>2721</v>
      </c>
      <c r="I9" s="3">
        <v>1861</v>
      </c>
      <c r="J9" s="3">
        <f t="shared" ref="J9:J11" si="12">K9-I9</f>
        <v>1190</v>
      </c>
      <c r="K9" s="3">
        <v>3051</v>
      </c>
      <c r="L9" s="3">
        <v>1952</v>
      </c>
      <c r="M9" s="3">
        <f>N9-L9</f>
        <v>831.43224999999984</v>
      </c>
      <c r="N9" s="3">
        <f>N10*N5</f>
        <v>2783.4322499999998</v>
      </c>
      <c r="O9" s="3">
        <f>O10*O5</f>
        <v>1783.26225</v>
      </c>
      <c r="P9" s="3">
        <f>Q9-O9</f>
        <v>1276.5032249999997</v>
      </c>
      <c r="Q9" s="3">
        <f>Q10*Q5</f>
        <v>3059.7654749999997</v>
      </c>
      <c r="R9" s="3">
        <f>R10*R5</f>
        <v>1934.03629125</v>
      </c>
      <c r="S9" s="3">
        <f>T9-R9</f>
        <v>1429.6957312499999</v>
      </c>
      <c r="T9" s="3">
        <f>T10*T5</f>
        <v>3363.7320224999999</v>
      </c>
      <c r="U9" s="3">
        <f>U10*U5</f>
        <v>2097.6261260062502</v>
      </c>
      <c r="V9" s="3">
        <f>W9-U9</f>
        <v>1600.4690987437498</v>
      </c>
      <c r="W9" s="3">
        <f>W10*W5</f>
        <v>3698.0952247499999</v>
      </c>
      <c r="X9" s="3">
        <f>X10*X5</f>
        <v>2275.1210967167813</v>
      </c>
      <c r="Y9" s="3">
        <f>Z9-X9</f>
        <v>1790.7736505082189</v>
      </c>
      <c r="Z9" s="3">
        <f>Z10*Z5</f>
        <v>4065.8947472250002</v>
      </c>
      <c r="AA9" s="3">
        <f>AA10*AA5</f>
        <v>2467.7031399377079</v>
      </c>
      <c r="AB9" s="3">
        <f>AC9-AA9</f>
        <v>2002.7710820097923</v>
      </c>
      <c r="AC9" s="3">
        <f>AC10*AC5</f>
        <v>4470.4742219475002</v>
      </c>
    </row>
    <row r="10" spans="2:29" x14ac:dyDescent="0.3">
      <c r="B10" s="5" t="s">
        <v>154</v>
      </c>
      <c r="C10" s="7">
        <f>C9/C5</f>
        <v>0.15784114052953158</v>
      </c>
      <c r="D10" s="7">
        <f t="shared" ref="D10:M10" si="13">D9/D5</f>
        <v>0.18399044205495818</v>
      </c>
      <c r="E10" s="7">
        <f t="shared" si="13"/>
        <v>0.16987355689939526</v>
      </c>
      <c r="F10" s="7">
        <f t="shared" si="13"/>
        <v>0.1697876083951238</v>
      </c>
      <c r="G10" s="7">
        <f t="shared" si="13"/>
        <v>0.1827885256837892</v>
      </c>
      <c r="H10" s="7">
        <f t="shared" si="13"/>
        <v>0.17609370955216153</v>
      </c>
      <c r="I10" s="7">
        <f t="shared" si="13"/>
        <v>0.16735611510791368</v>
      </c>
      <c r="J10" s="7">
        <f t="shared" si="13"/>
        <v>0.19856499249123977</v>
      </c>
      <c r="K10" s="7">
        <f t="shared" si="13"/>
        <v>0.17828551393677322</v>
      </c>
      <c r="L10" s="7">
        <f t="shared" si="13"/>
        <v>0.17806969531107461</v>
      </c>
      <c r="M10" s="7">
        <f t="shared" si="13"/>
        <v>0.10948231647378956</v>
      </c>
      <c r="N10" s="10">
        <v>0.15</v>
      </c>
      <c r="O10" s="10">
        <v>0.15</v>
      </c>
      <c r="P10" s="7">
        <f t="shared" ref="P10" si="14">P9/P5</f>
        <v>0.15</v>
      </c>
      <c r="Q10" s="10">
        <v>0.15</v>
      </c>
      <c r="R10" s="10">
        <v>0.15</v>
      </c>
      <c r="S10" s="7">
        <f t="shared" ref="S10" si="15">S9/S5</f>
        <v>0.15</v>
      </c>
      <c r="T10" s="10">
        <v>0.15</v>
      </c>
      <c r="U10" s="10">
        <v>0.15</v>
      </c>
      <c r="V10" s="7">
        <f t="shared" ref="V10" si="16">V9/V5</f>
        <v>0.14999999999999997</v>
      </c>
      <c r="W10" s="10">
        <v>0.15</v>
      </c>
      <c r="X10" s="10">
        <v>0.15</v>
      </c>
      <c r="Y10" s="7">
        <f t="shared" ref="Y10" si="17">Y9/Y5</f>
        <v>0.15</v>
      </c>
      <c r="Z10" s="10">
        <v>0.15</v>
      </c>
      <c r="AA10" s="10">
        <v>0.15</v>
      </c>
      <c r="AB10" s="7">
        <f t="shared" ref="AB10" si="18">AB9/AB5</f>
        <v>0.14999999999999997</v>
      </c>
      <c r="AC10" s="10">
        <v>0.15</v>
      </c>
    </row>
    <row r="11" spans="2:29" x14ac:dyDescent="0.3">
      <c r="B11" t="s">
        <v>15</v>
      </c>
      <c r="C11" s="3">
        <v>889</v>
      </c>
      <c r="D11" s="3">
        <f t="shared" si="10"/>
        <v>1195</v>
      </c>
      <c r="E11" s="3">
        <f>2531-E13</f>
        <v>2084</v>
      </c>
      <c r="F11" s="3">
        <v>908</v>
      </c>
      <c r="G11" s="3">
        <f t="shared" si="11"/>
        <v>795</v>
      </c>
      <c r="H11" s="3">
        <f>2531-H13</f>
        <v>1703</v>
      </c>
      <c r="I11" s="3">
        <v>1249</v>
      </c>
      <c r="J11" s="3">
        <f t="shared" si="12"/>
        <v>216</v>
      </c>
      <c r="K11" s="3">
        <f>2531-K13</f>
        <v>1465</v>
      </c>
      <c r="L11" s="3">
        <v>1452</v>
      </c>
      <c r="M11" s="3">
        <f>N11-L11</f>
        <v>106.72206000000006</v>
      </c>
      <c r="N11" s="3">
        <f>N12*N7</f>
        <v>1558.7220600000001</v>
      </c>
      <c r="O11" s="3">
        <f>O12*O7</f>
        <v>850.02167250000014</v>
      </c>
      <c r="P11" s="3">
        <f>Q11-O11</f>
        <v>873.64621174999991</v>
      </c>
      <c r="Q11" s="3">
        <f>Q12*Q7</f>
        <v>1723.66788425</v>
      </c>
      <c r="R11" s="3">
        <f>R12*R7</f>
        <v>921.8906321625002</v>
      </c>
      <c r="S11" s="3">
        <f>T11-R11</f>
        <v>973.01174051249996</v>
      </c>
      <c r="T11" s="3">
        <f>T12*T7</f>
        <v>1894.9023726750002</v>
      </c>
      <c r="U11" s="3">
        <f>U12*U7</f>
        <v>999.86845339631259</v>
      </c>
      <c r="V11" s="3">
        <f>W11-U11</f>
        <v>1083.3918565461879</v>
      </c>
      <c r="W11" s="3">
        <f>W12*W7</f>
        <v>2083.2603099425005</v>
      </c>
      <c r="X11" s="3">
        <f>X12*X7</f>
        <v>1084.4743894349992</v>
      </c>
      <c r="Y11" s="3">
        <f>Z11-X11</f>
        <v>1205.9796515017508</v>
      </c>
      <c r="Z11" s="3">
        <f>Z12*Z7</f>
        <v>2290.4540409367501</v>
      </c>
      <c r="AA11" s="3">
        <f>AA12*AA7</f>
        <v>1176.2718300369743</v>
      </c>
      <c r="AB11" s="3">
        <f>AC11-AA11</f>
        <v>1342.0953149934512</v>
      </c>
      <c r="AC11" s="3">
        <f>AC12*AC7</f>
        <v>2518.3671450304255</v>
      </c>
    </row>
    <row r="12" spans="2:29" x14ac:dyDescent="0.3">
      <c r="B12" s="5" t="s">
        <v>154</v>
      </c>
      <c r="C12" s="7">
        <f>C11/C5</f>
        <v>0.12932790224032586</v>
      </c>
      <c r="D12" s="7">
        <f t="shared" ref="D12:L12" si="19">D11/D5</f>
        <v>0.20395972008875235</v>
      </c>
      <c r="E12" s="7">
        <f t="shared" si="19"/>
        <v>0.16366920600015708</v>
      </c>
      <c r="F12" s="7">
        <f t="shared" si="19"/>
        <v>0.11411335930627121</v>
      </c>
      <c r="G12" s="7">
        <f t="shared" si="19"/>
        <v>0.10607071380920614</v>
      </c>
      <c r="H12" s="7">
        <f t="shared" si="19"/>
        <v>0.1102122702562775</v>
      </c>
      <c r="I12" s="7">
        <f t="shared" si="19"/>
        <v>0.11232014388489209</v>
      </c>
      <c r="J12" s="7">
        <f t="shared" si="19"/>
        <v>3.604204905723344E-2</v>
      </c>
      <c r="K12" s="7">
        <f t="shared" si="19"/>
        <v>8.5607432945713782E-2</v>
      </c>
      <c r="L12" s="7">
        <f t="shared" si="19"/>
        <v>0.1324575807334428</v>
      </c>
      <c r="M12" s="7">
        <f t="shared" ref="M12" si="20">M11/M7</f>
        <v>2.4185047393574379E-2</v>
      </c>
      <c r="N12" s="10">
        <v>0.14000000000000001</v>
      </c>
      <c r="O12" s="10">
        <v>0.11</v>
      </c>
      <c r="P12" s="7">
        <f t="shared" ref="P12" si="21">P11/P7</f>
        <v>0.15793980015209128</v>
      </c>
      <c r="Q12" s="10">
        <v>0.13</v>
      </c>
      <c r="R12" s="10">
        <v>0.11</v>
      </c>
      <c r="S12" s="7">
        <f t="shared" ref="S12" si="22">S11/S7</f>
        <v>0.15705521530177685</v>
      </c>
      <c r="T12" s="10">
        <v>0.13</v>
      </c>
      <c r="U12" s="10">
        <v>0.11</v>
      </c>
      <c r="V12" s="7">
        <f t="shared" ref="V12" si="23">V11/V7</f>
        <v>0.1562126413768655</v>
      </c>
      <c r="W12" s="10">
        <v>0.13</v>
      </c>
      <c r="X12" s="10">
        <v>0.11</v>
      </c>
      <c r="Y12" s="7">
        <f t="shared" ref="Y12" si="24">Y11/Y7</f>
        <v>0.15540936534409142</v>
      </c>
      <c r="Z12" s="10">
        <v>0.13</v>
      </c>
      <c r="AA12" s="10">
        <v>0.11</v>
      </c>
      <c r="AB12" s="7">
        <f t="shared" ref="AB12" si="25">AB11/AB7</f>
        <v>0.15464288766803394</v>
      </c>
      <c r="AC12" s="10">
        <v>0.13</v>
      </c>
    </row>
    <row r="13" spans="2:29" x14ac:dyDescent="0.3">
      <c r="B13" s="5" t="s">
        <v>103</v>
      </c>
      <c r="C13" s="3">
        <v>486</v>
      </c>
      <c r="D13" s="3">
        <f>E13-C13</f>
        <v>-39</v>
      </c>
      <c r="E13" s="3">
        <v>447</v>
      </c>
      <c r="F13" s="3">
        <v>452</v>
      </c>
      <c r="G13" s="3">
        <f>H13-F13</f>
        <v>376</v>
      </c>
      <c r="H13" s="3">
        <v>828</v>
      </c>
      <c r="I13" s="3">
        <v>332</v>
      </c>
      <c r="J13" s="3">
        <f>K13-I13</f>
        <v>734</v>
      </c>
      <c r="K13" s="3">
        <v>1066</v>
      </c>
      <c r="L13" s="3">
        <v>411</v>
      </c>
      <c r="M13" s="3">
        <f>N13-L13</f>
        <v>418.8119999999999</v>
      </c>
      <c r="N13" s="3">
        <f>'Balance Sheet'!N62</f>
        <v>829.8119999999999</v>
      </c>
      <c r="O13" s="3">
        <f>'Balance Sheet'!O62</f>
        <v>417.97975114499997</v>
      </c>
      <c r="P13" s="3">
        <f>Q13-O13</f>
        <v>428.79716958160492</v>
      </c>
      <c r="Q13" s="3">
        <f>'Balance Sheet'!Q62</f>
        <v>846.77692072660489</v>
      </c>
      <c r="R13" s="3">
        <f>'Balance Sheet'!R62</f>
        <v>429.93110204744312</v>
      </c>
      <c r="S13" s="3">
        <f>T13-R13</f>
        <v>442.85594981134841</v>
      </c>
      <c r="T13" s="3">
        <f>'Balance Sheet'!T62</f>
        <v>872.78705185879153</v>
      </c>
      <c r="U13" s="3">
        <f>'Balance Sheet'!U62</f>
        <v>446.03341344809479</v>
      </c>
      <c r="V13" s="3">
        <f>W13-U13</f>
        <v>461.08493215287461</v>
      </c>
      <c r="W13" s="3">
        <f>'Balance Sheet'!W62</f>
        <v>907.11834560096941</v>
      </c>
      <c r="X13" s="3">
        <f>'Balance Sheet'!X62</f>
        <v>466.41005377244034</v>
      </c>
      <c r="Y13" s="3">
        <f>Z13-X13</f>
        <v>483.62082319288237</v>
      </c>
      <c r="Z13" s="3">
        <f>'Balance Sheet'!Z62</f>
        <v>950.0308769653227</v>
      </c>
      <c r="AA13" s="3">
        <f>'Balance Sheet'!AA62</f>
        <v>491.22590239220341</v>
      </c>
      <c r="AB13" s="3">
        <f>AC13-AA13</f>
        <v>510.64139195187857</v>
      </c>
      <c r="AC13" s="3">
        <f>'Balance Sheet'!AC62</f>
        <v>1001.867294344082</v>
      </c>
    </row>
    <row r="14" spans="2:29" x14ac:dyDescent="0.3">
      <c r="B14" s="1" t="s">
        <v>16</v>
      </c>
      <c r="C14" s="4">
        <f t="shared" ref="C14:AC14" si="26">C7-C9-C11</f>
        <v>2239</v>
      </c>
      <c r="D14" s="4">
        <f t="shared" si="26"/>
        <v>1209</v>
      </c>
      <c r="E14" s="4">
        <f t="shared" si="26"/>
        <v>3448</v>
      </c>
      <c r="F14" s="4">
        <f t="shared" si="26"/>
        <v>2743</v>
      </c>
      <c r="G14" s="4">
        <f t="shared" si="26"/>
        <v>2312</v>
      </c>
      <c r="H14" s="4">
        <f t="shared" si="26"/>
        <v>5055</v>
      </c>
      <c r="I14" s="4">
        <f t="shared" si="26"/>
        <v>3731</v>
      </c>
      <c r="J14" s="4">
        <f t="shared" si="26"/>
        <v>1967</v>
      </c>
      <c r="K14" s="4">
        <f t="shared" si="26"/>
        <v>5698</v>
      </c>
      <c r="L14" s="4">
        <f t="shared" si="26"/>
        <v>3317</v>
      </c>
      <c r="M14" s="4">
        <f t="shared" si="26"/>
        <v>3474.5746899999995</v>
      </c>
      <c r="N14" s="4">
        <f t="shared" si="26"/>
        <v>6791.5746899999995</v>
      </c>
      <c r="O14" s="4">
        <f t="shared" si="26"/>
        <v>5094.1858275000013</v>
      </c>
      <c r="P14" s="4">
        <f t="shared" si="26"/>
        <v>3381.3645382499994</v>
      </c>
      <c r="Q14" s="4">
        <f t="shared" si="26"/>
        <v>8475.5503657499994</v>
      </c>
      <c r="R14" s="4">
        <f t="shared" si="26"/>
        <v>5524.8970053375015</v>
      </c>
      <c r="S14" s="4">
        <f t="shared" si="26"/>
        <v>3792.6406969874988</v>
      </c>
      <c r="T14" s="4">
        <f t="shared" si="26"/>
        <v>9317.5377023250003</v>
      </c>
      <c r="U14" s="4">
        <f t="shared" si="26"/>
        <v>5992.2186332911879</v>
      </c>
      <c r="V14" s="4">
        <f t="shared" si="26"/>
        <v>4251.5051392663136</v>
      </c>
      <c r="W14" s="4">
        <f t="shared" si="26"/>
        <v>10243.723772557503</v>
      </c>
      <c r="X14" s="4">
        <f t="shared" si="26"/>
        <v>6499.262599620939</v>
      </c>
      <c r="Y14" s="4">
        <f t="shared" si="26"/>
        <v>4763.2658501923115</v>
      </c>
      <c r="Z14" s="4">
        <f t="shared" si="26"/>
        <v>11262.52844981325</v>
      </c>
      <c r="AA14" s="4">
        <f t="shared" si="26"/>
        <v>7049.4053030887189</v>
      </c>
      <c r="AB14" s="4">
        <f t="shared" si="26"/>
        <v>5333.8082917058591</v>
      </c>
      <c r="AC14" s="4">
        <f t="shared" si="26"/>
        <v>12383.213594794579</v>
      </c>
    </row>
    <row r="15" spans="2:29" x14ac:dyDescent="0.3">
      <c r="B15" s="5" t="s">
        <v>50</v>
      </c>
      <c r="C15" s="7">
        <f t="shared" ref="C15:AC15" si="27">C14/C5</f>
        <v>0.32572010474250801</v>
      </c>
      <c r="D15" s="7">
        <f t="shared" si="27"/>
        <v>0.20634920634920634</v>
      </c>
      <c r="E15" s="7">
        <f t="shared" si="27"/>
        <v>0.27079242912118118</v>
      </c>
      <c r="F15" s="7">
        <f t="shared" si="27"/>
        <v>0.34472791252984791</v>
      </c>
      <c r="G15" s="7">
        <f t="shared" si="27"/>
        <v>0.30847231487658439</v>
      </c>
      <c r="H15" s="7">
        <f t="shared" si="27"/>
        <v>0.32714211752523947</v>
      </c>
      <c r="I15" s="7">
        <f t="shared" si="27"/>
        <v>0.33552158273381294</v>
      </c>
      <c r="J15" s="7">
        <f t="shared" si="27"/>
        <v>0.32821625229434342</v>
      </c>
      <c r="K15" s="7">
        <f t="shared" si="27"/>
        <v>0.33296324431718577</v>
      </c>
      <c r="L15" s="7">
        <f t="shared" si="27"/>
        <v>0.3025907681080095</v>
      </c>
      <c r="M15" s="7">
        <f t="shared" si="27"/>
        <v>0.45752914422359642</v>
      </c>
      <c r="N15" s="7">
        <f t="shared" si="27"/>
        <v>0.36599999999999999</v>
      </c>
      <c r="O15" s="7">
        <f t="shared" si="27"/>
        <v>0.4285000000000001</v>
      </c>
      <c r="P15" s="7">
        <f t="shared" si="27"/>
        <v>0.39733912990114068</v>
      </c>
      <c r="Q15" s="7">
        <f t="shared" si="27"/>
        <v>0.41549999999999998</v>
      </c>
      <c r="R15" s="7">
        <f t="shared" si="27"/>
        <v>0.4285000000000001</v>
      </c>
      <c r="S15" s="7">
        <f t="shared" si="27"/>
        <v>0.39791411005384497</v>
      </c>
      <c r="T15" s="7">
        <f t="shared" si="27"/>
        <v>0.41549999999999998</v>
      </c>
      <c r="U15" s="7">
        <f t="shared" si="27"/>
        <v>0.42849999999999999</v>
      </c>
      <c r="V15" s="7">
        <f t="shared" si="27"/>
        <v>0.39846178310503749</v>
      </c>
      <c r="W15" s="7">
        <f t="shared" si="27"/>
        <v>0.41550000000000009</v>
      </c>
      <c r="X15" s="7">
        <f t="shared" si="27"/>
        <v>0.42850000000000005</v>
      </c>
      <c r="Y15" s="7">
        <f t="shared" si="27"/>
        <v>0.39898391252634052</v>
      </c>
      <c r="Z15" s="7">
        <f t="shared" si="27"/>
        <v>0.41549999999999998</v>
      </c>
      <c r="AA15" s="7">
        <f t="shared" si="27"/>
        <v>0.42849999999999999</v>
      </c>
      <c r="AB15" s="7">
        <f t="shared" si="27"/>
        <v>0.39948212301577807</v>
      </c>
      <c r="AC15" s="7">
        <f t="shared" si="27"/>
        <v>0.41550000000000009</v>
      </c>
    </row>
    <row r="16" spans="2:29" x14ac:dyDescent="0.3">
      <c r="B16" t="s">
        <v>27</v>
      </c>
      <c r="C16" s="3">
        <v>5</v>
      </c>
      <c r="D16" s="3">
        <f t="shared" ref="D16:D19" si="28">E16-C16</f>
        <v>9</v>
      </c>
      <c r="E16" s="3">
        <v>14</v>
      </c>
      <c r="F16" s="3">
        <v>-31</v>
      </c>
      <c r="G16" s="3">
        <f t="shared" ref="G16:G19" si="29">H16-F16</f>
        <v>14</v>
      </c>
      <c r="H16" s="3">
        <v>-17</v>
      </c>
      <c r="I16" s="3">
        <v>19</v>
      </c>
      <c r="J16" s="3">
        <f t="shared" ref="J16:J19" si="30">K16-I16</f>
        <v>309</v>
      </c>
      <c r="K16" s="3">
        <v>328</v>
      </c>
      <c r="L16" s="3">
        <v>-60</v>
      </c>
      <c r="M16" s="3"/>
      <c r="N16" s="3">
        <f>L16+M16</f>
        <v>-60</v>
      </c>
    </row>
    <row r="17" spans="2:29" x14ac:dyDescent="0.3">
      <c r="B17" t="s">
        <v>17</v>
      </c>
      <c r="C17" s="3">
        <v>127</v>
      </c>
      <c r="D17" s="3">
        <f t="shared" si="28"/>
        <v>151</v>
      </c>
      <c r="E17" s="3">
        <v>278</v>
      </c>
      <c r="F17" s="3">
        <v>130</v>
      </c>
      <c r="G17" s="3">
        <f t="shared" si="29"/>
        <v>367</v>
      </c>
      <c r="H17" s="3">
        <v>497</v>
      </c>
      <c r="I17" s="3">
        <v>303</v>
      </c>
      <c r="J17" s="3">
        <f t="shared" si="30"/>
        <v>37</v>
      </c>
      <c r="K17" s="3">
        <v>340</v>
      </c>
      <c r="L17" s="3">
        <v>287</v>
      </c>
      <c r="M17" s="3"/>
      <c r="N17" s="3">
        <f>L17+M17</f>
        <v>287</v>
      </c>
    </row>
    <row r="18" spans="2:29" x14ac:dyDescent="0.3">
      <c r="B18" t="s">
        <v>18</v>
      </c>
      <c r="C18" s="3">
        <v>-327</v>
      </c>
      <c r="D18" s="3">
        <f t="shared" si="28"/>
        <v>-324</v>
      </c>
      <c r="E18" s="3">
        <v>-651</v>
      </c>
      <c r="F18" s="3">
        <v>-310</v>
      </c>
      <c r="G18" s="3">
        <f t="shared" si="29"/>
        <v>-609</v>
      </c>
      <c r="H18" s="3">
        <v>-919</v>
      </c>
      <c r="I18" s="3">
        <v>-648</v>
      </c>
      <c r="J18" s="3">
        <f t="shared" si="30"/>
        <v>-286</v>
      </c>
      <c r="K18" s="3">
        <v>-934</v>
      </c>
      <c r="L18" s="3">
        <v>-718</v>
      </c>
      <c r="M18" s="3">
        <f>N18-L18</f>
        <v>-799.04</v>
      </c>
      <c r="N18" s="3">
        <f>-'Balance Sheet'!N82</f>
        <v>-1517.04</v>
      </c>
      <c r="O18" s="3">
        <f>-'Balance Sheet'!O82</f>
        <v>-819.04</v>
      </c>
      <c r="P18" s="3">
        <f>Q18-O18</f>
        <v>-839.04</v>
      </c>
      <c r="Q18" s="3">
        <f>-'Balance Sheet'!Q82</f>
        <v>-1658.08</v>
      </c>
      <c r="R18" s="3">
        <f>-'Balance Sheet'!R82</f>
        <v>-859.04</v>
      </c>
      <c r="S18" s="3">
        <f>T18-R18</f>
        <v>-879.04</v>
      </c>
      <c r="T18" s="3">
        <f>-'Balance Sheet'!T82</f>
        <v>-1738.08</v>
      </c>
      <c r="U18" s="3">
        <f>-'Balance Sheet'!U82</f>
        <v>-899.04</v>
      </c>
      <c r="V18" s="3">
        <f>W18-U18</f>
        <v>-919.04</v>
      </c>
      <c r="W18" s="3">
        <f>-'Balance Sheet'!W82</f>
        <v>-1818.08</v>
      </c>
      <c r="X18" s="3">
        <f>-'Balance Sheet'!X82</f>
        <v>-939.04</v>
      </c>
      <c r="Y18" s="3">
        <f>Z18-X18</f>
        <v>-959.04</v>
      </c>
      <c r="Z18" s="3">
        <f>-'Balance Sheet'!Z82</f>
        <v>-1898.08</v>
      </c>
      <c r="AA18" s="3">
        <f>-'Balance Sheet'!AA82</f>
        <v>-979.04</v>
      </c>
      <c r="AB18" s="3">
        <f>AC18-AA18</f>
        <v>-999.04</v>
      </c>
      <c r="AC18" s="3">
        <f>-'Balance Sheet'!AC82</f>
        <v>-1978.08</v>
      </c>
    </row>
    <row r="19" spans="2:29" x14ac:dyDescent="0.3">
      <c r="B19" t="s">
        <v>19</v>
      </c>
      <c r="C19" s="3">
        <v>154</v>
      </c>
      <c r="D19" s="3">
        <f t="shared" si="28"/>
        <v>180</v>
      </c>
      <c r="E19" s="3">
        <v>334</v>
      </c>
      <c r="F19" s="3">
        <v>190</v>
      </c>
      <c r="G19" s="3">
        <f t="shared" si="29"/>
        <v>227</v>
      </c>
      <c r="H19" s="3">
        <v>417</v>
      </c>
      <c r="I19" s="3">
        <v>202</v>
      </c>
      <c r="J19" s="3">
        <f t="shared" si="30"/>
        <v>168</v>
      </c>
      <c r="K19" s="3">
        <v>370</v>
      </c>
      <c r="L19" s="3">
        <v>253</v>
      </c>
      <c r="M19" s="3"/>
      <c r="N19" s="3">
        <f>L19+M19</f>
        <v>253</v>
      </c>
    </row>
    <row r="20" spans="2:29" x14ac:dyDescent="0.3">
      <c r="B20" s="1" t="s">
        <v>20</v>
      </c>
      <c r="C20" s="4">
        <f t="shared" ref="C20" si="31">C14+C16+C17+C18+C19</f>
        <v>2198</v>
      </c>
      <c r="D20" s="4">
        <f t="shared" ref="D20:AC20" si="32">D14+D16+D17+D18+D19</f>
        <v>1225</v>
      </c>
      <c r="E20" s="4">
        <f>E14+E16+E17+E18+E19</f>
        <v>3423</v>
      </c>
      <c r="F20" s="4">
        <f t="shared" ref="F20" si="33">F14+F16+F17+F18+F19</f>
        <v>2722</v>
      </c>
      <c r="G20" s="4">
        <f t="shared" si="32"/>
        <v>2311</v>
      </c>
      <c r="H20" s="4">
        <f t="shared" si="32"/>
        <v>5033</v>
      </c>
      <c r="I20" s="4">
        <f t="shared" si="32"/>
        <v>3607</v>
      </c>
      <c r="J20" s="4">
        <f t="shared" si="32"/>
        <v>2195</v>
      </c>
      <c r="K20" s="4">
        <f t="shared" si="32"/>
        <v>5802</v>
      </c>
      <c r="L20" s="4">
        <f t="shared" si="32"/>
        <v>3079</v>
      </c>
      <c r="M20" s="4">
        <f t="shared" si="32"/>
        <v>2675.5346899999995</v>
      </c>
      <c r="N20" s="4">
        <f t="shared" si="32"/>
        <v>5754.5346899999995</v>
      </c>
      <c r="O20" s="4">
        <f t="shared" si="32"/>
        <v>4275.1458275000014</v>
      </c>
      <c r="P20" s="4">
        <f t="shared" si="32"/>
        <v>2542.3245382499995</v>
      </c>
      <c r="Q20" s="4">
        <f t="shared" si="32"/>
        <v>6817.4703657499995</v>
      </c>
      <c r="R20" s="4">
        <f t="shared" si="32"/>
        <v>4665.8570053375015</v>
      </c>
      <c r="S20" s="4">
        <f t="shared" si="32"/>
        <v>2913.6006969874988</v>
      </c>
      <c r="T20" s="4">
        <f t="shared" si="32"/>
        <v>7579.4577023250004</v>
      </c>
      <c r="U20" s="4">
        <f t="shared" si="32"/>
        <v>5093.1786332911879</v>
      </c>
      <c r="V20" s="4">
        <f t="shared" si="32"/>
        <v>3332.4651392663136</v>
      </c>
      <c r="W20" s="4">
        <f t="shared" si="32"/>
        <v>8425.6437725575033</v>
      </c>
      <c r="X20" s="4">
        <f t="shared" si="32"/>
        <v>5560.222599620939</v>
      </c>
      <c r="Y20" s="4">
        <f t="shared" si="32"/>
        <v>3804.2258501923116</v>
      </c>
      <c r="Z20" s="4">
        <f t="shared" si="32"/>
        <v>9364.4484498132497</v>
      </c>
      <c r="AA20" s="4">
        <f t="shared" si="32"/>
        <v>6070.365303088719</v>
      </c>
      <c r="AB20" s="4">
        <f t="shared" si="32"/>
        <v>4334.7682917058592</v>
      </c>
      <c r="AC20" s="4">
        <f t="shared" si="32"/>
        <v>10405.133594794579</v>
      </c>
    </row>
    <row r="21" spans="2:29" x14ac:dyDescent="0.3">
      <c r="B21" t="s">
        <v>21</v>
      </c>
      <c r="C21" s="3">
        <v>537</v>
      </c>
      <c r="D21" s="3">
        <f>E21-C21</f>
        <v>370</v>
      </c>
      <c r="E21" s="3">
        <v>907</v>
      </c>
      <c r="F21" s="3">
        <v>634</v>
      </c>
      <c r="G21" s="3">
        <f>H21-F21</f>
        <v>415</v>
      </c>
      <c r="H21" s="3">
        <v>1049</v>
      </c>
      <c r="I21" s="3">
        <v>766</v>
      </c>
      <c r="J21" s="3">
        <f>K21-I21</f>
        <v>204</v>
      </c>
      <c r="K21" s="3">
        <v>970</v>
      </c>
      <c r="L21" s="3">
        <v>737</v>
      </c>
      <c r="M21" s="3">
        <f>N21-L21</f>
        <v>413.90693799999985</v>
      </c>
      <c r="N21" s="3">
        <f>N20*N22</f>
        <v>1150.9069379999999</v>
      </c>
      <c r="O21" s="3">
        <f>O20*O22</f>
        <v>855.02916550000032</v>
      </c>
      <c r="P21" s="3">
        <f>Q21-O21</f>
        <v>508.46490764999976</v>
      </c>
      <c r="Q21" s="3">
        <f>Q20*Q22</f>
        <v>1363.4940731500001</v>
      </c>
      <c r="R21" s="3">
        <f>R20*R22</f>
        <v>933.17140106750037</v>
      </c>
      <c r="S21" s="3">
        <f>T21-R21</f>
        <v>582.72013939749979</v>
      </c>
      <c r="T21" s="3">
        <f>T20*T22</f>
        <v>1515.8915404650002</v>
      </c>
      <c r="U21" s="3">
        <f>U20*U22</f>
        <v>1018.6357266582377</v>
      </c>
      <c r="V21" s="3">
        <f>W21-U21</f>
        <v>666.49302785326313</v>
      </c>
      <c r="W21" s="3">
        <f>W20*W22</f>
        <v>1685.1287545115008</v>
      </c>
      <c r="X21" s="3">
        <f>X20*X22</f>
        <v>1112.0445199241879</v>
      </c>
      <c r="Y21" s="3">
        <f>Z21-X21</f>
        <v>760.84517003846213</v>
      </c>
      <c r="Z21" s="3">
        <f>Z20*Z22</f>
        <v>1872.88968996265</v>
      </c>
      <c r="AA21" s="3">
        <f>AA20*AA22</f>
        <v>1214.0730606177437</v>
      </c>
      <c r="AB21" s="3">
        <f>AC21-AA21</f>
        <v>866.95365834117206</v>
      </c>
      <c r="AC21" s="3">
        <f>AC20*AC22</f>
        <v>2081.0267189589158</v>
      </c>
    </row>
    <row r="22" spans="2:29" x14ac:dyDescent="0.3">
      <c r="B22" s="5" t="s">
        <v>52</v>
      </c>
      <c r="C22" s="7">
        <f t="shared" ref="C22:H22" si="34">C21/C20</f>
        <v>0.24431301182893539</v>
      </c>
      <c r="D22" s="7">
        <f t="shared" si="34"/>
        <v>0.30204081632653063</v>
      </c>
      <c r="E22" s="7">
        <f t="shared" si="34"/>
        <v>0.26497224656733859</v>
      </c>
      <c r="F22" s="7">
        <f t="shared" si="34"/>
        <v>0.23291697281410728</v>
      </c>
      <c r="G22" s="7">
        <f t="shared" si="34"/>
        <v>0.17957594115101688</v>
      </c>
      <c r="H22" s="7">
        <f t="shared" si="34"/>
        <v>0.208424398966819</v>
      </c>
      <c r="I22" s="7">
        <f>I21/I20</f>
        <v>0.2123648461325201</v>
      </c>
      <c r="J22" s="7">
        <f t="shared" ref="J22:P22" si="35">J21/J20</f>
        <v>9.2938496583143501E-2</v>
      </c>
      <c r="K22" s="7">
        <f t="shared" si="35"/>
        <v>0.16718372974836263</v>
      </c>
      <c r="L22" s="7">
        <f t="shared" si="35"/>
        <v>0.23936342968496266</v>
      </c>
      <c r="M22" s="7">
        <f t="shared" si="35"/>
        <v>0.1547006434067203</v>
      </c>
      <c r="N22" s="10">
        <v>0.2</v>
      </c>
      <c r="O22" s="10">
        <v>0.2</v>
      </c>
      <c r="P22" s="7">
        <f t="shared" si="35"/>
        <v>0.19999999999999996</v>
      </c>
      <c r="Q22" s="10">
        <v>0.2</v>
      </c>
      <c r="R22" s="10">
        <v>0.2</v>
      </c>
      <c r="S22" s="7">
        <f t="shared" ref="S22" si="36">S21/S20</f>
        <v>0.2</v>
      </c>
      <c r="T22" s="10">
        <v>0.2</v>
      </c>
      <c r="U22" s="10">
        <v>0.2</v>
      </c>
      <c r="V22" s="7">
        <f t="shared" ref="V22" si="37">V21/V20</f>
        <v>0.20000000000000012</v>
      </c>
      <c r="W22" s="10">
        <v>0.2</v>
      </c>
      <c r="X22" s="10">
        <v>0.2</v>
      </c>
      <c r="Y22" s="7">
        <f t="shared" ref="Y22" si="38">Y21/Y20</f>
        <v>0.19999999999999996</v>
      </c>
      <c r="Z22" s="10">
        <v>0.2</v>
      </c>
      <c r="AA22" s="10">
        <v>0.2</v>
      </c>
      <c r="AB22" s="7">
        <f t="shared" ref="AB22" si="39">AB21/AB20</f>
        <v>0.20000000000000004</v>
      </c>
      <c r="AC22" s="10">
        <v>0.2</v>
      </c>
    </row>
    <row r="23" spans="2:29" x14ac:dyDescent="0.3">
      <c r="B23" s="1" t="s">
        <v>22</v>
      </c>
      <c r="C23" s="4">
        <f t="shared" ref="C23:D23" si="40">C20-C21</f>
        <v>1661</v>
      </c>
      <c r="D23" s="4">
        <f t="shared" si="40"/>
        <v>855</v>
      </c>
      <c r="E23" s="4">
        <f t="shared" ref="E23:H23" si="41">E20-E21</f>
        <v>2516</v>
      </c>
      <c r="F23" s="4">
        <f t="shared" si="41"/>
        <v>2088</v>
      </c>
      <c r="G23" s="4">
        <f t="shared" si="41"/>
        <v>1896</v>
      </c>
      <c r="H23" s="4">
        <f t="shared" si="41"/>
        <v>3984</v>
      </c>
      <c r="I23" s="4">
        <f>I20-I21</f>
        <v>2841</v>
      </c>
      <c r="J23" s="4">
        <f t="shared" ref="J23:AC23" si="42">J20-J21</f>
        <v>1991</v>
      </c>
      <c r="K23" s="4">
        <f t="shared" si="42"/>
        <v>4832</v>
      </c>
      <c r="L23" s="4">
        <f t="shared" si="42"/>
        <v>2342</v>
      </c>
      <c r="M23" s="4">
        <f t="shared" si="42"/>
        <v>2261.6277519999994</v>
      </c>
      <c r="N23" s="4">
        <f t="shared" si="42"/>
        <v>4603.6277519999994</v>
      </c>
      <c r="O23" s="4">
        <f t="shared" si="42"/>
        <v>3420.1166620000013</v>
      </c>
      <c r="P23" s="4">
        <f t="shared" si="42"/>
        <v>2033.8596305999997</v>
      </c>
      <c r="Q23" s="4">
        <f t="shared" si="42"/>
        <v>5453.9762925999994</v>
      </c>
      <c r="R23" s="4">
        <f t="shared" si="42"/>
        <v>3732.685604270001</v>
      </c>
      <c r="S23" s="4">
        <f t="shared" si="42"/>
        <v>2330.8805575899992</v>
      </c>
      <c r="T23" s="4">
        <f t="shared" si="42"/>
        <v>6063.5661618600006</v>
      </c>
      <c r="U23" s="4">
        <f t="shared" si="42"/>
        <v>4074.5429066329502</v>
      </c>
      <c r="V23" s="4">
        <f t="shared" si="42"/>
        <v>2665.9721114130507</v>
      </c>
      <c r="W23" s="4">
        <f t="shared" si="42"/>
        <v>6740.5150180460023</v>
      </c>
      <c r="X23" s="4">
        <f t="shared" si="42"/>
        <v>4448.1780796967514</v>
      </c>
      <c r="Y23" s="4">
        <f t="shared" si="42"/>
        <v>3043.3806801538494</v>
      </c>
      <c r="Z23" s="4">
        <f t="shared" si="42"/>
        <v>7491.5587598505999</v>
      </c>
      <c r="AA23" s="4">
        <f t="shared" si="42"/>
        <v>4856.292242470975</v>
      </c>
      <c r="AB23" s="4">
        <f t="shared" si="42"/>
        <v>3467.8146333646873</v>
      </c>
      <c r="AC23" s="4">
        <f t="shared" si="42"/>
        <v>8324.1068758356632</v>
      </c>
    </row>
    <row r="24" spans="2:29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29" x14ac:dyDescent="0.3">
      <c r="B25" t="s">
        <v>23</v>
      </c>
      <c r="C25" s="3">
        <v>81</v>
      </c>
      <c r="D25" s="3">
        <f>E25-C25</f>
        <v>58</v>
      </c>
      <c r="E25" s="3">
        <v>139</v>
      </c>
      <c r="F25" s="3">
        <v>123</v>
      </c>
      <c r="G25" s="3">
        <f>H25-F25</f>
        <v>-34</v>
      </c>
      <c r="H25" s="3">
        <v>89</v>
      </c>
      <c r="I25" s="3">
        <v>132</v>
      </c>
      <c r="J25" s="3">
        <f>K25-I25</f>
        <v>-100</v>
      </c>
      <c r="K25" s="3">
        <v>32</v>
      </c>
      <c r="L25" s="3">
        <v>132</v>
      </c>
      <c r="M25" s="3">
        <f>L25</f>
        <v>132</v>
      </c>
      <c r="N25" s="3">
        <f>L25+M25</f>
        <v>264</v>
      </c>
    </row>
    <row r="26" spans="2:29" x14ac:dyDescent="0.3">
      <c r="B26" t="s">
        <v>24</v>
      </c>
      <c r="C26" s="4">
        <f t="shared" ref="C26:H26" si="43">C23-C25</f>
        <v>1580</v>
      </c>
      <c r="D26" s="4">
        <f t="shared" si="43"/>
        <v>797</v>
      </c>
      <c r="E26" s="4">
        <f t="shared" si="43"/>
        <v>2377</v>
      </c>
      <c r="F26" s="4">
        <f t="shared" si="43"/>
        <v>1965</v>
      </c>
      <c r="G26" s="4">
        <f t="shared" si="43"/>
        <v>1930</v>
      </c>
      <c r="H26" s="4">
        <f t="shared" si="43"/>
        <v>3895</v>
      </c>
      <c r="I26" s="4">
        <f>I23-I25</f>
        <v>2709</v>
      </c>
      <c r="J26" s="4">
        <f t="shared" ref="J26:AC26" si="44">J23-J25</f>
        <v>2091</v>
      </c>
      <c r="K26" s="4">
        <f t="shared" si="44"/>
        <v>4800</v>
      </c>
      <c r="L26" s="4">
        <f t="shared" si="44"/>
        <v>2210</v>
      </c>
      <c r="M26" s="4">
        <f t="shared" si="44"/>
        <v>2129.6277519999994</v>
      </c>
      <c r="N26" s="4">
        <f t="shared" si="44"/>
        <v>4339.6277519999994</v>
      </c>
      <c r="O26" s="4">
        <f t="shared" si="44"/>
        <v>3420.1166620000013</v>
      </c>
      <c r="P26" s="4">
        <f t="shared" si="44"/>
        <v>2033.8596305999997</v>
      </c>
      <c r="Q26" s="4">
        <f t="shared" si="44"/>
        <v>5453.9762925999994</v>
      </c>
      <c r="R26" s="4">
        <f t="shared" si="44"/>
        <v>3732.685604270001</v>
      </c>
      <c r="S26" s="4">
        <f t="shared" si="44"/>
        <v>2330.8805575899992</v>
      </c>
      <c r="T26" s="4">
        <f t="shared" si="44"/>
        <v>6063.5661618600006</v>
      </c>
      <c r="U26" s="4">
        <f t="shared" si="44"/>
        <v>4074.5429066329502</v>
      </c>
      <c r="V26" s="4">
        <f t="shared" si="44"/>
        <v>2665.9721114130507</v>
      </c>
      <c r="W26" s="4">
        <f t="shared" si="44"/>
        <v>6740.5150180460023</v>
      </c>
      <c r="X26" s="4">
        <f t="shared" si="44"/>
        <v>4448.1780796967514</v>
      </c>
      <c r="Y26" s="4">
        <f t="shared" si="44"/>
        <v>3043.3806801538494</v>
      </c>
      <c r="Z26" s="4">
        <f t="shared" si="44"/>
        <v>7491.5587598505999</v>
      </c>
      <c r="AA26" s="4">
        <f t="shared" si="44"/>
        <v>4856.292242470975</v>
      </c>
      <c r="AB26" s="4">
        <f t="shared" si="44"/>
        <v>3467.8146333646873</v>
      </c>
      <c r="AC26" s="4">
        <f t="shared" si="44"/>
        <v>8324.1068758356632</v>
      </c>
    </row>
    <row r="27" spans="2:29" x14ac:dyDescent="0.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29" x14ac:dyDescent="0.3">
      <c r="B28" s="1" t="s">
        <v>25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29" x14ac:dyDescent="0.3">
      <c r="B29" t="s">
        <v>49</v>
      </c>
      <c r="C29" s="3">
        <v>2336</v>
      </c>
      <c r="D29" s="3">
        <f>D26/D33*100</f>
        <v>2338.9849673048025</v>
      </c>
      <c r="E29" s="3">
        <v>2337</v>
      </c>
      <c r="F29" s="3">
        <v>2331</v>
      </c>
      <c r="G29" s="3">
        <f>G26/G33*100</f>
        <v>2304.9123779527558</v>
      </c>
      <c r="H29" s="3">
        <v>2318</v>
      </c>
      <c r="I29" s="3">
        <v>2274</v>
      </c>
      <c r="J29" s="3">
        <f>J26/J33*100</f>
        <v>2251.174518572052</v>
      </c>
      <c r="K29" s="3">
        <v>2264</v>
      </c>
      <c r="L29" s="3">
        <v>2242</v>
      </c>
      <c r="M29" s="3">
        <f>L29</f>
        <v>2242</v>
      </c>
      <c r="N29" s="3">
        <f t="shared" ref="N29:AC29" si="45">M29</f>
        <v>2242</v>
      </c>
      <c r="O29" s="3">
        <f t="shared" si="45"/>
        <v>2242</v>
      </c>
      <c r="P29" s="3">
        <f t="shared" si="45"/>
        <v>2242</v>
      </c>
      <c r="Q29" s="3">
        <f t="shared" si="45"/>
        <v>2242</v>
      </c>
      <c r="R29" s="3">
        <f t="shared" si="45"/>
        <v>2242</v>
      </c>
      <c r="S29" s="3">
        <f t="shared" si="45"/>
        <v>2242</v>
      </c>
      <c r="T29" s="3">
        <f t="shared" si="45"/>
        <v>2242</v>
      </c>
      <c r="U29" s="3">
        <f t="shared" si="45"/>
        <v>2242</v>
      </c>
      <c r="V29" s="3">
        <f t="shared" si="45"/>
        <v>2242</v>
      </c>
      <c r="W29" s="3">
        <f t="shared" si="45"/>
        <v>2242</v>
      </c>
      <c r="X29" s="3">
        <f t="shared" si="45"/>
        <v>2242</v>
      </c>
      <c r="Y29" s="3">
        <f t="shared" si="45"/>
        <v>2242</v>
      </c>
      <c r="Z29" s="3">
        <f t="shared" si="45"/>
        <v>2242</v>
      </c>
      <c r="AA29" s="3">
        <f t="shared" si="45"/>
        <v>2242</v>
      </c>
      <c r="AB29" s="3">
        <f t="shared" si="45"/>
        <v>2242</v>
      </c>
      <c r="AC29" s="3">
        <f t="shared" si="45"/>
        <v>2242</v>
      </c>
    </row>
    <row r="30" spans="2:29" x14ac:dyDescent="0.3">
      <c r="B30" t="s">
        <v>26</v>
      </c>
      <c r="C30" s="3">
        <v>7</v>
      </c>
      <c r="D30" s="3">
        <f>D31-D29</f>
        <v>9.9900119223348156</v>
      </c>
      <c r="E30" s="3">
        <v>8</v>
      </c>
      <c r="F30" s="3">
        <v>8</v>
      </c>
      <c r="G30" s="3">
        <f>G31-G29</f>
        <v>6.0048725525525697</v>
      </c>
      <c r="H30" s="3">
        <v>7</v>
      </c>
      <c r="I30" s="3">
        <v>7</v>
      </c>
      <c r="J30" s="3">
        <f>J31-J29</f>
        <v>6.9996031763885185</v>
      </c>
      <c r="K30" s="3">
        <v>7</v>
      </c>
      <c r="L30" s="3">
        <v>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2:29" x14ac:dyDescent="0.3">
      <c r="B31" t="s">
        <v>48</v>
      </c>
      <c r="C31" s="4">
        <f t="shared" ref="C31:H31" si="46">C29+C30</f>
        <v>2343</v>
      </c>
      <c r="D31" s="4">
        <f>D26/D34*100</f>
        <v>2348.9749792271373</v>
      </c>
      <c r="E31" s="4">
        <f t="shared" si="46"/>
        <v>2345</v>
      </c>
      <c r="F31" s="4">
        <f t="shared" si="46"/>
        <v>2339</v>
      </c>
      <c r="G31" s="4">
        <f>G26/G34*100</f>
        <v>2310.9172505053084</v>
      </c>
      <c r="H31" s="4">
        <f t="shared" si="46"/>
        <v>2325</v>
      </c>
      <c r="I31" s="4">
        <f>I29+I30</f>
        <v>2281</v>
      </c>
      <c r="J31" s="4">
        <f>J26/J34*100</f>
        <v>2258.1741217484405</v>
      </c>
      <c r="K31" s="4">
        <f t="shared" ref="K31:L31" si="47">K29+K30</f>
        <v>2271</v>
      </c>
      <c r="L31" s="4">
        <f t="shared" si="47"/>
        <v>2247</v>
      </c>
      <c r="M31" s="4">
        <f>L31</f>
        <v>2247</v>
      </c>
      <c r="N31" s="4">
        <f t="shared" ref="N31:AC31" si="48">M31</f>
        <v>2247</v>
      </c>
      <c r="O31" s="4">
        <f t="shared" si="48"/>
        <v>2247</v>
      </c>
      <c r="P31" s="4">
        <f t="shared" si="48"/>
        <v>2247</v>
      </c>
      <c r="Q31" s="4">
        <f t="shared" si="48"/>
        <v>2247</v>
      </c>
      <c r="R31" s="4">
        <f t="shared" si="48"/>
        <v>2247</v>
      </c>
      <c r="S31" s="4">
        <f t="shared" si="48"/>
        <v>2247</v>
      </c>
      <c r="T31" s="4">
        <f t="shared" si="48"/>
        <v>2247</v>
      </c>
      <c r="U31" s="4">
        <f t="shared" si="48"/>
        <v>2247</v>
      </c>
      <c r="V31" s="4">
        <f t="shared" si="48"/>
        <v>2247</v>
      </c>
      <c r="W31" s="4">
        <f t="shared" si="48"/>
        <v>2247</v>
      </c>
      <c r="X31" s="4">
        <f t="shared" si="48"/>
        <v>2247</v>
      </c>
      <c r="Y31" s="4">
        <f t="shared" si="48"/>
        <v>2247</v>
      </c>
      <c r="Z31" s="4">
        <f t="shared" si="48"/>
        <v>2247</v>
      </c>
      <c r="AA31" s="4">
        <f t="shared" si="48"/>
        <v>2247</v>
      </c>
      <c r="AB31" s="4">
        <f t="shared" si="48"/>
        <v>2247</v>
      </c>
      <c r="AC31" s="4">
        <f t="shared" si="48"/>
        <v>2247</v>
      </c>
    </row>
    <row r="32" spans="2:29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29" x14ac:dyDescent="0.3">
      <c r="B33" s="1" t="s">
        <v>28</v>
      </c>
      <c r="C33" s="2">
        <f t="shared" ref="C33" si="49">C26/C29*100</f>
        <v>67.636986301369859</v>
      </c>
      <c r="D33" s="2">
        <f>E33-C33</f>
        <v>34.074609761959181</v>
      </c>
      <c r="E33" s="2">
        <f t="shared" ref="E33:H33" si="50">E26/E29*100</f>
        <v>101.71159606332904</v>
      </c>
      <c r="F33" s="2">
        <f t="shared" si="50"/>
        <v>84.298584298584302</v>
      </c>
      <c r="G33" s="2">
        <f>H33-F33</f>
        <v>83.73420258666161</v>
      </c>
      <c r="H33" s="2">
        <f t="shared" si="50"/>
        <v>168.03278688524591</v>
      </c>
      <c r="I33" s="2">
        <f>I26/I29*100</f>
        <v>119.12928759894459</v>
      </c>
      <c r="J33" s="2">
        <f>K33-I33</f>
        <v>92.884846676673789</v>
      </c>
      <c r="K33" s="2">
        <f t="shared" ref="K33:U33" si="51">K26/K29*100</f>
        <v>212.01413427561837</v>
      </c>
      <c r="L33" s="2">
        <f t="shared" si="51"/>
        <v>98.572702943800181</v>
      </c>
      <c r="M33" s="2">
        <f t="shared" si="51"/>
        <v>94.987856913470097</v>
      </c>
      <c r="N33" s="2">
        <f t="shared" si="51"/>
        <v>193.56055985727028</v>
      </c>
      <c r="O33" s="2">
        <f t="shared" si="51"/>
        <v>152.54757636039255</v>
      </c>
      <c r="P33" s="2">
        <f t="shared" si="51"/>
        <v>90.716308233719872</v>
      </c>
      <c r="Q33" s="2">
        <f t="shared" si="51"/>
        <v>243.26388459411237</v>
      </c>
      <c r="R33" s="2">
        <f t="shared" si="51"/>
        <v>166.48909920918825</v>
      </c>
      <c r="S33" s="2">
        <f t="shared" si="51"/>
        <v>103.96434244380015</v>
      </c>
      <c r="T33" s="2">
        <f t="shared" si="51"/>
        <v>270.45344165298843</v>
      </c>
      <c r="U33" s="2">
        <f t="shared" si="51"/>
        <v>181.73697174990858</v>
      </c>
      <c r="V33" s="2">
        <f t="shared" ref="V33:AC33" si="52">V26/V29*100</f>
        <v>118.91044207908344</v>
      </c>
      <c r="W33" s="2">
        <f t="shared" si="52"/>
        <v>300.64741382899206</v>
      </c>
      <c r="X33" s="2">
        <f t="shared" si="52"/>
        <v>198.40223370636713</v>
      </c>
      <c r="Y33" s="2">
        <f t="shared" si="52"/>
        <v>135.74400892746877</v>
      </c>
      <c r="Z33" s="2">
        <f t="shared" si="52"/>
        <v>334.14624263383587</v>
      </c>
      <c r="AA33" s="2">
        <f t="shared" si="52"/>
        <v>216.60536317890165</v>
      </c>
      <c r="AB33" s="2">
        <f t="shared" si="52"/>
        <v>154.67505055150255</v>
      </c>
      <c r="AC33" s="2">
        <f t="shared" si="52"/>
        <v>371.28041373040423</v>
      </c>
    </row>
    <row r="34" spans="2:29" x14ac:dyDescent="0.3">
      <c r="B34" s="1" t="s">
        <v>29</v>
      </c>
      <c r="C34" s="2">
        <f t="shared" ref="C34" si="53">C26/C31*100</f>
        <v>67.434912505335049</v>
      </c>
      <c r="D34" s="2">
        <f>E34-C34</f>
        <v>33.929693038374978</v>
      </c>
      <c r="E34" s="2">
        <f t="shared" ref="E34:H34" si="54">E26/E31*100</f>
        <v>101.36460554371003</v>
      </c>
      <c r="F34" s="2">
        <f t="shared" si="54"/>
        <v>84.010260795211636</v>
      </c>
      <c r="G34" s="2">
        <f>H34-F34</f>
        <v>83.516620925218476</v>
      </c>
      <c r="H34" s="2">
        <f t="shared" si="54"/>
        <v>167.52688172043011</v>
      </c>
      <c r="I34" s="2">
        <f>I26/I31*100</f>
        <v>118.76370013152126</v>
      </c>
      <c r="J34" s="2">
        <f>K34-I34</f>
        <v>92.596933950381015</v>
      </c>
      <c r="K34" s="2">
        <f t="shared" ref="K34:U34" si="55">K26/K31*100</f>
        <v>211.36063408190228</v>
      </c>
      <c r="L34" s="2">
        <f t="shared" si="55"/>
        <v>98.353360035603018</v>
      </c>
      <c r="M34" s="2">
        <f t="shared" si="55"/>
        <v>94.776490965732066</v>
      </c>
      <c r="N34" s="2">
        <f t="shared" si="55"/>
        <v>193.12985100133508</v>
      </c>
      <c r="O34" s="2">
        <f t="shared" si="55"/>
        <v>152.20812914997782</v>
      </c>
      <c r="P34" s="2">
        <f t="shared" si="55"/>
        <v>90.514447289719612</v>
      </c>
      <c r="Q34" s="2">
        <f t="shared" si="55"/>
        <v>242.72257643969738</v>
      </c>
      <c r="R34" s="2">
        <f t="shared" si="55"/>
        <v>166.11862947352029</v>
      </c>
      <c r="S34" s="2">
        <f t="shared" si="55"/>
        <v>103.73300211793499</v>
      </c>
      <c r="T34" s="2">
        <f t="shared" si="55"/>
        <v>269.85163159145532</v>
      </c>
      <c r="U34" s="2">
        <f t="shared" si="55"/>
        <v>181.33257261383847</v>
      </c>
      <c r="V34" s="2">
        <f t="shared" ref="V34:AC34" si="56">V26/V31*100</f>
        <v>118.64584385460839</v>
      </c>
      <c r="W34" s="2">
        <f t="shared" si="56"/>
        <v>299.97841646844694</v>
      </c>
      <c r="X34" s="2">
        <f t="shared" si="56"/>
        <v>197.96075121035832</v>
      </c>
      <c r="Y34" s="2">
        <f t="shared" si="56"/>
        <v>135.44195283283707</v>
      </c>
      <c r="Z34" s="2">
        <f t="shared" si="56"/>
        <v>333.40270404319534</v>
      </c>
      <c r="AA34" s="2">
        <f t="shared" si="56"/>
        <v>216.1233752768569</v>
      </c>
      <c r="AB34" s="2">
        <f t="shared" si="56"/>
        <v>154.33086930861981</v>
      </c>
      <c r="AC34" s="2">
        <f t="shared" si="56"/>
        <v>370.45424458547677</v>
      </c>
    </row>
    <row r="37" spans="2:29" x14ac:dyDescent="0.3">
      <c r="B37" s="1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5EC5-91E4-4A4F-BCBB-D03E0F08EE14}">
  <dimension ref="B2:AL56"/>
  <sheetViews>
    <sheetView tabSelected="1" workbookViewId="0">
      <pane xSplit="2" ySplit="2" topLeftCell="E23" activePane="bottomRight" state="frozen"/>
      <selection pane="topRight" activeCell="C1" sqref="C1"/>
      <selection pane="bottomLeft" activeCell="A3" sqref="A3"/>
      <selection pane="bottomRight" activeCell="AO26" sqref="AO26"/>
    </sheetView>
  </sheetViews>
  <sheetFormatPr defaultRowHeight="14.4" x14ac:dyDescent="0.3"/>
  <cols>
    <col min="1" max="1" width="1.88671875" customWidth="1"/>
    <col min="2" max="2" width="15.109375" customWidth="1"/>
    <col min="3" max="4" width="0" hidden="1" customWidth="1"/>
    <col min="6" max="7" width="0" hidden="1" customWidth="1"/>
    <col min="9" max="10" width="0" hidden="1" customWidth="1"/>
    <col min="12" max="13" width="0" hidden="1" customWidth="1"/>
    <col min="14" max="14" width="6.33203125" bestFit="1" customWidth="1"/>
    <col min="15" max="16" width="8.88671875" hidden="1" customWidth="1"/>
    <col min="17" max="17" width="8.88671875" customWidth="1"/>
    <col min="18" max="19" width="8.88671875" hidden="1" customWidth="1"/>
    <col min="20" max="20" width="8.88671875" customWidth="1"/>
    <col min="21" max="22" width="8.88671875" hidden="1" customWidth="1"/>
    <col min="23" max="23" width="8.88671875" customWidth="1"/>
    <col min="24" max="25" width="8.88671875" hidden="1" customWidth="1"/>
    <col min="26" max="26" width="8.88671875" customWidth="1"/>
    <col min="27" max="28" width="8.88671875" hidden="1" customWidth="1"/>
    <col min="29" max="29" width="8.88671875" customWidth="1"/>
  </cols>
  <sheetData>
    <row r="2" spans="2:29" x14ac:dyDescent="0.3">
      <c r="C2" t="str">
        <f>'Balance Sheet'!C2</f>
        <v>H1'21</v>
      </c>
      <c r="D2" t="str">
        <f>'Balance Sheet'!D2</f>
        <v>H2'21</v>
      </c>
      <c r="E2" t="str">
        <f>'Balance Sheet'!E2</f>
        <v>FY'21</v>
      </c>
      <c r="F2" t="str">
        <f>'Balance Sheet'!F2</f>
        <v>H1'22</v>
      </c>
      <c r="G2" t="str">
        <f>'Balance Sheet'!G2</f>
        <v>H2'22</v>
      </c>
      <c r="H2" t="str">
        <f>'Balance Sheet'!H2</f>
        <v>FY'22</v>
      </c>
      <c r="I2" t="str">
        <f>'Balance Sheet'!I2</f>
        <v>H1'23</v>
      </c>
      <c r="J2" t="str">
        <f>'Balance Sheet'!J2</f>
        <v>H2'23</v>
      </c>
      <c r="K2" t="str">
        <f>'Balance Sheet'!K2</f>
        <v>FY'23</v>
      </c>
      <c r="L2" t="str">
        <f>'Balance Sheet'!L2</f>
        <v>H1'24</v>
      </c>
      <c r="M2" t="str">
        <f>'Balance Sheet'!M2</f>
        <v>H2'24E</v>
      </c>
      <c r="N2" t="str">
        <f>'Balance Sheet'!N2</f>
        <v>FY'24E</v>
      </c>
      <c r="O2" t="str">
        <f>'Balance Sheet'!O2</f>
        <v>H1'25E</v>
      </c>
      <c r="P2" t="str">
        <f>'Balance Sheet'!P2</f>
        <v>H2'25E</v>
      </c>
      <c r="Q2" t="str">
        <f>'Balance Sheet'!Q2</f>
        <v>FY'25E</v>
      </c>
      <c r="R2" t="str">
        <f>'Balance Sheet'!R2</f>
        <v>H1'26E</v>
      </c>
      <c r="S2" t="str">
        <f>'Balance Sheet'!S2</f>
        <v>H2'26E</v>
      </c>
      <c r="T2" t="str">
        <f>'Balance Sheet'!T2</f>
        <v>FY'26E</v>
      </c>
      <c r="U2" t="str">
        <f>'Balance Sheet'!U2</f>
        <v>H1'27E</v>
      </c>
      <c r="V2" t="str">
        <f>'Balance Sheet'!V2</f>
        <v>H2'27E</v>
      </c>
      <c r="W2" t="str">
        <f>'Balance Sheet'!W2</f>
        <v>FY'27E</v>
      </c>
      <c r="X2" t="str">
        <f>'Balance Sheet'!X2</f>
        <v>H1'28E</v>
      </c>
      <c r="Y2" t="str">
        <f>'Balance Sheet'!Y2</f>
        <v>H2'28E</v>
      </c>
      <c r="Z2" t="str">
        <f>'Balance Sheet'!Z2</f>
        <v>FY'28E</v>
      </c>
      <c r="AA2" t="str">
        <f>'Balance Sheet'!AA2</f>
        <v>H1'29E</v>
      </c>
      <c r="AB2" t="str">
        <f>'Balance Sheet'!AB2</f>
        <v>H2'29E</v>
      </c>
      <c r="AC2" t="str">
        <f>'Balance Sheet'!AC2</f>
        <v>FY'29E</v>
      </c>
    </row>
    <row r="3" spans="2:29" x14ac:dyDescent="0.3">
      <c r="B3" s="1" t="s">
        <v>95</v>
      </c>
    </row>
    <row r="4" spans="2:29" x14ac:dyDescent="0.3">
      <c r="B4" s="8" t="s">
        <v>96</v>
      </c>
      <c r="C4" s="3">
        <v>1661</v>
      </c>
      <c r="D4" s="3">
        <f>E4-C4</f>
        <v>1138</v>
      </c>
      <c r="E4" s="3">
        <v>2799</v>
      </c>
      <c r="F4" s="3">
        <v>2088</v>
      </c>
      <c r="G4" s="3">
        <f>H4-F4</f>
        <v>1250</v>
      </c>
      <c r="H4" s="3">
        <v>3338</v>
      </c>
      <c r="I4" s="3">
        <v>2841</v>
      </c>
      <c r="J4" s="3">
        <f>K4-I4</f>
        <v>925</v>
      </c>
      <c r="K4" s="3">
        <v>3766</v>
      </c>
      <c r="L4" s="3">
        <v>2342</v>
      </c>
      <c r="M4" s="18">
        <f>'Income Statement '!M23</f>
        <v>2261.6277519999994</v>
      </c>
      <c r="N4" s="3">
        <f>'Income Statement '!N23</f>
        <v>4603.6277519999994</v>
      </c>
      <c r="O4" s="3">
        <f>'Income Statement '!O23</f>
        <v>3420.1166620000013</v>
      </c>
      <c r="P4" s="3">
        <f>'Income Statement '!P23</f>
        <v>2033.8596305999997</v>
      </c>
      <c r="Q4" s="3">
        <f>'Income Statement '!Q23</f>
        <v>5453.9762925999994</v>
      </c>
      <c r="R4" s="3">
        <f>'Income Statement '!R23</f>
        <v>3732.685604270001</v>
      </c>
      <c r="S4" s="3">
        <f>'Income Statement '!S23</f>
        <v>2330.8805575899992</v>
      </c>
      <c r="T4" s="3">
        <f>'Income Statement '!T23</f>
        <v>6063.5661618600006</v>
      </c>
      <c r="U4" s="3">
        <f>'Income Statement '!U23</f>
        <v>4074.5429066329502</v>
      </c>
      <c r="V4" s="3">
        <f>'Income Statement '!V23</f>
        <v>2665.9721114130507</v>
      </c>
      <c r="W4" s="3">
        <f>'Income Statement '!W23</f>
        <v>6740.5150180460023</v>
      </c>
      <c r="X4" s="3">
        <f>'Income Statement '!X23</f>
        <v>4448.1780796967514</v>
      </c>
      <c r="Y4" s="3">
        <f>'Income Statement '!Y23</f>
        <v>3043.3806801538494</v>
      </c>
      <c r="Z4" s="3">
        <f>'Income Statement '!Z23</f>
        <v>7491.5587598505999</v>
      </c>
      <c r="AA4" s="3">
        <f>'Income Statement '!AA23</f>
        <v>4856.292242470975</v>
      </c>
      <c r="AB4" s="3">
        <f>'Income Statement '!AB23</f>
        <v>3467.8146333646873</v>
      </c>
      <c r="AC4" s="3">
        <f>'Income Statement '!AC23</f>
        <v>8324.1068758356632</v>
      </c>
    </row>
    <row r="5" spans="2:29" x14ac:dyDescent="0.3">
      <c r="B5" s="8" t="s">
        <v>97</v>
      </c>
      <c r="C5" s="3">
        <v>537</v>
      </c>
      <c r="D5" s="3">
        <f t="shared" ref="D5:D8" si="0">E5-C5</f>
        <v>370</v>
      </c>
      <c r="E5" s="3">
        <v>907</v>
      </c>
      <c r="F5" s="3">
        <v>634</v>
      </c>
      <c r="G5" s="3">
        <f t="shared" ref="G5:G8" si="1">H5-F5</f>
        <v>415</v>
      </c>
      <c r="H5" s="3">
        <v>1049</v>
      </c>
      <c r="I5" s="3">
        <v>766</v>
      </c>
      <c r="J5" s="3">
        <f t="shared" ref="J5:J8" si="2">K5-I5</f>
        <v>204</v>
      </c>
      <c r="K5" s="3">
        <v>970</v>
      </c>
      <c r="L5" s="3">
        <v>737</v>
      </c>
      <c r="M5" s="3">
        <f>'Income Statement '!M21</f>
        <v>413.90693799999985</v>
      </c>
      <c r="N5" s="3">
        <f>'Income Statement '!N21</f>
        <v>1150.9069379999999</v>
      </c>
      <c r="O5" s="3">
        <f>'Income Statement '!O21</f>
        <v>855.02916550000032</v>
      </c>
      <c r="P5" s="3">
        <f>'Income Statement '!P21</f>
        <v>508.46490764999976</v>
      </c>
      <c r="Q5" s="3">
        <f>'Income Statement '!Q21</f>
        <v>1363.4940731500001</v>
      </c>
      <c r="R5" s="3">
        <f>'Income Statement '!R21</f>
        <v>933.17140106750037</v>
      </c>
      <c r="S5" s="3">
        <f>'Income Statement '!S21</f>
        <v>582.72013939749979</v>
      </c>
      <c r="T5" s="3">
        <f>'Income Statement '!T21</f>
        <v>1515.8915404650002</v>
      </c>
      <c r="U5" s="3">
        <f>'Income Statement '!U21</f>
        <v>1018.6357266582377</v>
      </c>
      <c r="V5" s="3">
        <f>'Income Statement '!V21</f>
        <v>666.49302785326313</v>
      </c>
      <c r="W5" s="3">
        <f>'Income Statement '!W21</f>
        <v>1685.1287545115008</v>
      </c>
      <c r="X5" s="3">
        <f>'Income Statement '!X21</f>
        <v>1112.0445199241879</v>
      </c>
      <c r="Y5" s="3">
        <f>'Income Statement '!Y21</f>
        <v>760.84517003846213</v>
      </c>
      <c r="Z5" s="3">
        <f>'Income Statement '!Z21</f>
        <v>1872.88968996265</v>
      </c>
      <c r="AA5" s="3">
        <f>'Income Statement '!AA21</f>
        <v>1214.0730606177437</v>
      </c>
      <c r="AB5" s="3">
        <f>'Income Statement '!AB21</f>
        <v>866.95365834117206</v>
      </c>
      <c r="AC5" s="3">
        <f>'Income Statement '!AC21</f>
        <v>2081.0267189589158</v>
      </c>
    </row>
    <row r="6" spans="2:29" x14ac:dyDescent="0.3">
      <c r="B6" s="8" t="s">
        <v>19</v>
      </c>
      <c r="C6" s="3">
        <v>-154</v>
      </c>
      <c r="D6" s="3">
        <f t="shared" si="0"/>
        <v>-180</v>
      </c>
      <c r="E6" s="3">
        <v>-334</v>
      </c>
      <c r="F6" s="3">
        <v>-190</v>
      </c>
      <c r="G6" s="3">
        <f t="shared" si="1"/>
        <v>-227</v>
      </c>
      <c r="H6" s="3">
        <v>-417</v>
      </c>
      <c r="I6" s="3">
        <v>-202</v>
      </c>
      <c r="J6" s="3">
        <f t="shared" si="2"/>
        <v>-168</v>
      </c>
      <c r="K6" s="3">
        <v>-370</v>
      </c>
      <c r="L6" s="3">
        <v>-253</v>
      </c>
      <c r="M6" s="3">
        <f>-'Income Statement '!M19</f>
        <v>0</v>
      </c>
      <c r="N6" s="3">
        <f>-'Income Statement '!N19</f>
        <v>-253</v>
      </c>
      <c r="O6" s="3">
        <f>-'Income Statement '!O19</f>
        <v>0</v>
      </c>
      <c r="P6" s="3">
        <f>-'Income Statement '!P19</f>
        <v>0</v>
      </c>
      <c r="Q6" s="3">
        <f>-'Income Statement '!Q19</f>
        <v>0</v>
      </c>
      <c r="R6" s="3">
        <f>-'Income Statement '!R19</f>
        <v>0</v>
      </c>
      <c r="S6" s="3">
        <f>-'Income Statement '!S19</f>
        <v>0</v>
      </c>
      <c r="T6" s="3">
        <f>-'Income Statement '!T19</f>
        <v>0</v>
      </c>
      <c r="U6" s="3">
        <f>-'Income Statement '!U19</f>
        <v>0</v>
      </c>
      <c r="V6" s="3">
        <f>-'Income Statement '!V19</f>
        <v>0</v>
      </c>
      <c r="W6" s="3">
        <f>-'Income Statement '!W19</f>
        <v>0</v>
      </c>
      <c r="X6" s="3">
        <f>-'Income Statement '!X19</f>
        <v>0</v>
      </c>
      <c r="Y6" s="3">
        <f>-'Income Statement '!Y19</f>
        <v>0</v>
      </c>
      <c r="Z6" s="3">
        <f>-'Income Statement '!Z19</f>
        <v>0</v>
      </c>
      <c r="AA6" s="3">
        <f>-'Income Statement '!AA19</f>
        <v>0</v>
      </c>
      <c r="AB6" s="3">
        <f>-'Income Statement '!AB19</f>
        <v>0</v>
      </c>
      <c r="AC6" s="3">
        <f>-'Income Statement '!AC19</f>
        <v>0</v>
      </c>
    </row>
    <row r="7" spans="2:29" x14ac:dyDescent="0.3">
      <c r="B7" s="8" t="s">
        <v>98</v>
      </c>
      <c r="C7" s="3">
        <v>200</v>
      </c>
      <c r="D7" s="3">
        <f t="shared" si="0"/>
        <v>173</v>
      </c>
      <c r="E7" s="3">
        <v>373</v>
      </c>
      <c r="F7" s="3">
        <v>180</v>
      </c>
      <c r="G7" s="3">
        <f t="shared" si="1"/>
        <v>242</v>
      </c>
      <c r="H7" s="3">
        <v>422</v>
      </c>
      <c r="I7" s="3">
        <v>345</v>
      </c>
      <c r="J7" s="3">
        <f t="shared" si="2"/>
        <v>249</v>
      </c>
      <c r="K7" s="3">
        <v>594</v>
      </c>
      <c r="L7" s="3">
        <v>431</v>
      </c>
      <c r="M7" s="3">
        <f>-'Income Statement '!M18</f>
        <v>799.04</v>
      </c>
      <c r="N7" s="3">
        <f>-'Income Statement '!N18-'Income Statement '!N17</f>
        <v>1230.04</v>
      </c>
      <c r="O7" s="3">
        <f>-'Income Statement '!O18</f>
        <v>819.04</v>
      </c>
      <c r="P7" s="3">
        <f>-'Income Statement '!P18</f>
        <v>839.04</v>
      </c>
      <c r="Q7" s="3">
        <f>-'Income Statement '!Q18</f>
        <v>1658.08</v>
      </c>
      <c r="R7" s="3">
        <f>-'Income Statement '!R18</f>
        <v>859.04</v>
      </c>
      <c r="S7" s="3">
        <f>-'Income Statement '!S18</f>
        <v>879.04</v>
      </c>
      <c r="T7" s="3">
        <f>-'Income Statement '!T18</f>
        <v>1738.08</v>
      </c>
      <c r="U7" s="3">
        <f>-'Income Statement '!U18</f>
        <v>899.04</v>
      </c>
      <c r="V7" s="3">
        <f>-'Income Statement '!V18</f>
        <v>919.04</v>
      </c>
      <c r="W7" s="3">
        <f>-'Income Statement '!W18</f>
        <v>1818.08</v>
      </c>
      <c r="X7" s="3">
        <f>-'Income Statement '!X18</f>
        <v>939.04</v>
      </c>
      <c r="Y7" s="3">
        <f>-'Income Statement '!Y18</f>
        <v>959.04</v>
      </c>
      <c r="Z7" s="3">
        <f>-'Income Statement '!Z18</f>
        <v>1898.08</v>
      </c>
      <c r="AA7" s="3">
        <f>-'Income Statement '!AA18</f>
        <v>979.04</v>
      </c>
      <c r="AB7" s="3">
        <f>-'Income Statement '!AB18</f>
        <v>999.04</v>
      </c>
      <c r="AC7" s="3">
        <f>-'Income Statement '!AC18</f>
        <v>1978.08</v>
      </c>
    </row>
    <row r="8" spans="2:29" x14ac:dyDescent="0.3">
      <c r="B8" s="8" t="s">
        <v>27</v>
      </c>
      <c r="C8" s="3">
        <v>-5</v>
      </c>
      <c r="D8" s="3">
        <f t="shared" si="0"/>
        <v>-9</v>
      </c>
      <c r="E8" s="3">
        <v>-14</v>
      </c>
      <c r="F8" s="3">
        <v>31</v>
      </c>
      <c r="G8" s="3">
        <f t="shared" si="1"/>
        <v>-14</v>
      </c>
      <c r="H8" s="3">
        <v>17</v>
      </c>
      <c r="I8" s="3">
        <v>-19</v>
      </c>
      <c r="J8" s="3">
        <f t="shared" si="2"/>
        <v>-309</v>
      </c>
      <c r="K8" s="3">
        <v>-328</v>
      </c>
      <c r="L8" s="3">
        <v>60</v>
      </c>
      <c r="M8" s="3">
        <f>-'Income Statement '!M16</f>
        <v>0</v>
      </c>
      <c r="N8" s="3">
        <f>-'Income Statement '!N16</f>
        <v>60</v>
      </c>
      <c r="O8" s="3">
        <f>-'Income Statement '!O16</f>
        <v>0</v>
      </c>
      <c r="P8" s="3">
        <f>-'Income Statement '!P16</f>
        <v>0</v>
      </c>
      <c r="Q8" s="3">
        <f>-'Income Statement '!Q16</f>
        <v>0</v>
      </c>
      <c r="R8" s="3">
        <f>-'Income Statement '!R16</f>
        <v>0</v>
      </c>
      <c r="S8" s="3">
        <f>-'Income Statement '!S16</f>
        <v>0</v>
      </c>
      <c r="T8" s="3">
        <f>-'Income Statement '!T16</f>
        <v>0</v>
      </c>
      <c r="U8" s="3">
        <f>-'Income Statement '!U16</f>
        <v>0</v>
      </c>
      <c r="V8" s="3">
        <f>-'Income Statement '!V16</f>
        <v>0</v>
      </c>
      <c r="W8" s="3">
        <f>-'Income Statement '!W16</f>
        <v>0</v>
      </c>
      <c r="X8" s="3">
        <f>-'Income Statement '!X16</f>
        <v>0</v>
      </c>
      <c r="Y8" s="3">
        <f>-'Income Statement '!Y16</f>
        <v>0</v>
      </c>
      <c r="Z8" s="3">
        <f>-'Income Statement '!Z16</f>
        <v>0</v>
      </c>
      <c r="AA8" s="3">
        <f>-'Income Statement '!AA16</f>
        <v>0</v>
      </c>
      <c r="AB8" s="3">
        <f>-'Income Statement '!AB16</f>
        <v>0</v>
      </c>
      <c r="AC8" s="3">
        <f>-'Income Statement '!AC16</f>
        <v>0</v>
      </c>
    </row>
    <row r="9" spans="2:29" x14ac:dyDescent="0.3">
      <c r="B9" s="1" t="s">
        <v>16</v>
      </c>
      <c r="C9" s="4">
        <f t="shared" ref="C9:H9" si="3">SUM(C4:C8)</f>
        <v>2239</v>
      </c>
      <c r="D9" s="4">
        <f t="shared" si="3"/>
        <v>1492</v>
      </c>
      <c r="E9" s="4">
        <f t="shared" si="3"/>
        <v>3731</v>
      </c>
      <c r="F9" s="4">
        <f t="shared" si="3"/>
        <v>2743</v>
      </c>
      <c r="G9" s="4">
        <f t="shared" si="3"/>
        <v>1666</v>
      </c>
      <c r="H9" s="4">
        <f t="shared" si="3"/>
        <v>4409</v>
      </c>
      <c r="I9" s="4">
        <f>SUM(I4:I8)</f>
        <v>3731</v>
      </c>
      <c r="J9" s="4">
        <f t="shared" ref="J9:AC9" si="4">SUM(J4:J8)</f>
        <v>901</v>
      </c>
      <c r="K9" s="4">
        <f t="shared" si="4"/>
        <v>4632</v>
      </c>
      <c r="L9" s="4">
        <f t="shared" si="4"/>
        <v>3317</v>
      </c>
      <c r="M9" s="4">
        <f t="shared" si="4"/>
        <v>3474.5746899999995</v>
      </c>
      <c r="N9" s="4">
        <f t="shared" si="4"/>
        <v>6791.5746899999995</v>
      </c>
      <c r="O9" s="4">
        <f t="shared" si="4"/>
        <v>5094.1858275000013</v>
      </c>
      <c r="P9" s="4">
        <f t="shared" si="4"/>
        <v>3381.3645382499994</v>
      </c>
      <c r="Q9" s="4">
        <f t="shared" si="4"/>
        <v>8475.5503657499994</v>
      </c>
      <c r="R9" s="4">
        <f t="shared" si="4"/>
        <v>5524.8970053375015</v>
      </c>
      <c r="S9" s="4">
        <f t="shared" si="4"/>
        <v>3792.6406969874988</v>
      </c>
      <c r="T9" s="4">
        <f t="shared" si="4"/>
        <v>9317.5377023250003</v>
      </c>
      <c r="U9" s="4">
        <f t="shared" si="4"/>
        <v>5992.2186332911879</v>
      </c>
      <c r="V9" s="4">
        <f t="shared" si="4"/>
        <v>4251.5051392663136</v>
      </c>
      <c r="W9" s="4">
        <f t="shared" si="4"/>
        <v>10243.723772557503</v>
      </c>
      <c r="X9" s="4">
        <f t="shared" si="4"/>
        <v>6499.262599620939</v>
      </c>
      <c r="Y9" s="4">
        <f t="shared" si="4"/>
        <v>4763.2658501923115</v>
      </c>
      <c r="Z9" s="4">
        <f t="shared" si="4"/>
        <v>11262.52844981325</v>
      </c>
      <c r="AA9" s="4">
        <f t="shared" si="4"/>
        <v>7049.4053030887189</v>
      </c>
      <c r="AB9" s="4">
        <f t="shared" si="4"/>
        <v>5333.8082917058591</v>
      </c>
      <c r="AC9" s="4">
        <f t="shared" si="4"/>
        <v>12383.213594794579</v>
      </c>
    </row>
    <row r="10" spans="2:29" x14ac:dyDescent="0.3">
      <c r="B10" s="8" t="s">
        <v>99</v>
      </c>
      <c r="C10" s="3">
        <v>-112</v>
      </c>
      <c r="D10" s="3">
        <f t="shared" ref="D10:D12" si="5">E10-C10</f>
        <v>-331</v>
      </c>
      <c r="E10" s="3">
        <v>-443</v>
      </c>
      <c r="F10" s="3">
        <v>-187</v>
      </c>
      <c r="G10" s="3">
        <f t="shared" ref="G10:G12" si="6">H10-F10</f>
        <v>-553</v>
      </c>
      <c r="H10" s="3">
        <v>-740</v>
      </c>
      <c r="I10" s="3">
        <v>-552</v>
      </c>
      <c r="J10" s="3">
        <f t="shared" ref="J10:J12" si="7">K10-I10</f>
        <v>-123</v>
      </c>
      <c r="K10" s="3">
        <v>-675</v>
      </c>
      <c r="L10" s="3">
        <v>-82</v>
      </c>
      <c r="M10" s="18">
        <f>'Balance Sheet'!L16-'Balance Sheet'!M16</f>
        <v>-300.00819672131365</v>
      </c>
      <c r="N10" s="3">
        <f>L10+M10</f>
        <v>-382.00819672131365</v>
      </c>
      <c r="O10" s="3">
        <f>'Balance Sheet'!N16-'Balance Sheet'!O16</f>
        <v>-1259.8418032786849</v>
      </c>
      <c r="P10" s="3">
        <f>'Balance Sheet'!O16-'Balance Sheet'!P16</f>
        <v>1619.7777054794515</v>
      </c>
      <c r="Q10" s="3">
        <f>O10+P10</f>
        <v>359.93590220076658</v>
      </c>
      <c r="R10" s="3">
        <f>'Balance Sheet'!Q16-'Balance Sheet'!R16</f>
        <v>-2583.6300239726024</v>
      </c>
      <c r="S10" s="3">
        <f>'Balance Sheet'!R16-'Balance Sheet'!S16</f>
        <v>1612.0474520547923</v>
      </c>
      <c r="T10" s="3">
        <f>R10+S10</f>
        <v>-971.58257191781013</v>
      </c>
      <c r="U10" s="3">
        <f>'Balance Sheet'!T16-'Balance Sheet'!U16</f>
        <v>-2657.8272176198625</v>
      </c>
      <c r="V10" s="3">
        <f>'Balance Sheet'!U16-'Balance Sheet'!V16</f>
        <v>1589.0863885102735</v>
      </c>
      <c r="W10" s="3">
        <f>U10+V10</f>
        <v>-1068.740829109589</v>
      </c>
      <c r="X10" s="3">
        <f>'Balance Sheet'!W16-'Balance Sheet'!X16</f>
        <v>-2684.0193108431904</v>
      </c>
      <c r="Y10" s="3">
        <f>'Balance Sheet'!X16-'Balance Sheet'!Y16</f>
        <v>1543.9126245263815</v>
      </c>
      <c r="Z10" s="3">
        <f>X10+Y10</f>
        <v>-1140.1066863168089</v>
      </c>
      <c r="AA10" s="3">
        <f>'Balance Sheet'!Z16-'Balance Sheet'!AA16</f>
        <v>-2814.7688323489001</v>
      </c>
      <c r="AB10" s="3">
        <f>'Balance Sheet'!AA16-'Balance Sheet'!AB16</f>
        <v>1486.0842034225607</v>
      </c>
      <c r="AC10" s="3">
        <f>AA10+AB10</f>
        <v>-1328.6846289263394</v>
      </c>
    </row>
    <row r="11" spans="2:29" x14ac:dyDescent="0.3">
      <c r="B11" s="8" t="s">
        <v>100</v>
      </c>
      <c r="C11" s="3">
        <v>-1078</v>
      </c>
      <c r="D11" s="3">
        <f t="shared" si="5"/>
        <v>632</v>
      </c>
      <c r="E11" s="3">
        <v>-446</v>
      </c>
      <c r="F11" s="3">
        <v>-976</v>
      </c>
      <c r="G11" s="3">
        <f t="shared" si="6"/>
        <v>598</v>
      </c>
      <c r="H11" s="3">
        <v>-378</v>
      </c>
      <c r="I11" s="3">
        <v>-1191</v>
      </c>
      <c r="J11" s="3">
        <f t="shared" si="7"/>
        <v>1312</v>
      </c>
      <c r="K11" s="3">
        <v>121</v>
      </c>
      <c r="L11" s="3">
        <v>-1106</v>
      </c>
      <c r="M11" s="18">
        <f>'Balance Sheet'!L17-'Balance Sheet'!M17</f>
        <v>703.54202244116095</v>
      </c>
      <c r="N11" s="3">
        <f t="shared" ref="N11:N12" si="8">L11+M11</f>
        <v>-402.45797755883905</v>
      </c>
      <c r="O11" s="3">
        <f>'Balance Sheet'!N17-'Balance Sheet'!O17</f>
        <v>-1074.3340224411613</v>
      </c>
      <c r="P11" s="3">
        <f>'Balance Sheet'!O17-'Balance Sheet'!P17</f>
        <v>703.44631780821965</v>
      </c>
      <c r="Q11" s="3">
        <f t="shared" ref="Q11:Q12" si="9">O11+P11</f>
        <v>-370.88770463294168</v>
      </c>
      <c r="R11" s="3">
        <f>'Balance Sheet'!Q17-'Balance Sheet'!R17</f>
        <v>-1122.0336104109592</v>
      </c>
      <c r="S11" s="3">
        <f>'Balance Sheet'!R17-'Balance Sheet'!S17</f>
        <v>700.0891791780823</v>
      </c>
      <c r="T11" s="3">
        <f t="shared" ref="T11:T12" si="10">R11+S11</f>
        <v>-421.94443123287692</v>
      </c>
      <c r="U11" s="3">
        <f>'Balance Sheet'!T17-'Balance Sheet'!U17</f>
        <v>-1154.2563916520548</v>
      </c>
      <c r="V11" s="3">
        <f>'Balance Sheet'!U17-'Balance Sheet'!V17</f>
        <v>690.11751729589014</v>
      </c>
      <c r="W11" s="3">
        <f t="shared" ref="W11:W12" si="11">U11+V11</f>
        <v>-464.13887435616471</v>
      </c>
      <c r="X11" s="3">
        <f>'Balance Sheet'!W17-'Balance Sheet'!X17</f>
        <v>-1165.6312435661857</v>
      </c>
      <c r="Y11" s="3">
        <f>'Balance Sheet'!X17-'Balance Sheet'!Y17</f>
        <v>670.4991969371722</v>
      </c>
      <c r="Z11" s="3">
        <f t="shared" ref="Z11:Z12" si="12">X11+Y11</f>
        <v>-495.13204662901353</v>
      </c>
      <c r="AA11" s="3">
        <f>'Balance Sheet'!Z17-'Balance Sheet'!AA17</f>
        <v>-1222.4138929058099</v>
      </c>
      <c r="AB11" s="3">
        <f>'Balance Sheet'!AA17-'Balance Sheet'!AB17</f>
        <v>645.38513977208368</v>
      </c>
      <c r="AC11" s="3">
        <f t="shared" ref="AC11:AC12" si="13">AA11+AB11</f>
        <v>-577.02875313372624</v>
      </c>
    </row>
    <row r="12" spans="2:29" x14ac:dyDescent="0.3">
      <c r="B12" s="8" t="s">
        <v>101</v>
      </c>
      <c r="C12" s="3">
        <v>1161</v>
      </c>
      <c r="D12" s="3">
        <f t="shared" si="5"/>
        <v>59</v>
      </c>
      <c r="E12" s="3">
        <v>1220</v>
      </c>
      <c r="F12" s="3">
        <v>653</v>
      </c>
      <c r="G12" s="3">
        <f t="shared" si="6"/>
        <v>286</v>
      </c>
      <c r="H12" s="3">
        <v>939</v>
      </c>
      <c r="I12" s="3">
        <v>131</v>
      </c>
      <c r="J12" s="3">
        <f t="shared" si="7"/>
        <v>-752</v>
      </c>
      <c r="K12" s="3">
        <v>-621</v>
      </c>
      <c r="L12" s="3">
        <v>469</v>
      </c>
      <c r="M12" s="18">
        <f>'Balance Sheet'!M30-'Balance Sheet'!L30</f>
        <v>-910.86725866540746</v>
      </c>
      <c r="N12" s="3">
        <f t="shared" si="8"/>
        <v>-441.86725866540746</v>
      </c>
      <c r="O12" s="3">
        <f>'Balance Sheet'!O30-'Balance Sheet'!N30</f>
        <v>800.77275866540731</v>
      </c>
      <c r="P12" s="3">
        <f>'Balance Sheet'!P30-'Balance Sheet'!O30</f>
        <v>-1020.4599544520543</v>
      </c>
      <c r="Q12" s="3">
        <f t="shared" si="9"/>
        <v>-219.68719578664695</v>
      </c>
      <c r="R12" s="3">
        <f>'Balance Sheet'!R30-'Balance Sheet'!Q30</f>
        <v>1627.6869151027377</v>
      </c>
      <c r="S12" s="3">
        <f>'Balance Sheet'!S30-'Balance Sheet'!R30</f>
        <v>-1015.5898947945188</v>
      </c>
      <c r="T12" s="3">
        <f t="shared" si="10"/>
        <v>612.09702030821882</v>
      </c>
      <c r="U12" s="3">
        <f>'Balance Sheet'!U30-'Balance Sheet'!T30</f>
        <v>1674.431147100514</v>
      </c>
      <c r="V12" s="3">
        <f>'Balance Sheet'!V30-'Balance Sheet'!U30</f>
        <v>-1001.1244247614723</v>
      </c>
      <c r="W12" s="3">
        <f t="shared" si="11"/>
        <v>673.3067223390417</v>
      </c>
      <c r="X12" s="3">
        <f>'Balance Sheet'!X30-'Balance Sheet'!W30</f>
        <v>1690.9321658312092</v>
      </c>
      <c r="Y12" s="3">
        <f>'Balance Sheet'!Y30-'Balance Sheet'!X30</f>
        <v>-972.66495345162002</v>
      </c>
      <c r="Z12" s="3">
        <f t="shared" si="12"/>
        <v>718.26721237958918</v>
      </c>
      <c r="AA12" s="3">
        <f>'Balance Sheet'!AA30-'Balance Sheet'!Z30</f>
        <v>1773.3043643798082</v>
      </c>
      <c r="AB12" s="3">
        <f>'Balance Sheet'!AB30-'Balance Sheet'!AA30</f>
        <v>-936.23304815621304</v>
      </c>
      <c r="AC12" s="3">
        <f t="shared" si="13"/>
        <v>837.0713162235952</v>
      </c>
    </row>
    <row r="13" spans="2:29" x14ac:dyDescent="0.3">
      <c r="B13" s="1" t="s">
        <v>102</v>
      </c>
      <c r="C13" s="4">
        <f t="shared" ref="C13:H13" si="14">C10+C11+C12</f>
        <v>-29</v>
      </c>
      <c r="D13" s="4">
        <f t="shared" si="14"/>
        <v>360</v>
      </c>
      <c r="E13" s="4">
        <f t="shared" si="14"/>
        <v>331</v>
      </c>
      <c r="F13" s="4">
        <f t="shared" si="14"/>
        <v>-510</v>
      </c>
      <c r="G13" s="4">
        <f t="shared" si="14"/>
        <v>331</v>
      </c>
      <c r="H13" s="4">
        <f t="shared" si="14"/>
        <v>-179</v>
      </c>
      <c r="I13" s="4">
        <f>I10+I11+I12</f>
        <v>-1612</v>
      </c>
      <c r="J13" s="4">
        <f t="shared" ref="J13:AC13" si="15">J10+J11+J12</f>
        <v>437</v>
      </c>
      <c r="K13" s="4">
        <f t="shared" si="15"/>
        <v>-1175</v>
      </c>
      <c r="L13" s="4">
        <f t="shared" si="15"/>
        <v>-719</v>
      </c>
      <c r="M13" s="4">
        <f t="shared" si="15"/>
        <v>-507.33343294556016</v>
      </c>
      <c r="N13" s="4">
        <f t="shared" si="15"/>
        <v>-1226.3334329455602</v>
      </c>
      <c r="O13" s="4">
        <f t="shared" si="15"/>
        <v>-1533.4030670544389</v>
      </c>
      <c r="P13" s="4">
        <f t="shared" si="15"/>
        <v>1302.7640688356169</v>
      </c>
      <c r="Q13" s="4">
        <f t="shared" si="15"/>
        <v>-230.63899821882205</v>
      </c>
      <c r="R13" s="4">
        <f t="shared" si="15"/>
        <v>-2077.976719280824</v>
      </c>
      <c r="S13" s="4">
        <f t="shared" si="15"/>
        <v>1296.5467364383558</v>
      </c>
      <c r="T13" s="4">
        <f t="shared" si="15"/>
        <v>-781.42998284246823</v>
      </c>
      <c r="U13" s="4">
        <f t="shared" si="15"/>
        <v>-2137.6524621714034</v>
      </c>
      <c r="V13" s="4">
        <f t="shared" si="15"/>
        <v>1278.0794810446914</v>
      </c>
      <c r="W13" s="4">
        <f t="shared" si="15"/>
        <v>-859.57298112671197</v>
      </c>
      <c r="X13" s="4">
        <f t="shared" si="15"/>
        <v>-2158.7183885781669</v>
      </c>
      <c r="Y13" s="4">
        <f t="shared" si="15"/>
        <v>1241.7468680119337</v>
      </c>
      <c r="Z13" s="4">
        <f t="shared" si="15"/>
        <v>-916.97152056623327</v>
      </c>
      <c r="AA13" s="4">
        <f t="shared" si="15"/>
        <v>-2263.8783608749018</v>
      </c>
      <c r="AB13" s="4">
        <f t="shared" si="15"/>
        <v>1195.2362950384313</v>
      </c>
      <c r="AC13" s="4">
        <f t="shared" si="15"/>
        <v>-1068.6420658364705</v>
      </c>
    </row>
    <row r="14" spans="2:29" x14ac:dyDescent="0.3">
      <c r="B14" s="8" t="s">
        <v>103</v>
      </c>
      <c r="C14" s="3">
        <v>219</v>
      </c>
      <c r="D14" s="3">
        <f t="shared" ref="D14:D17" si="16">E14-C14</f>
        <v>228</v>
      </c>
      <c r="E14" s="3">
        <v>447</v>
      </c>
      <c r="F14" s="3">
        <v>224</v>
      </c>
      <c r="G14" s="3">
        <f t="shared" ref="G14:G17" si="17">H14-F14</f>
        <v>604</v>
      </c>
      <c r="H14" s="3">
        <v>828</v>
      </c>
      <c r="I14" s="3">
        <v>332</v>
      </c>
      <c r="J14" s="3">
        <f t="shared" ref="J14:J17" si="18">K14-I14</f>
        <v>734</v>
      </c>
      <c r="K14" s="3">
        <v>1066</v>
      </c>
      <c r="L14" s="3">
        <v>411</v>
      </c>
      <c r="M14" s="18">
        <f>'Income Statement '!M13</f>
        <v>418.8119999999999</v>
      </c>
      <c r="N14" s="3">
        <f>L14+M14</f>
        <v>829.8119999999999</v>
      </c>
      <c r="O14" s="3">
        <f>'Income Statement '!O13</f>
        <v>417.97975114499997</v>
      </c>
      <c r="P14" s="3">
        <f>'Income Statement '!P13</f>
        <v>428.79716958160492</v>
      </c>
      <c r="Q14" s="3">
        <f>O14+P14</f>
        <v>846.77692072660489</v>
      </c>
      <c r="R14" s="3">
        <f>'Income Statement '!R13</f>
        <v>429.93110204744312</v>
      </c>
      <c r="S14" s="3">
        <f>'Income Statement '!S13</f>
        <v>442.85594981134841</v>
      </c>
      <c r="T14" s="3">
        <f>R14+S14</f>
        <v>872.78705185879153</v>
      </c>
      <c r="U14" s="3">
        <f>'Income Statement '!U13</f>
        <v>446.03341344809479</v>
      </c>
      <c r="V14" s="3">
        <f>'Income Statement '!V13</f>
        <v>461.08493215287461</v>
      </c>
      <c r="W14" s="3">
        <f>U14+V14</f>
        <v>907.11834560096941</v>
      </c>
      <c r="X14" s="3">
        <f>'Income Statement '!X13</f>
        <v>466.41005377244034</v>
      </c>
      <c r="Y14" s="3">
        <f>'Income Statement '!Y13</f>
        <v>483.62082319288237</v>
      </c>
      <c r="Z14" s="3">
        <f>X14+Y14</f>
        <v>950.0308769653227</v>
      </c>
      <c r="AA14" s="3">
        <f>'Income Statement '!AA13</f>
        <v>491.22590239220341</v>
      </c>
      <c r="AB14" s="3">
        <f>'Income Statement '!AB13</f>
        <v>510.64139195187857</v>
      </c>
      <c r="AC14" s="3">
        <f>AA14+AB14</f>
        <v>1001.867294344082</v>
      </c>
    </row>
    <row r="15" spans="2:29" x14ac:dyDescent="0.3">
      <c r="B15" s="8" t="s">
        <v>104</v>
      </c>
      <c r="C15" s="3">
        <v>82</v>
      </c>
      <c r="D15" s="3">
        <f t="shared" si="16"/>
        <v>208</v>
      </c>
      <c r="E15" s="3">
        <v>290</v>
      </c>
      <c r="F15" s="3">
        <v>1</v>
      </c>
      <c r="G15" s="3">
        <f t="shared" si="17"/>
        <v>189</v>
      </c>
      <c r="H15" s="3">
        <v>190</v>
      </c>
      <c r="I15" s="3">
        <v>5</v>
      </c>
      <c r="J15" s="3">
        <f t="shared" si="18"/>
        <v>214</v>
      </c>
      <c r="K15" s="3">
        <v>219</v>
      </c>
      <c r="L15" s="3">
        <v>5</v>
      </c>
      <c r="M15" s="3"/>
      <c r="N15" s="3">
        <f t="shared" ref="N15:N17" si="19">L15+M15</f>
        <v>5</v>
      </c>
      <c r="O15" s="3"/>
      <c r="P15" s="3"/>
      <c r="Q15" s="3">
        <f t="shared" ref="Q15:Q17" si="20">O15+P15</f>
        <v>0</v>
      </c>
      <c r="R15" s="3"/>
      <c r="S15" s="3"/>
      <c r="T15" s="3">
        <f t="shared" ref="T15:T17" si="21">R15+S15</f>
        <v>0</v>
      </c>
      <c r="U15" s="3"/>
      <c r="V15" s="3"/>
      <c r="W15" s="3">
        <f t="shared" ref="W15:W17" si="22">U15+V15</f>
        <v>0</v>
      </c>
      <c r="X15" s="3"/>
      <c r="Y15" s="3"/>
      <c r="Z15" s="3">
        <f t="shared" ref="Z15:Z17" si="23">X15+Y15</f>
        <v>0</v>
      </c>
      <c r="AA15" s="3"/>
      <c r="AB15" s="3"/>
      <c r="AC15" s="3">
        <f t="shared" ref="AC15:AC17" si="24">AA15+AB15</f>
        <v>0</v>
      </c>
    </row>
    <row r="16" spans="2:29" x14ac:dyDescent="0.3">
      <c r="B16" s="8" t="s">
        <v>105</v>
      </c>
      <c r="C16" s="3">
        <v>-14</v>
      </c>
      <c r="D16" s="3">
        <f t="shared" si="16"/>
        <v>-16</v>
      </c>
      <c r="E16" s="3">
        <v>-30</v>
      </c>
      <c r="F16" s="3">
        <v>-23</v>
      </c>
      <c r="G16" s="3">
        <f t="shared" si="17"/>
        <v>-66</v>
      </c>
      <c r="H16" s="3">
        <v>-89</v>
      </c>
      <c r="I16" s="3">
        <v>-27</v>
      </c>
      <c r="J16" s="3">
        <f t="shared" si="18"/>
        <v>2</v>
      </c>
      <c r="K16" s="3">
        <v>-25</v>
      </c>
      <c r="L16" s="3">
        <v>-24</v>
      </c>
      <c r="M16" s="3"/>
      <c r="N16" s="3">
        <f t="shared" si="19"/>
        <v>-24</v>
      </c>
      <c r="O16" s="3"/>
      <c r="P16" s="3"/>
      <c r="Q16" s="3">
        <f t="shared" si="20"/>
        <v>0</v>
      </c>
      <c r="R16" s="3"/>
      <c r="S16" s="3"/>
      <c r="T16" s="3">
        <f t="shared" si="21"/>
        <v>0</v>
      </c>
      <c r="U16" s="3"/>
      <c r="V16" s="3"/>
      <c r="W16" s="3">
        <f t="shared" si="22"/>
        <v>0</v>
      </c>
      <c r="X16" s="3"/>
      <c r="Y16" s="3"/>
      <c r="Z16" s="3">
        <f t="shared" si="23"/>
        <v>0</v>
      </c>
      <c r="AA16" s="3"/>
      <c r="AB16" s="3"/>
      <c r="AC16" s="3">
        <f t="shared" si="24"/>
        <v>0</v>
      </c>
    </row>
    <row r="17" spans="2:38" x14ac:dyDescent="0.3">
      <c r="B17" s="8" t="s">
        <v>106</v>
      </c>
      <c r="C17" s="3">
        <v>-1</v>
      </c>
      <c r="D17" s="3">
        <f t="shared" si="16"/>
        <v>89</v>
      </c>
      <c r="E17" s="3">
        <v>88</v>
      </c>
      <c r="F17" s="3">
        <v>34</v>
      </c>
      <c r="G17" s="3">
        <f t="shared" si="17"/>
        <v>19</v>
      </c>
      <c r="H17" s="3">
        <v>53</v>
      </c>
      <c r="I17" s="3">
        <v>9</v>
      </c>
      <c r="J17" s="3">
        <f t="shared" si="18"/>
        <v>53</v>
      </c>
      <c r="K17" s="3">
        <v>62</v>
      </c>
      <c r="L17" s="3">
        <v>59</v>
      </c>
      <c r="M17" s="3"/>
      <c r="N17" s="3">
        <f t="shared" si="19"/>
        <v>59</v>
      </c>
      <c r="O17" s="3"/>
      <c r="P17" s="3"/>
      <c r="Q17" s="3">
        <f t="shared" si="20"/>
        <v>0</v>
      </c>
      <c r="R17" s="3"/>
      <c r="S17" s="3"/>
      <c r="T17" s="3">
        <f t="shared" si="21"/>
        <v>0</v>
      </c>
      <c r="U17" s="3"/>
      <c r="V17" s="3"/>
      <c r="W17" s="3">
        <f t="shared" si="22"/>
        <v>0</v>
      </c>
      <c r="X17" s="3"/>
      <c r="Y17" s="3"/>
      <c r="Z17" s="3">
        <f t="shared" si="23"/>
        <v>0</v>
      </c>
      <c r="AA17" s="3"/>
      <c r="AB17" s="3"/>
      <c r="AC17" s="3">
        <f t="shared" si="24"/>
        <v>0</v>
      </c>
    </row>
    <row r="18" spans="2:38" x14ac:dyDescent="0.3">
      <c r="B18" s="1" t="s">
        <v>107</v>
      </c>
      <c r="C18" s="4">
        <f t="shared" ref="C18:H18" si="25">SUM(C14:C17)</f>
        <v>286</v>
      </c>
      <c r="D18" s="4">
        <f t="shared" si="25"/>
        <v>509</v>
      </c>
      <c r="E18" s="4">
        <f t="shared" si="25"/>
        <v>795</v>
      </c>
      <c r="F18" s="4">
        <f t="shared" si="25"/>
        <v>236</v>
      </c>
      <c r="G18" s="4">
        <f t="shared" si="25"/>
        <v>746</v>
      </c>
      <c r="H18" s="4">
        <f t="shared" si="25"/>
        <v>982</v>
      </c>
      <c r="I18" s="4">
        <f>SUM(I14:I17)</f>
        <v>319</v>
      </c>
      <c r="J18" s="4">
        <f t="shared" ref="J18:AC18" si="26">SUM(J14:J17)</f>
        <v>1003</v>
      </c>
      <c r="K18" s="4">
        <f t="shared" si="26"/>
        <v>1322</v>
      </c>
      <c r="L18" s="4">
        <f t="shared" si="26"/>
        <v>451</v>
      </c>
      <c r="M18" s="4">
        <f t="shared" si="26"/>
        <v>418.8119999999999</v>
      </c>
      <c r="N18" s="4">
        <f t="shared" si="26"/>
        <v>869.8119999999999</v>
      </c>
      <c r="O18" s="4">
        <f t="shared" si="26"/>
        <v>417.97975114499997</v>
      </c>
      <c r="P18" s="4">
        <f t="shared" si="26"/>
        <v>428.79716958160492</v>
      </c>
      <c r="Q18" s="4">
        <f t="shared" si="26"/>
        <v>846.77692072660489</v>
      </c>
      <c r="R18" s="4">
        <f t="shared" si="26"/>
        <v>429.93110204744312</v>
      </c>
      <c r="S18" s="4">
        <f t="shared" si="26"/>
        <v>442.85594981134841</v>
      </c>
      <c r="T18" s="4">
        <f t="shared" si="26"/>
        <v>872.78705185879153</v>
      </c>
      <c r="U18" s="4">
        <f t="shared" si="26"/>
        <v>446.03341344809479</v>
      </c>
      <c r="V18" s="4">
        <f t="shared" si="26"/>
        <v>461.08493215287461</v>
      </c>
      <c r="W18" s="4">
        <f t="shared" si="26"/>
        <v>907.11834560096941</v>
      </c>
      <c r="X18" s="4">
        <f t="shared" si="26"/>
        <v>466.41005377244034</v>
      </c>
      <c r="Y18" s="4">
        <f t="shared" si="26"/>
        <v>483.62082319288237</v>
      </c>
      <c r="Z18" s="4">
        <f t="shared" si="26"/>
        <v>950.0308769653227</v>
      </c>
      <c r="AA18" s="4">
        <f t="shared" si="26"/>
        <v>491.22590239220341</v>
      </c>
      <c r="AB18" s="4">
        <f t="shared" si="26"/>
        <v>510.64139195187857</v>
      </c>
      <c r="AC18" s="4">
        <f t="shared" si="26"/>
        <v>1001.867294344082</v>
      </c>
    </row>
    <row r="19" spans="2:38" x14ac:dyDescent="0.3">
      <c r="B19" s="8" t="s">
        <v>108</v>
      </c>
      <c r="C19" s="3">
        <v>84</v>
      </c>
      <c r="D19" s="3">
        <f t="shared" ref="D19:D21" si="27">E19-C19</f>
        <v>5</v>
      </c>
      <c r="E19" s="3">
        <v>89</v>
      </c>
      <c r="F19" s="3">
        <v>41</v>
      </c>
      <c r="G19" s="3">
        <f t="shared" ref="G19:G21" si="28">H19-F19</f>
        <v>69</v>
      </c>
      <c r="H19" s="3">
        <v>110</v>
      </c>
      <c r="I19" s="3">
        <v>78</v>
      </c>
      <c r="J19" s="3">
        <f t="shared" ref="J19:J21" si="29">K19-I19</f>
        <v>53</v>
      </c>
      <c r="K19" s="3">
        <v>131</v>
      </c>
      <c r="L19" s="3">
        <v>91</v>
      </c>
      <c r="M19" s="3"/>
      <c r="N19" s="3">
        <f t="shared" ref="N19:N21" si="30">L19+M19</f>
        <v>91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2:38" x14ac:dyDescent="0.3">
      <c r="B20" s="8" t="s">
        <v>109</v>
      </c>
      <c r="C20" s="3">
        <v>-266</v>
      </c>
      <c r="D20" s="3">
        <f t="shared" si="27"/>
        <v>-174</v>
      </c>
      <c r="E20" s="3">
        <v>-440</v>
      </c>
      <c r="F20" s="3">
        <v>-185</v>
      </c>
      <c r="G20" s="3">
        <f t="shared" si="28"/>
        <v>-253</v>
      </c>
      <c r="H20" s="3">
        <v>-438</v>
      </c>
      <c r="I20" s="3">
        <v>-293</v>
      </c>
      <c r="J20" s="3">
        <f t="shared" si="29"/>
        <v>-392</v>
      </c>
      <c r="K20" s="3">
        <v>-685</v>
      </c>
      <c r="L20" s="3">
        <v>-443</v>
      </c>
      <c r="M20" s="3">
        <f>-M7</f>
        <v>-799.04</v>
      </c>
      <c r="N20" s="3">
        <f t="shared" si="30"/>
        <v>-1242.04</v>
      </c>
      <c r="O20" s="3">
        <f t="shared" ref="O20:P20" si="31">-O7</f>
        <v>-819.04</v>
      </c>
      <c r="P20" s="3">
        <f t="shared" si="31"/>
        <v>-839.04</v>
      </c>
      <c r="Q20" s="3">
        <f>O20+P20</f>
        <v>-1658.08</v>
      </c>
      <c r="R20" s="3">
        <f>-R7</f>
        <v>-859.04</v>
      </c>
      <c r="S20" s="3">
        <f>-S7</f>
        <v>-879.04</v>
      </c>
      <c r="T20" s="3">
        <f>R20+S20</f>
        <v>-1738.08</v>
      </c>
      <c r="U20" s="3">
        <f>-U7</f>
        <v>-899.04</v>
      </c>
      <c r="V20" s="3">
        <f>-V7</f>
        <v>-919.04</v>
      </c>
      <c r="W20" s="3">
        <f>U20+V20</f>
        <v>-1818.08</v>
      </c>
      <c r="X20" s="3">
        <f>-X7</f>
        <v>-939.04</v>
      </c>
      <c r="Y20" s="3">
        <f>-Y7</f>
        <v>-959.04</v>
      </c>
      <c r="Z20" s="3">
        <f>X20+Y20</f>
        <v>-1898.08</v>
      </c>
      <c r="AA20" s="3">
        <f>-AA7</f>
        <v>-979.04</v>
      </c>
      <c r="AB20" s="3">
        <f>-AB7</f>
        <v>-999.04</v>
      </c>
      <c r="AC20" s="3">
        <f>AA20+AB20</f>
        <v>-1978.08</v>
      </c>
      <c r="AG20" s="4">
        <v>3654</v>
      </c>
      <c r="AH20" s="4">
        <v>3935</v>
      </c>
      <c r="AI20" s="4">
        <v>1472</v>
      </c>
      <c r="AJ20" s="4">
        <v>1552</v>
      </c>
      <c r="AK20" s="4">
        <v>3024</v>
      </c>
      <c r="AL20" s="4">
        <v>4319.1063190544392</v>
      </c>
    </row>
    <row r="21" spans="2:38" x14ac:dyDescent="0.3">
      <c r="B21" s="8" t="s">
        <v>110</v>
      </c>
      <c r="C21" s="3">
        <v>-316</v>
      </c>
      <c r="D21" s="3">
        <f t="shared" si="27"/>
        <v>-536</v>
      </c>
      <c r="E21" s="3">
        <v>-852</v>
      </c>
      <c r="F21" s="3">
        <v>-378</v>
      </c>
      <c r="G21" s="3">
        <f t="shared" si="28"/>
        <v>-571</v>
      </c>
      <c r="H21" s="3">
        <v>-949</v>
      </c>
      <c r="I21" s="3">
        <v>-751</v>
      </c>
      <c r="J21" s="3">
        <f t="shared" si="29"/>
        <v>-450</v>
      </c>
      <c r="K21" s="3">
        <v>-1201</v>
      </c>
      <c r="L21" s="3">
        <v>-551</v>
      </c>
      <c r="M21" s="3">
        <f>-M5</f>
        <v>-413.90693799999985</v>
      </c>
      <c r="N21" s="3">
        <f t="shared" si="30"/>
        <v>-964.90693799999985</v>
      </c>
      <c r="O21" s="3">
        <f t="shared" ref="O21:P21" si="32">-O5</f>
        <v>-855.02916550000032</v>
      </c>
      <c r="P21" s="3">
        <f t="shared" si="32"/>
        <v>-508.46490764999976</v>
      </c>
      <c r="Q21" s="3">
        <f>O21+P21</f>
        <v>-1363.4940731500001</v>
      </c>
      <c r="R21" s="3">
        <f>-R5</f>
        <v>-933.17140106750037</v>
      </c>
      <c r="S21" s="3">
        <f>-S5</f>
        <v>-582.72013939749979</v>
      </c>
      <c r="T21" s="3">
        <f>R21+S21</f>
        <v>-1515.8915404650002</v>
      </c>
      <c r="U21" s="3">
        <f>-U5</f>
        <v>-1018.6357266582377</v>
      </c>
      <c r="V21" s="3">
        <f>-V5</f>
        <v>-666.49302785326313</v>
      </c>
      <c r="W21" s="3">
        <f>U21+V21</f>
        <v>-1685.1287545115008</v>
      </c>
      <c r="X21" s="3">
        <f>-X5</f>
        <v>-1112.0445199241879</v>
      </c>
      <c r="Y21" s="3">
        <f>-Y5</f>
        <v>-760.84517003846213</v>
      </c>
      <c r="Z21" s="3">
        <f>X21+Y21</f>
        <v>-1872.88968996265</v>
      </c>
      <c r="AA21" s="3">
        <f>-AA5</f>
        <v>-1214.0730606177437</v>
      </c>
      <c r="AB21" s="3">
        <f>-AB5</f>
        <v>-866.95365834117206</v>
      </c>
      <c r="AC21" s="3">
        <f>AA21+AB21</f>
        <v>-2081.0267189589158</v>
      </c>
    </row>
    <row r="22" spans="2:38" x14ac:dyDescent="0.3">
      <c r="B22" s="9" t="s">
        <v>111</v>
      </c>
      <c r="C22" s="4">
        <f t="shared" ref="C22:H22" si="33">C9+C13+C18+C19+C20+C21</f>
        <v>1998</v>
      </c>
      <c r="D22" s="4">
        <f t="shared" si="33"/>
        <v>1656</v>
      </c>
      <c r="E22" s="4">
        <f t="shared" si="33"/>
        <v>3654</v>
      </c>
      <c r="F22" s="4">
        <f t="shared" si="33"/>
        <v>1947</v>
      </c>
      <c r="G22" s="4">
        <f t="shared" si="33"/>
        <v>1988</v>
      </c>
      <c r="H22" s="4">
        <f t="shared" si="33"/>
        <v>3935</v>
      </c>
      <c r="I22" s="4">
        <f>I9+I13+I18+I19+I20+I21</f>
        <v>1472</v>
      </c>
      <c r="J22" s="4">
        <f t="shared" ref="J22:AC22" si="34">J9+J13+J18+J19+J20+J21</f>
        <v>1552</v>
      </c>
      <c r="K22" s="4">
        <f t="shared" si="34"/>
        <v>3024</v>
      </c>
      <c r="L22" s="4">
        <f t="shared" si="34"/>
        <v>2146</v>
      </c>
      <c r="M22" s="4">
        <f t="shared" si="34"/>
        <v>2173.1063190544392</v>
      </c>
      <c r="N22" s="4">
        <f t="shared" si="34"/>
        <v>4319.1063190544392</v>
      </c>
      <c r="O22" s="4">
        <f t="shared" si="34"/>
        <v>2304.693346090562</v>
      </c>
      <c r="P22" s="4">
        <f t="shared" si="34"/>
        <v>3765.4208690172218</v>
      </c>
      <c r="Q22" s="4">
        <f t="shared" si="34"/>
        <v>6070.1142151077829</v>
      </c>
      <c r="R22" s="4">
        <f t="shared" si="34"/>
        <v>2084.6399870366204</v>
      </c>
      <c r="S22" s="4">
        <f t="shared" si="34"/>
        <v>4070.2832438397031</v>
      </c>
      <c r="T22" s="4">
        <f t="shared" si="34"/>
        <v>6154.9232308763239</v>
      </c>
      <c r="U22" s="4">
        <f t="shared" si="34"/>
        <v>2382.9238579096414</v>
      </c>
      <c r="V22" s="4">
        <f t="shared" si="34"/>
        <v>4405.136524610617</v>
      </c>
      <c r="W22" s="4">
        <f t="shared" si="34"/>
        <v>6788.0603825202597</v>
      </c>
      <c r="X22" s="4">
        <f t="shared" si="34"/>
        <v>2755.8697448910252</v>
      </c>
      <c r="Y22" s="4">
        <f t="shared" si="34"/>
        <v>4768.7483713586653</v>
      </c>
      <c r="Z22" s="4">
        <f t="shared" si="34"/>
        <v>7524.6181162496896</v>
      </c>
      <c r="AA22" s="4">
        <f t="shared" si="34"/>
        <v>3083.6397839882766</v>
      </c>
      <c r="AB22" s="4">
        <f t="shared" si="34"/>
        <v>5173.6923203549968</v>
      </c>
      <c r="AC22" s="4">
        <f t="shared" si="34"/>
        <v>8257.3321043432752</v>
      </c>
    </row>
    <row r="23" spans="2:38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2:38" x14ac:dyDescent="0.3">
      <c r="B24" s="9" t="s">
        <v>112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2:38" x14ac:dyDescent="0.3">
      <c r="B25" s="8" t="s">
        <v>113</v>
      </c>
      <c r="C25" s="3">
        <v>8</v>
      </c>
      <c r="D25" s="3">
        <f t="shared" ref="D25:D30" si="35">E25-C25</f>
        <v>5</v>
      </c>
      <c r="E25" s="3">
        <v>13</v>
      </c>
      <c r="F25" s="3">
        <v>7</v>
      </c>
      <c r="G25" s="3">
        <f t="shared" ref="G25:G30" si="36">H25-F25</f>
        <v>10</v>
      </c>
      <c r="H25" s="3">
        <v>17</v>
      </c>
      <c r="I25" s="3">
        <v>8</v>
      </c>
      <c r="J25" s="3">
        <f t="shared" ref="J25:J30" si="37">K25-I25</f>
        <v>5</v>
      </c>
      <c r="K25" s="3">
        <v>13</v>
      </c>
      <c r="L25" s="3">
        <v>7</v>
      </c>
      <c r="M25" s="3"/>
      <c r="N25" s="3">
        <f t="shared" ref="N25" si="38">L25+M25</f>
        <v>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2:38" x14ac:dyDescent="0.3">
      <c r="B26" s="8" t="s">
        <v>114</v>
      </c>
      <c r="C26" s="3">
        <v>-250</v>
      </c>
      <c r="D26" s="3">
        <f t="shared" si="35"/>
        <v>-376</v>
      </c>
      <c r="E26" s="3">
        <v>-626</v>
      </c>
      <c r="F26" s="3">
        <v>-382</v>
      </c>
      <c r="G26" s="3">
        <f t="shared" si="36"/>
        <v>-715</v>
      </c>
      <c r="H26" s="3">
        <v>-1097</v>
      </c>
      <c r="I26" s="3">
        <v>-514</v>
      </c>
      <c r="J26" s="3">
        <f t="shared" si="37"/>
        <v>-666</v>
      </c>
      <c r="K26" s="3">
        <v>-1180</v>
      </c>
      <c r="L26" s="3">
        <v>-582</v>
      </c>
      <c r="M26" s="18">
        <f>-'Balance Sheet'!M59</f>
        <v>-402.49339500000002</v>
      </c>
      <c r="N26" s="3">
        <f t="shared" ref="N26:N30" si="39">L26+M26</f>
        <v>-984.49339499999996</v>
      </c>
      <c r="O26" s="18">
        <f>-'Balance Sheet'!O59</f>
        <v>-630.08599500000003</v>
      </c>
      <c r="P26" s="18">
        <f>-'Balance Sheet'!P59</f>
        <v>-451.03113949999994</v>
      </c>
      <c r="Q26" s="3">
        <f t="shared" ref="Q26" si="40">O26+P26</f>
        <v>-1081.1171345</v>
      </c>
      <c r="R26" s="18">
        <f>-'Balance Sheet'!R59</f>
        <v>-683.359489575</v>
      </c>
      <c r="S26" s="18">
        <f>-'Balance Sheet'!S59</f>
        <v>-505.159158375</v>
      </c>
      <c r="T26" s="3">
        <f t="shared" ref="T26" si="41">R26+S26</f>
        <v>-1188.5186479500001</v>
      </c>
      <c r="U26" s="18">
        <f>-'Balance Sheet'!U59</f>
        <v>-741.16123118887504</v>
      </c>
      <c r="V26" s="18">
        <f>-'Balance Sheet'!V59</f>
        <v>-565.49908155612502</v>
      </c>
      <c r="W26" s="3">
        <f t="shared" ref="W26" si="42">U26+V26</f>
        <v>-1306.6603127450001</v>
      </c>
      <c r="X26" s="18">
        <f>-'Balance Sheet'!X59</f>
        <v>-803.8761208399294</v>
      </c>
      <c r="Y26" s="18">
        <f>-'Balance Sheet'!Y59</f>
        <v>-632.7400231795707</v>
      </c>
      <c r="Z26" s="3">
        <f t="shared" ref="Z26" si="43">X26+Y26</f>
        <v>-1436.6161440195001</v>
      </c>
      <c r="AA26" s="18">
        <f>-'Balance Sheet'!AA59</f>
        <v>-871.92177611132342</v>
      </c>
      <c r="AB26" s="18">
        <f>-'Balance Sheet'!AB59</f>
        <v>-707.64578231012672</v>
      </c>
      <c r="AC26" s="3">
        <f t="shared" ref="AC26" si="44">AA26+AB26</f>
        <v>-1579.56755842145</v>
      </c>
    </row>
    <row r="27" spans="2:38" x14ac:dyDescent="0.3">
      <c r="B27" s="8" t="s">
        <v>115</v>
      </c>
      <c r="C27" s="3">
        <v>-3</v>
      </c>
      <c r="D27" s="3">
        <f t="shared" si="35"/>
        <v>-1</v>
      </c>
      <c r="E27" s="3">
        <v>-4</v>
      </c>
      <c r="F27" s="3">
        <v>3</v>
      </c>
      <c r="G27" s="3">
        <f t="shared" si="36"/>
        <v>-75</v>
      </c>
      <c r="H27" s="3">
        <v>-72</v>
      </c>
      <c r="I27" s="3">
        <v>-2</v>
      </c>
      <c r="J27" s="3">
        <f t="shared" si="37"/>
        <v>-55</v>
      </c>
      <c r="K27" s="3">
        <v>-57</v>
      </c>
      <c r="L27" s="3">
        <v>-109</v>
      </c>
      <c r="M27" s="3"/>
      <c r="N27" s="3">
        <f t="shared" si="39"/>
        <v>-109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2:38" x14ac:dyDescent="0.3">
      <c r="B28" s="8" t="s">
        <v>116</v>
      </c>
      <c r="C28" s="3">
        <v>5</v>
      </c>
      <c r="D28" s="3">
        <f t="shared" si="35"/>
        <v>9</v>
      </c>
      <c r="E28" s="3">
        <v>14</v>
      </c>
      <c r="F28" s="3">
        <v>2</v>
      </c>
      <c r="G28" s="3">
        <f t="shared" si="36"/>
        <v>80</v>
      </c>
      <c r="H28" s="3">
        <v>82</v>
      </c>
      <c r="I28" s="3">
        <v>111</v>
      </c>
      <c r="J28" s="3">
        <f t="shared" si="37"/>
        <v>351</v>
      </c>
      <c r="K28" s="3">
        <v>462</v>
      </c>
      <c r="L28" s="3">
        <v>18</v>
      </c>
      <c r="M28" s="3"/>
      <c r="N28" s="3">
        <f t="shared" si="39"/>
        <v>18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2:38" x14ac:dyDescent="0.3">
      <c r="B29" s="8" t="s">
        <v>117</v>
      </c>
      <c r="C29" s="3">
        <v>-364</v>
      </c>
      <c r="D29" s="3">
        <f t="shared" si="35"/>
        <v>-86</v>
      </c>
      <c r="E29" s="3">
        <v>-450</v>
      </c>
      <c r="F29" s="3">
        <v>-110</v>
      </c>
      <c r="G29" s="3">
        <f t="shared" si="36"/>
        <v>-96</v>
      </c>
      <c r="H29" s="3">
        <v>-206</v>
      </c>
      <c r="I29" s="3">
        <v>-129</v>
      </c>
      <c r="J29" s="3">
        <f t="shared" si="37"/>
        <v>-213</v>
      </c>
      <c r="K29" s="3">
        <v>-342</v>
      </c>
      <c r="L29" s="3">
        <v>-3</v>
      </c>
      <c r="M29" s="3"/>
      <c r="N29" s="3">
        <f t="shared" si="39"/>
        <v>-3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2:38" x14ac:dyDescent="0.3">
      <c r="B30" s="8" t="s">
        <v>118</v>
      </c>
      <c r="C30" s="3">
        <v>0</v>
      </c>
      <c r="D30" s="3">
        <f t="shared" si="35"/>
        <v>-38</v>
      </c>
      <c r="E30" s="3">
        <v>-38</v>
      </c>
      <c r="F30" s="3">
        <v>-24</v>
      </c>
      <c r="G30" s="3">
        <f t="shared" si="36"/>
        <v>-41</v>
      </c>
      <c r="H30" s="3">
        <v>-65</v>
      </c>
      <c r="I30" s="3">
        <v>-38</v>
      </c>
      <c r="J30" s="3">
        <f t="shared" si="37"/>
        <v>-55</v>
      </c>
      <c r="K30" s="3">
        <v>-93</v>
      </c>
      <c r="L30" s="3">
        <v>-51</v>
      </c>
      <c r="M30" s="3"/>
      <c r="N30" s="3">
        <f t="shared" si="39"/>
        <v>-51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2:38" x14ac:dyDescent="0.3">
      <c r="B31" s="1" t="s">
        <v>120</v>
      </c>
      <c r="C31" s="4">
        <f t="shared" ref="C31:H31" si="45">SUM(C25:C30)</f>
        <v>-604</v>
      </c>
      <c r="D31" s="4">
        <f t="shared" si="45"/>
        <v>-487</v>
      </c>
      <c r="E31" s="4">
        <f t="shared" si="45"/>
        <v>-1091</v>
      </c>
      <c r="F31" s="4">
        <f t="shared" si="45"/>
        <v>-504</v>
      </c>
      <c r="G31" s="4">
        <f t="shared" si="45"/>
        <v>-837</v>
      </c>
      <c r="H31" s="4">
        <f t="shared" si="45"/>
        <v>-1341</v>
      </c>
      <c r="I31" s="4">
        <f>SUM(I25:I30)</f>
        <v>-564</v>
      </c>
      <c r="J31" s="4">
        <f t="shared" ref="J31:AC31" si="46">SUM(J25:J30)</f>
        <v>-633</v>
      </c>
      <c r="K31" s="4">
        <f t="shared" si="46"/>
        <v>-1197</v>
      </c>
      <c r="L31" s="4">
        <f t="shared" si="46"/>
        <v>-720</v>
      </c>
      <c r="M31" s="4">
        <f t="shared" si="46"/>
        <v>-402.49339500000002</v>
      </c>
      <c r="N31" s="4">
        <f t="shared" si="46"/>
        <v>-1122.493395</v>
      </c>
      <c r="O31" s="4">
        <f t="shared" si="46"/>
        <v>-630.08599500000003</v>
      </c>
      <c r="P31" s="4">
        <f t="shared" si="46"/>
        <v>-451.03113949999994</v>
      </c>
      <c r="Q31" s="4">
        <f t="shared" si="46"/>
        <v>-1081.1171345</v>
      </c>
      <c r="R31" s="4">
        <f t="shared" si="46"/>
        <v>-683.359489575</v>
      </c>
      <c r="S31" s="4">
        <f t="shared" si="46"/>
        <v>-505.159158375</v>
      </c>
      <c r="T31" s="4">
        <f t="shared" si="46"/>
        <v>-1188.5186479500001</v>
      </c>
      <c r="U31" s="4">
        <f t="shared" si="46"/>
        <v>-741.16123118887504</v>
      </c>
      <c r="V31" s="4">
        <f t="shared" si="46"/>
        <v>-565.49908155612502</v>
      </c>
      <c r="W31" s="4">
        <f t="shared" si="46"/>
        <v>-1306.6603127450001</v>
      </c>
      <c r="X31" s="4">
        <f t="shared" si="46"/>
        <v>-803.8761208399294</v>
      </c>
      <c r="Y31" s="4">
        <f t="shared" si="46"/>
        <v>-632.7400231795707</v>
      </c>
      <c r="Z31" s="4">
        <f t="shared" si="46"/>
        <v>-1436.6161440195001</v>
      </c>
      <c r="AA31" s="4">
        <f t="shared" si="46"/>
        <v>-871.92177611132342</v>
      </c>
      <c r="AB31" s="4">
        <f t="shared" si="46"/>
        <v>-707.64578231012672</v>
      </c>
      <c r="AC31" s="4">
        <f t="shared" si="46"/>
        <v>-1579.56755842145</v>
      </c>
    </row>
    <row r="32" spans="2:38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2:29" x14ac:dyDescent="0.3">
      <c r="B33" s="9" t="s">
        <v>121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2:29" x14ac:dyDescent="0.3">
      <c r="B34" s="8" t="s">
        <v>122</v>
      </c>
      <c r="C34" s="3">
        <v>0</v>
      </c>
      <c r="D34" s="3">
        <f t="shared" ref="D34:D43" si="47">E34-C34</f>
        <v>-109</v>
      </c>
      <c r="E34" s="3">
        <v>-109</v>
      </c>
      <c r="F34" s="3">
        <v>-538</v>
      </c>
      <c r="G34" s="3">
        <f t="shared" ref="G34:G43" si="48">H34-F34</f>
        <v>-1746</v>
      </c>
      <c r="H34" s="3">
        <v>-2284</v>
      </c>
      <c r="I34" s="3">
        <v>-655</v>
      </c>
      <c r="J34" s="3">
        <f t="shared" ref="J34:J43" si="49">K34-I34</f>
        <v>-726</v>
      </c>
      <c r="K34" s="3">
        <v>-1381</v>
      </c>
      <c r="L34" s="3">
        <v>-480</v>
      </c>
      <c r="M34" s="3"/>
      <c r="N34" s="3">
        <f t="shared" ref="N34:N43" si="50">L34+M34</f>
        <v>-480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2:29" x14ac:dyDescent="0.3">
      <c r="B35" s="8" t="s">
        <v>123</v>
      </c>
      <c r="C35" s="3">
        <v>9</v>
      </c>
      <c r="D35" s="3">
        <f t="shared" si="47"/>
        <v>40</v>
      </c>
      <c r="E35" s="3">
        <v>49</v>
      </c>
      <c r="F35" s="3">
        <v>42</v>
      </c>
      <c r="G35" s="3">
        <f t="shared" si="48"/>
        <v>-24</v>
      </c>
      <c r="H35" s="3">
        <v>18</v>
      </c>
      <c r="I35" s="3">
        <v>12</v>
      </c>
      <c r="J35" s="3">
        <f t="shared" si="49"/>
        <v>17</v>
      </c>
      <c r="K35" s="3">
        <v>29</v>
      </c>
      <c r="L35" s="3">
        <v>5</v>
      </c>
      <c r="M35" s="3"/>
      <c r="N35" s="3">
        <f t="shared" si="50"/>
        <v>5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2:29" x14ac:dyDescent="0.3">
      <c r="B36" s="8" t="s">
        <v>139</v>
      </c>
      <c r="C36" s="3">
        <v>0</v>
      </c>
      <c r="D36" s="3">
        <f t="shared" si="47"/>
        <v>0</v>
      </c>
      <c r="E36" s="3">
        <v>0</v>
      </c>
      <c r="F36" s="3">
        <v>-13</v>
      </c>
      <c r="G36" s="3">
        <f t="shared" si="48"/>
        <v>-2</v>
      </c>
      <c r="H36" s="3">
        <v>-15</v>
      </c>
      <c r="I36" s="3"/>
      <c r="J36" s="3">
        <f t="shared" si="49"/>
        <v>0</v>
      </c>
      <c r="K36" s="3">
        <v>0</v>
      </c>
      <c r="L36" s="3"/>
      <c r="M36" s="3"/>
      <c r="N36" s="3">
        <f t="shared" si="50"/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2:29" x14ac:dyDescent="0.3">
      <c r="B37" s="8" t="s">
        <v>124</v>
      </c>
      <c r="C37" s="3">
        <v>-53</v>
      </c>
      <c r="D37" s="3">
        <f t="shared" si="47"/>
        <v>-24</v>
      </c>
      <c r="E37" s="3">
        <v>-77</v>
      </c>
      <c r="F37" s="3">
        <v>-51</v>
      </c>
      <c r="G37" s="3">
        <f t="shared" si="48"/>
        <v>-30</v>
      </c>
      <c r="H37" s="3">
        <v>-81</v>
      </c>
      <c r="I37" s="3">
        <v>-94</v>
      </c>
      <c r="J37" s="3">
        <f t="shared" si="49"/>
        <v>-3</v>
      </c>
      <c r="K37" s="3">
        <v>-97</v>
      </c>
      <c r="L37" s="3">
        <v>-71</v>
      </c>
      <c r="M37" s="3"/>
      <c r="N37" s="3">
        <f t="shared" si="50"/>
        <v>-71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2:29" x14ac:dyDescent="0.3">
      <c r="B38" s="8" t="s">
        <v>125</v>
      </c>
      <c r="C38" s="3">
        <v>1031</v>
      </c>
      <c r="D38" s="3">
        <f t="shared" si="47"/>
        <v>0</v>
      </c>
      <c r="E38" s="3">
        <v>1031</v>
      </c>
      <c r="F38" s="3">
        <v>0</v>
      </c>
      <c r="G38" s="3">
        <f t="shared" si="48"/>
        <v>2263</v>
      </c>
      <c r="H38" s="3">
        <v>2263</v>
      </c>
      <c r="I38" s="3">
        <v>1989</v>
      </c>
      <c r="J38" s="3">
        <f t="shared" si="49"/>
        <v>240</v>
      </c>
      <c r="K38" s="3">
        <v>2229</v>
      </c>
      <c r="L38" s="3">
        <v>1690</v>
      </c>
      <c r="M38" s="3"/>
      <c r="N38" s="3">
        <f t="shared" si="50"/>
        <v>1690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2:29" x14ac:dyDescent="0.3">
      <c r="B39" s="8" t="s">
        <v>126</v>
      </c>
      <c r="C39" s="3">
        <v>-1247</v>
      </c>
      <c r="D39" s="3">
        <f t="shared" si="47"/>
        <v>0</v>
      </c>
      <c r="E39" s="3">
        <v>-1247</v>
      </c>
      <c r="F39" s="3">
        <v>-769</v>
      </c>
      <c r="G39" s="3">
        <f t="shared" si="48"/>
        <v>-752</v>
      </c>
      <c r="H39" s="3">
        <v>-1521</v>
      </c>
      <c r="I39" s="3">
        <v>-300</v>
      </c>
      <c r="J39" s="3">
        <f t="shared" si="49"/>
        <v>-1040</v>
      </c>
      <c r="K39" s="3">
        <v>-1340</v>
      </c>
      <c r="L39" s="3">
        <v>-1132</v>
      </c>
      <c r="M39" s="3"/>
      <c r="N39" s="3">
        <f t="shared" si="50"/>
        <v>-1132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3">
      <c r="B40" s="8" t="s">
        <v>140</v>
      </c>
      <c r="C40" s="3">
        <v>-34</v>
      </c>
      <c r="D40" s="3">
        <f t="shared" si="47"/>
        <v>-8</v>
      </c>
      <c r="E40" s="3">
        <v>-42</v>
      </c>
      <c r="F40" s="3">
        <v>0</v>
      </c>
      <c r="G40" s="3">
        <f t="shared" si="48"/>
        <v>0</v>
      </c>
      <c r="H40" s="3">
        <v>0</v>
      </c>
      <c r="I40" s="3"/>
      <c r="J40" s="3">
        <f t="shared" si="49"/>
        <v>-146</v>
      </c>
      <c r="K40" s="3">
        <v>-146</v>
      </c>
      <c r="L40" s="3"/>
      <c r="M40" s="18">
        <v>132</v>
      </c>
      <c r="N40" s="3">
        <f t="shared" si="50"/>
        <v>132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3">
      <c r="B41" s="8" t="s">
        <v>127</v>
      </c>
      <c r="C41" s="3">
        <v>0</v>
      </c>
      <c r="D41" s="3">
        <f t="shared" si="47"/>
        <v>34</v>
      </c>
      <c r="E41" s="3">
        <v>34</v>
      </c>
      <c r="F41" s="3">
        <v>136</v>
      </c>
      <c r="G41" s="3">
        <f t="shared" si="48"/>
        <v>367</v>
      </c>
      <c r="H41" s="3">
        <v>503</v>
      </c>
      <c r="I41" s="3">
        <v>173</v>
      </c>
      <c r="J41" s="3">
        <f t="shared" si="49"/>
        <v>260</v>
      </c>
      <c r="K41" s="3">
        <v>433</v>
      </c>
      <c r="L41" s="3">
        <v>470</v>
      </c>
      <c r="M41" s="18">
        <f>'Balance Sheet'!M37-'Balance Sheet'!L37</f>
        <v>500</v>
      </c>
      <c r="N41" s="3">
        <f t="shared" si="50"/>
        <v>970</v>
      </c>
      <c r="O41" s="18">
        <f>'Balance Sheet'!O37-'Balance Sheet'!N37</f>
        <v>500</v>
      </c>
      <c r="P41" s="18">
        <f>'Balance Sheet'!P37-'Balance Sheet'!O37</f>
        <v>500</v>
      </c>
      <c r="Q41" s="3">
        <f t="shared" ref="Q41" si="51">O41+P41</f>
        <v>1000</v>
      </c>
      <c r="R41" s="18">
        <f>'Balance Sheet'!R37-'Balance Sheet'!Q37</f>
        <v>500</v>
      </c>
      <c r="S41" s="18">
        <f>'Balance Sheet'!S37-'Balance Sheet'!R37</f>
        <v>500</v>
      </c>
      <c r="T41" s="3">
        <f t="shared" ref="T41" si="52">R41+S41</f>
        <v>1000</v>
      </c>
      <c r="U41" s="18">
        <f>'Balance Sheet'!U37-'Balance Sheet'!T37</f>
        <v>500</v>
      </c>
      <c r="V41" s="18">
        <f>'Balance Sheet'!V37-'Balance Sheet'!U37</f>
        <v>500</v>
      </c>
      <c r="W41" s="3">
        <f t="shared" ref="W41" si="53">U41+V41</f>
        <v>1000</v>
      </c>
      <c r="X41" s="18">
        <f>'Balance Sheet'!X37-'Balance Sheet'!W37</f>
        <v>500</v>
      </c>
      <c r="Y41" s="18">
        <f>'Balance Sheet'!Y37-'Balance Sheet'!X37</f>
        <v>500</v>
      </c>
      <c r="Z41" s="3">
        <f t="shared" ref="Z41" si="54">X41+Y41</f>
        <v>1000</v>
      </c>
      <c r="AA41" s="18">
        <f>'Balance Sheet'!AA37-'Balance Sheet'!Z37</f>
        <v>500</v>
      </c>
      <c r="AB41" s="18">
        <f>'Balance Sheet'!AB37-'Balance Sheet'!AA37</f>
        <v>500</v>
      </c>
      <c r="AC41" s="3">
        <f t="shared" ref="AC41" si="55">AA41+AB41</f>
        <v>1000</v>
      </c>
    </row>
    <row r="42" spans="2:29" x14ac:dyDescent="0.3">
      <c r="B42" s="8" t="s">
        <v>128</v>
      </c>
      <c r="C42" s="3">
        <v>-345</v>
      </c>
      <c r="D42" s="3">
        <f t="shared" si="47"/>
        <v>-442</v>
      </c>
      <c r="E42" s="3">
        <v>-787</v>
      </c>
      <c r="F42" s="3">
        <v>-98</v>
      </c>
      <c r="G42" s="3">
        <f t="shared" si="48"/>
        <v>-326</v>
      </c>
      <c r="H42" s="3">
        <v>-424</v>
      </c>
      <c r="I42" s="3">
        <v>-206</v>
      </c>
      <c r="J42" s="3">
        <f t="shared" si="49"/>
        <v>-168</v>
      </c>
      <c r="K42" s="3">
        <v>-374</v>
      </c>
      <c r="L42" s="3">
        <v>-801</v>
      </c>
      <c r="M42" s="3"/>
      <c r="N42" s="3">
        <f t="shared" si="50"/>
        <v>-801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2:29" x14ac:dyDescent="0.3">
      <c r="B43" s="8" t="s">
        <v>129</v>
      </c>
      <c r="C43" s="3">
        <v>-992</v>
      </c>
      <c r="D43" s="3">
        <f t="shared" si="47"/>
        <v>-654</v>
      </c>
      <c r="E43" s="3">
        <v>-1646</v>
      </c>
      <c r="F43" s="3">
        <v>-1040</v>
      </c>
      <c r="G43" s="3">
        <f t="shared" si="48"/>
        <v>-678</v>
      </c>
      <c r="H43" s="3">
        <v>-1718</v>
      </c>
      <c r="I43" s="3">
        <v>-1194</v>
      </c>
      <c r="J43" s="3">
        <f t="shared" si="49"/>
        <v>-567</v>
      </c>
      <c r="K43" s="3">
        <v>-1761</v>
      </c>
      <c r="L43" s="3">
        <v>-1348</v>
      </c>
      <c r="M43" s="3"/>
      <c r="N43" s="3">
        <f t="shared" si="50"/>
        <v>-1348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2:29" x14ac:dyDescent="0.3">
      <c r="B44" s="1" t="s">
        <v>119</v>
      </c>
      <c r="C44" s="4">
        <f t="shared" ref="C44:H44" si="56">SUM(C34:C43)</f>
        <v>-1631</v>
      </c>
      <c r="D44" s="4">
        <f t="shared" si="56"/>
        <v>-1163</v>
      </c>
      <c r="E44" s="4">
        <f t="shared" si="56"/>
        <v>-2794</v>
      </c>
      <c r="F44" s="4">
        <f t="shared" si="56"/>
        <v>-2331</v>
      </c>
      <c r="G44" s="4">
        <f t="shared" si="56"/>
        <v>-928</v>
      </c>
      <c r="H44" s="4">
        <f t="shared" si="56"/>
        <v>-3259</v>
      </c>
      <c r="I44" s="4">
        <f>SUM(I34:I43)</f>
        <v>-275</v>
      </c>
      <c r="J44" s="4">
        <f t="shared" ref="J44:AC44" si="57">SUM(J34:J43)</f>
        <v>-2133</v>
      </c>
      <c r="K44" s="4">
        <f t="shared" si="57"/>
        <v>-2408</v>
      </c>
      <c r="L44" s="4">
        <f t="shared" si="57"/>
        <v>-1667</v>
      </c>
      <c r="M44" s="4">
        <f t="shared" si="57"/>
        <v>632</v>
      </c>
      <c r="N44" s="4">
        <f>SUM(N34:N43)</f>
        <v>-1035</v>
      </c>
      <c r="O44" s="4">
        <f t="shared" si="57"/>
        <v>500</v>
      </c>
      <c r="P44" s="4">
        <f t="shared" si="57"/>
        <v>500</v>
      </c>
      <c r="Q44" s="4">
        <f t="shared" si="57"/>
        <v>1000</v>
      </c>
      <c r="R44" s="4">
        <f t="shared" si="57"/>
        <v>500</v>
      </c>
      <c r="S44" s="4">
        <f t="shared" si="57"/>
        <v>500</v>
      </c>
      <c r="T44" s="4">
        <f t="shared" si="57"/>
        <v>1000</v>
      </c>
      <c r="U44" s="4">
        <f t="shared" si="57"/>
        <v>500</v>
      </c>
      <c r="V44" s="4">
        <f t="shared" si="57"/>
        <v>500</v>
      </c>
      <c r="W44" s="4">
        <f t="shared" si="57"/>
        <v>1000</v>
      </c>
      <c r="X44" s="4">
        <f t="shared" si="57"/>
        <v>500</v>
      </c>
      <c r="Y44" s="4">
        <f t="shared" si="57"/>
        <v>500</v>
      </c>
      <c r="Z44" s="4">
        <f t="shared" si="57"/>
        <v>1000</v>
      </c>
      <c r="AA44" s="4">
        <f t="shared" si="57"/>
        <v>500</v>
      </c>
      <c r="AB44" s="4">
        <f t="shared" si="57"/>
        <v>500</v>
      </c>
      <c r="AC44" s="4">
        <f t="shared" si="57"/>
        <v>1000</v>
      </c>
    </row>
    <row r="45" spans="2:29" x14ac:dyDescent="0.3">
      <c r="B45" s="1" t="s">
        <v>130</v>
      </c>
      <c r="C45" s="4">
        <f t="shared" ref="C45:H45" si="58">C22+C31+C44</f>
        <v>-237</v>
      </c>
      <c r="D45" s="4">
        <f t="shared" si="58"/>
        <v>6</v>
      </c>
      <c r="E45" s="4">
        <f t="shared" si="58"/>
        <v>-231</v>
      </c>
      <c r="F45" s="4">
        <f t="shared" si="58"/>
        <v>-888</v>
      </c>
      <c r="G45" s="4">
        <f t="shared" si="58"/>
        <v>223</v>
      </c>
      <c r="H45" s="4">
        <f t="shared" si="58"/>
        <v>-665</v>
      </c>
      <c r="I45" s="4">
        <f>I22+I31+I44</f>
        <v>633</v>
      </c>
      <c r="J45" s="4">
        <f t="shared" ref="J45:AC45" si="59">J22+J31+J44</f>
        <v>-1214</v>
      </c>
      <c r="K45" s="4">
        <f t="shared" si="59"/>
        <v>-581</v>
      </c>
      <c r="L45" s="4">
        <f t="shared" si="59"/>
        <v>-241</v>
      </c>
      <c r="M45" s="50">
        <f t="shared" si="59"/>
        <v>2402.6129240544392</v>
      </c>
      <c r="N45" s="4">
        <f t="shared" si="59"/>
        <v>2161.6129240544392</v>
      </c>
      <c r="O45" s="4">
        <f t="shared" si="59"/>
        <v>2174.6073510905621</v>
      </c>
      <c r="P45" s="4">
        <f t="shared" si="59"/>
        <v>3814.3897295172219</v>
      </c>
      <c r="Q45" s="4">
        <f t="shared" si="59"/>
        <v>5988.9970806077827</v>
      </c>
      <c r="R45" s="4">
        <f t="shared" si="59"/>
        <v>1901.2804974616204</v>
      </c>
      <c r="S45" s="4">
        <f t="shared" si="59"/>
        <v>4065.1240854647031</v>
      </c>
      <c r="T45" s="4">
        <f t="shared" si="59"/>
        <v>5966.4045829263241</v>
      </c>
      <c r="U45" s="4">
        <f t="shared" si="59"/>
        <v>2141.7626267207661</v>
      </c>
      <c r="V45" s="4">
        <f t="shared" si="59"/>
        <v>4339.637443054492</v>
      </c>
      <c r="W45" s="4">
        <f t="shared" si="59"/>
        <v>6481.4000697752599</v>
      </c>
      <c r="X45" s="4">
        <f t="shared" si="59"/>
        <v>2451.993624051096</v>
      </c>
      <c r="Y45" s="4">
        <f t="shared" si="59"/>
        <v>4636.0083481790944</v>
      </c>
      <c r="Z45" s="4">
        <f t="shared" si="59"/>
        <v>7088.0019722301895</v>
      </c>
      <c r="AA45" s="4">
        <f t="shared" si="59"/>
        <v>2711.7180078769534</v>
      </c>
      <c r="AB45" s="4">
        <f t="shared" si="59"/>
        <v>4966.0465380448704</v>
      </c>
      <c r="AC45" s="4">
        <f t="shared" si="59"/>
        <v>7677.7645459218256</v>
      </c>
    </row>
    <row r="46" spans="2:29" x14ac:dyDescent="0.3">
      <c r="B46" s="8" t="s">
        <v>131</v>
      </c>
      <c r="C46" s="3">
        <v>-237</v>
      </c>
      <c r="D46" s="3">
        <f t="shared" ref="D46:D47" si="60">E46-C46</f>
        <v>-48</v>
      </c>
      <c r="E46" s="3">
        <v>-285</v>
      </c>
      <c r="F46" s="3">
        <v>14</v>
      </c>
      <c r="G46" s="3">
        <f t="shared" ref="G46:G47" si="61">H46-F46</f>
        <v>225</v>
      </c>
      <c r="H46" s="3">
        <v>239</v>
      </c>
      <c r="I46" s="3">
        <v>-25</v>
      </c>
      <c r="J46" s="3">
        <f t="shared" ref="J46:J47" si="62">K46-I46</f>
        <v>-202</v>
      </c>
      <c r="K46" s="3">
        <v>-227</v>
      </c>
      <c r="L46" s="3">
        <v>-45</v>
      </c>
      <c r="M46" s="3"/>
      <c r="N46" s="3">
        <f t="shared" ref="N46:N47" si="63">L46+M46</f>
        <v>-45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2:29" x14ac:dyDescent="0.3">
      <c r="B47" s="8" t="s">
        <v>132</v>
      </c>
      <c r="C47" s="3"/>
      <c r="D47" s="3">
        <f t="shared" si="60"/>
        <v>0</v>
      </c>
      <c r="E47" s="3"/>
      <c r="F47" s="3"/>
      <c r="G47" s="3">
        <f t="shared" si="61"/>
        <v>0</v>
      </c>
      <c r="H47" s="3"/>
      <c r="I47" s="3">
        <v>-57</v>
      </c>
      <c r="J47" s="3">
        <f t="shared" si="62"/>
        <v>57</v>
      </c>
      <c r="K47" s="3"/>
      <c r="L47" s="3">
        <v>0</v>
      </c>
      <c r="M47" s="3"/>
      <c r="N47" s="3">
        <f t="shared" si="63"/>
        <v>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2:29" x14ac:dyDescent="0.3">
      <c r="B48" s="8" t="s">
        <v>133</v>
      </c>
      <c r="C48" s="3">
        <v>3153</v>
      </c>
      <c r="D48" s="3">
        <f>C49</f>
        <v>2680</v>
      </c>
      <c r="E48" s="3">
        <v>3153</v>
      </c>
      <c r="F48" s="3">
        <v>2637</v>
      </c>
      <c r="G48" s="3">
        <f>F49</f>
        <v>1763</v>
      </c>
      <c r="H48" s="3">
        <f>E49</f>
        <v>2637</v>
      </c>
      <c r="I48" s="3">
        <v>2675</v>
      </c>
      <c r="J48" s="3">
        <f>I49</f>
        <v>3226</v>
      </c>
      <c r="K48" s="3">
        <f>H49</f>
        <v>2211</v>
      </c>
      <c r="L48" s="3">
        <v>1768</v>
      </c>
      <c r="M48" s="3">
        <f>L49-L53</f>
        <v>1529</v>
      </c>
      <c r="N48" s="3">
        <f>L48-L53</f>
        <v>1815</v>
      </c>
      <c r="O48" s="3">
        <f>N49</f>
        <v>3931.6129240544392</v>
      </c>
      <c r="P48" s="3">
        <f>O49</f>
        <v>6106.2202751450013</v>
      </c>
      <c r="Q48" s="3">
        <f>O48</f>
        <v>3931.6129240544392</v>
      </c>
      <c r="R48" s="3">
        <f>Q49</f>
        <v>9920.6100046622214</v>
      </c>
      <c r="S48" s="3">
        <f>R49</f>
        <v>11821.890502123842</v>
      </c>
      <c r="T48" s="3">
        <f>R48</f>
        <v>9920.6100046622214</v>
      </c>
      <c r="U48" s="3">
        <f>T49</f>
        <v>15887.014587588546</v>
      </c>
      <c r="V48" s="3">
        <f>U49</f>
        <v>18028.777214309313</v>
      </c>
      <c r="W48" s="3">
        <f>U48</f>
        <v>15887.014587588546</v>
      </c>
      <c r="X48" s="3">
        <f>W49</f>
        <v>22368.414657363806</v>
      </c>
      <c r="Y48" s="3">
        <f>X49</f>
        <v>24820.408281414901</v>
      </c>
      <c r="Z48" s="3">
        <f>X48</f>
        <v>22368.414657363806</v>
      </c>
      <c r="AA48" s="3">
        <f>Z49</f>
        <v>29456.416629593994</v>
      </c>
      <c r="AB48" s="3">
        <f>AA49</f>
        <v>32168.134637470946</v>
      </c>
      <c r="AC48" s="3">
        <f>AA48</f>
        <v>29456.416629593994</v>
      </c>
    </row>
    <row r="49" spans="2:29" x14ac:dyDescent="0.3">
      <c r="B49" s="9" t="s">
        <v>134</v>
      </c>
      <c r="C49" s="4">
        <f>C45+C46+C47+C48+1</f>
        <v>2680</v>
      </c>
      <c r="D49" s="4">
        <f t="shared" ref="D49" si="64">D45+D46+D47+D48</f>
        <v>2638</v>
      </c>
      <c r="E49" s="4">
        <f t="shared" ref="E49:H49" si="65">E45+E46+E47+E48</f>
        <v>2637</v>
      </c>
      <c r="F49" s="4">
        <f t="shared" si="65"/>
        <v>1763</v>
      </c>
      <c r="G49" s="4">
        <f t="shared" si="65"/>
        <v>2211</v>
      </c>
      <c r="H49" s="4">
        <f t="shared" si="65"/>
        <v>2211</v>
      </c>
      <c r="I49" s="4">
        <f>I45+I46+I47+I48</f>
        <v>3226</v>
      </c>
      <c r="J49" s="4">
        <f t="shared" ref="J49:AA49" si="66">J45+J46+J47+J48</f>
        <v>1867</v>
      </c>
      <c r="K49" s="4">
        <f t="shared" si="66"/>
        <v>1403</v>
      </c>
      <c r="L49" s="4">
        <f t="shared" si="66"/>
        <v>1482</v>
      </c>
      <c r="M49" s="4">
        <f>M45+M46+M47+M48</f>
        <v>3931.6129240544392</v>
      </c>
      <c r="N49" s="4">
        <f t="shared" si="66"/>
        <v>3931.6129240544392</v>
      </c>
      <c r="O49" s="4">
        <f t="shared" si="66"/>
        <v>6106.2202751450013</v>
      </c>
      <c r="P49" s="4">
        <f t="shared" si="66"/>
        <v>9920.6100046622232</v>
      </c>
      <c r="Q49" s="4">
        <f t="shared" si="66"/>
        <v>9920.6100046622214</v>
      </c>
      <c r="R49" s="4">
        <f t="shared" si="66"/>
        <v>11821.890502123842</v>
      </c>
      <c r="S49" s="4">
        <f t="shared" ref="S49" si="67">S45+S46+S47+S48</f>
        <v>15887.014587588546</v>
      </c>
      <c r="T49" s="4">
        <f t="shared" ref="T49" si="68">T45+T46+T47+T48</f>
        <v>15887.014587588546</v>
      </c>
      <c r="U49" s="4">
        <f t="shared" si="66"/>
        <v>18028.777214309313</v>
      </c>
      <c r="V49" s="4">
        <f t="shared" ref="V49" si="69">V45+V46+V47+V48</f>
        <v>22368.414657363806</v>
      </c>
      <c r="W49" s="4">
        <f t="shared" ref="W49" si="70">W45+W46+W47+W48</f>
        <v>22368.414657363806</v>
      </c>
      <c r="X49" s="4">
        <f t="shared" si="66"/>
        <v>24820.408281414901</v>
      </c>
      <c r="Y49" s="4">
        <f t="shared" ref="Y49" si="71">Y45+Y46+Y47+Y48</f>
        <v>29456.416629593994</v>
      </c>
      <c r="Z49" s="4">
        <f t="shared" ref="Z49" si="72">Z45+Z46+Z47+Z48</f>
        <v>29456.416629593994</v>
      </c>
      <c r="AA49" s="4">
        <f t="shared" si="66"/>
        <v>32168.134637470946</v>
      </c>
      <c r="AB49" s="4">
        <f t="shared" ref="AB49" si="73">AB45+AB46+AB47+AB48</f>
        <v>37134.18117551582</v>
      </c>
      <c r="AC49" s="4">
        <f t="shared" ref="AC49" si="74">AC45+AC46+AC47+AC48</f>
        <v>37134.18117551582</v>
      </c>
    </row>
    <row r="50" spans="2:29" x14ac:dyDescent="0.3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2:29" x14ac:dyDescent="0.3">
      <c r="B51" s="1" t="s">
        <v>135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2:29" x14ac:dyDescent="0.3">
      <c r="B52" s="8" t="s">
        <v>136</v>
      </c>
      <c r="C52" s="3">
        <v>2763</v>
      </c>
      <c r="D52" s="3">
        <f>E52-C52</f>
        <v>-14</v>
      </c>
      <c r="E52" s="3">
        <v>2749</v>
      </c>
      <c r="F52" s="3">
        <f>E54</f>
        <v>2637</v>
      </c>
      <c r="G52" s="3">
        <f>H52-F52</f>
        <v>-352</v>
      </c>
      <c r="H52" s="3">
        <v>2285</v>
      </c>
      <c r="I52" s="3">
        <v>3319</v>
      </c>
      <c r="J52" s="3">
        <f>K52-I52</f>
        <v>-1880</v>
      </c>
      <c r="K52" s="3">
        <v>1439</v>
      </c>
      <c r="L52" s="3">
        <v>1529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2:29" x14ac:dyDescent="0.3">
      <c r="B53" s="8" t="s">
        <v>137</v>
      </c>
      <c r="C53" s="3">
        <v>-83</v>
      </c>
      <c r="D53" s="3">
        <f t="shared" ref="D53" si="75">E53-C53</f>
        <v>-29</v>
      </c>
      <c r="E53" s="3">
        <v>-112</v>
      </c>
      <c r="F53" s="3"/>
      <c r="G53" s="3">
        <f t="shared" ref="G53" si="76">H53-F53</f>
        <v>-74</v>
      </c>
      <c r="H53" s="3">
        <v>-74</v>
      </c>
      <c r="I53" s="3">
        <v>-93</v>
      </c>
      <c r="J53" s="3">
        <f t="shared" ref="J53" si="77">K53-I53</f>
        <v>57</v>
      </c>
      <c r="K53" s="3">
        <v>-36</v>
      </c>
      <c r="L53" s="3">
        <v>-47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2:29" x14ac:dyDescent="0.3">
      <c r="B54" s="9" t="s">
        <v>134</v>
      </c>
      <c r="C54" s="4">
        <f t="shared" ref="C54:H54" si="78">C52+C53</f>
        <v>2680</v>
      </c>
      <c r="D54" s="4">
        <f t="shared" si="78"/>
        <v>-43</v>
      </c>
      <c r="E54" s="4">
        <f t="shared" si="78"/>
        <v>2637</v>
      </c>
      <c r="F54" s="4">
        <f t="shared" si="78"/>
        <v>2637</v>
      </c>
      <c r="G54" s="4">
        <f t="shared" si="78"/>
        <v>-426</v>
      </c>
      <c r="H54" s="4">
        <f t="shared" si="78"/>
        <v>2211</v>
      </c>
      <c r="I54" s="4">
        <f>I52+I53</f>
        <v>3226</v>
      </c>
      <c r="J54" s="4">
        <f t="shared" ref="J54:AC54" si="79">J52+J53</f>
        <v>-1823</v>
      </c>
      <c r="K54" s="4">
        <f t="shared" si="79"/>
        <v>1403</v>
      </c>
      <c r="L54" s="4">
        <f t="shared" si="79"/>
        <v>1482</v>
      </c>
      <c r="M54" s="4">
        <f t="shared" si="79"/>
        <v>0</v>
      </c>
      <c r="N54" s="4">
        <f t="shared" si="79"/>
        <v>0</v>
      </c>
      <c r="O54" s="4">
        <f t="shared" si="79"/>
        <v>0</v>
      </c>
      <c r="P54" s="4">
        <f t="shared" si="79"/>
        <v>0</v>
      </c>
      <c r="Q54" s="4">
        <f t="shared" si="79"/>
        <v>0</v>
      </c>
      <c r="R54" s="4">
        <f t="shared" si="79"/>
        <v>0</v>
      </c>
      <c r="S54" s="4">
        <f t="shared" si="79"/>
        <v>0</v>
      </c>
      <c r="T54" s="4">
        <f t="shared" si="79"/>
        <v>0</v>
      </c>
      <c r="U54" s="4">
        <f t="shared" si="79"/>
        <v>0</v>
      </c>
      <c r="V54" s="4">
        <f t="shared" si="79"/>
        <v>0</v>
      </c>
      <c r="W54" s="4">
        <f t="shared" si="79"/>
        <v>0</v>
      </c>
      <c r="X54" s="4">
        <f t="shared" si="79"/>
        <v>0</v>
      </c>
      <c r="Y54" s="4">
        <f t="shared" si="79"/>
        <v>0</v>
      </c>
      <c r="Z54" s="4">
        <f t="shared" si="79"/>
        <v>0</v>
      </c>
      <c r="AA54" s="4">
        <f t="shared" si="79"/>
        <v>0</v>
      </c>
      <c r="AB54" s="4">
        <f t="shared" si="79"/>
        <v>0</v>
      </c>
      <c r="AC54" s="4">
        <f t="shared" si="79"/>
        <v>0</v>
      </c>
    </row>
    <row r="56" spans="2:29" x14ac:dyDescent="0.3">
      <c r="M5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DEF2-61A4-4031-9A6A-D9A3260CD9D6}">
  <dimension ref="B2:AF91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R22" sqref="R22"/>
    </sheetView>
  </sheetViews>
  <sheetFormatPr defaultRowHeight="14.4" x14ac:dyDescent="0.3"/>
  <cols>
    <col min="1" max="1" width="1.77734375" customWidth="1"/>
    <col min="3" max="8" width="9" bestFit="1" customWidth="1"/>
    <col min="9" max="9" width="9.109375" bestFit="1" customWidth="1"/>
    <col min="10" max="10" width="9" bestFit="1" customWidth="1"/>
    <col min="11" max="12" width="9.109375" bestFit="1" customWidth="1"/>
    <col min="13" max="13" width="8.21875" customWidth="1"/>
    <col min="14" max="14" width="9.5546875" customWidth="1"/>
    <col min="15" max="29" width="9" customWidth="1"/>
  </cols>
  <sheetData>
    <row r="2" spans="2:31" x14ac:dyDescent="0.3">
      <c r="C2" t="str">
        <f>'Income Statement '!C2</f>
        <v>H1'21</v>
      </c>
      <c r="D2" t="str">
        <f>'Income Statement '!D2</f>
        <v>H2'21</v>
      </c>
      <c r="E2" t="str">
        <f>'Income Statement '!E2</f>
        <v>FY'21</v>
      </c>
      <c r="F2" t="str">
        <f>'Income Statement '!F2</f>
        <v>H1'22</v>
      </c>
      <c r="G2" t="str">
        <f>'Income Statement '!G2</f>
        <v>H2'22</v>
      </c>
      <c r="H2" t="str">
        <f>'Income Statement '!H2</f>
        <v>FY'22</v>
      </c>
      <c r="I2" t="str">
        <f>'Income Statement '!I2</f>
        <v>H1'23</v>
      </c>
      <c r="J2" t="str">
        <f>'Income Statement '!J2</f>
        <v>H2'23</v>
      </c>
      <c r="K2" t="str">
        <f>'Income Statement '!K2</f>
        <v>FY'23</v>
      </c>
      <c r="L2" t="str">
        <f>'Income Statement '!L2</f>
        <v>H1'24</v>
      </c>
      <c r="M2" t="str">
        <f>'Income Statement '!M2</f>
        <v>H2'24E</v>
      </c>
      <c r="N2" t="str">
        <f>'Income Statement '!N2</f>
        <v>FY'24E</v>
      </c>
      <c r="O2" t="str">
        <f>'Income Statement '!O2</f>
        <v>H1'25E</v>
      </c>
      <c r="P2" t="str">
        <f>'Income Statement '!P2</f>
        <v>H2'25E</v>
      </c>
      <c r="Q2" t="str">
        <f>'Income Statement '!Q2</f>
        <v>FY'25E</v>
      </c>
      <c r="R2" t="str">
        <f>'Income Statement '!R2</f>
        <v>H1'26E</v>
      </c>
      <c r="S2" t="str">
        <f>'Income Statement '!S2</f>
        <v>H2'26E</v>
      </c>
      <c r="T2" t="str">
        <f>'Income Statement '!T2</f>
        <v>FY'26E</v>
      </c>
      <c r="U2" t="str">
        <f>'Income Statement '!U2</f>
        <v>H1'27E</v>
      </c>
      <c r="V2" t="str">
        <f>'Income Statement '!V2</f>
        <v>H2'27E</v>
      </c>
      <c r="W2" t="str">
        <f>'Income Statement '!W2</f>
        <v>FY'27E</v>
      </c>
      <c r="X2" t="str">
        <f>'Income Statement '!X2</f>
        <v>H1'28E</v>
      </c>
      <c r="Y2" t="str">
        <f>'Income Statement '!Y2</f>
        <v>H2'28E</v>
      </c>
      <c r="Z2" t="str">
        <f>'Income Statement '!Z2</f>
        <v>FY'28E</v>
      </c>
      <c r="AA2" t="str">
        <f>'Income Statement '!AA2</f>
        <v>H1'29E</v>
      </c>
      <c r="AB2" t="str">
        <f>'Income Statement '!AB2</f>
        <v>H2'29E</v>
      </c>
      <c r="AC2" t="str">
        <f>'Income Statement '!AC2</f>
        <v>FY'29E</v>
      </c>
    </row>
    <row r="3" spans="2:31" x14ac:dyDescent="0.3">
      <c r="B3" s="1" t="s">
        <v>53</v>
      </c>
    </row>
    <row r="4" spans="2:31" x14ac:dyDescent="0.3">
      <c r="B4" s="8" t="s">
        <v>54</v>
      </c>
      <c r="C4" s="3">
        <v>10877</v>
      </c>
      <c r="D4" s="3">
        <f>E4</f>
        <v>10764</v>
      </c>
      <c r="E4" s="3">
        <v>10764</v>
      </c>
      <c r="F4" s="3">
        <v>10921</v>
      </c>
      <c r="G4" s="3">
        <f>H4</f>
        <v>11902</v>
      </c>
      <c r="H4" s="3">
        <v>11902</v>
      </c>
      <c r="I4" s="3">
        <v>14556</v>
      </c>
      <c r="J4" s="3">
        <f>K4</f>
        <v>11512</v>
      </c>
      <c r="K4" s="3">
        <v>11512</v>
      </c>
      <c r="L4" s="3">
        <v>14496</v>
      </c>
      <c r="M4" s="3">
        <f>L4</f>
        <v>14496</v>
      </c>
      <c r="N4" s="3">
        <f>M4</f>
        <v>14496</v>
      </c>
      <c r="O4" s="3">
        <f t="shared" ref="O4:AC4" si="0">N4</f>
        <v>14496</v>
      </c>
      <c r="P4" s="3">
        <f t="shared" si="0"/>
        <v>14496</v>
      </c>
      <c r="Q4" s="3">
        <f t="shared" si="0"/>
        <v>14496</v>
      </c>
      <c r="R4" s="3">
        <f t="shared" si="0"/>
        <v>14496</v>
      </c>
      <c r="S4" s="3">
        <f t="shared" si="0"/>
        <v>14496</v>
      </c>
      <c r="T4" s="3">
        <f t="shared" si="0"/>
        <v>14496</v>
      </c>
      <c r="U4" s="3">
        <f t="shared" si="0"/>
        <v>14496</v>
      </c>
      <c r="V4" s="3">
        <f t="shared" si="0"/>
        <v>14496</v>
      </c>
      <c r="W4" s="3">
        <f t="shared" si="0"/>
        <v>14496</v>
      </c>
      <c r="X4" s="3">
        <f t="shared" si="0"/>
        <v>14496</v>
      </c>
      <c r="Y4" s="3">
        <f t="shared" si="0"/>
        <v>14496</v>
      </c>
      <c r="Z4" s="3">
        <f t="shared" si="0"/>
        <v>14496</v>
      </c>
      <c r="AA4" s="3">
        <f t="shared" si="0"/>
        <v>14496</v>
      </c>
      <c r="AB4" s="3">
        <f t="shared" si="0"/>
        <v>14496</v>
      </c>
      <c r="AC4" s="3">
        <f t="shared" si="0"/>
        <v>14496</v>
      </c>
      <c r="AE4" s="3"/>
    </row>
    <row r="5" spans="2:31" x14ac:dyDescent="0.3">
      <c r="B5" s="8" t="s">
        <v>55</v>
      </c>
      <c r="C5" s="3">
        <v>4757</v>
      </c>
      <c r="D5" s="3">
        <f t="shared" ref="D5:D12" si="1">E5</f>
        <v>4849</v>
      </c>
      <c r="E5" s="3">
        <v>4849</v>
      </c>
      <c r="F5" s="3">
        <v>5091</v>
      </c>
      <c r="G5" s="3">
        <f t="shared" ref="G5:G12" si="2">H5</f>
        <v>5848</v>
      </c>
      <c r="H5" s="3">
        <v>5848</v>
      </c>
      <c r="I5" s="3">
        <v>7168</v>
      </c>
      <c r="J5" s="3">
        <f t="shared" ref="J5:J12" si="3">K5</f>
        <v>6142</v>
      </c>
      <c r="K5" s="3">
        <v>6142</v>
      </c>
      <c r="L5" s="3">
        <v>8212</v>
      </c>
      <c r="M5" s="3">
        <f>M65</f>
        <v>8195.6813949999996</v>
      </c>
      <c r="N5" s="3">
        <f t="shared" ref="N5:AC5" si="4">N65</f>
        <v>8195.6813949999996</v>
      </c>
      <c r="O5" s="3">
        <f t="shared" si="4"/>
        <v>8407.7876388549994</v>
      </c>
      <c r="P5" s="3">
        <f t="shared" si="4"/>
        <v>8430.0216087733952</v>
      </c>
      <c r="Q5" s="3">
        <f t="shared" si="4"/>
        <v>8430.0216087733952</v>
      </c>
      <c r="R5" s="3">
        <f t="shared" si="4"/>
        <v>8683.4499963009512</v>
      </c>
      <c r="S5" s="3">
        <f t="shared" si="4"/>
        <v>8745.7532048646026</v>
      </c>
      <c r="T5" s="3">
        <f t="shared" si="4"/>
        <v>8745.7532048646044</v>
      </c>
      <c r="U5" s="3">
        <f t="shared" si="4"/>
        <v>9040.8810226053847</v>
      </c>
      <c r="V5" s="3">
        <f t="shared" si="4"/>
        <v>9145.2951720086348</v>
      </c>
      <c r="W5" s="3">
        <f t="shared" si="4"/>
        <v>9145.2951720086348</v>
      </c>
      <c r="X5" s="3">
        <f t="shared" si="4"/>
        <v>9482.7612390761242</v>
      </c>
      <c r="Y5" s="3">
        <f t="shared" si="4"/>
        <v>9631.880439062812</v>
      </c>
      <c r="Z5" s="3">
        <f t="shared" si="4"/>
        <v>9631.880439062812</v>
      </c>
      <c r="AA5" s="3">
        <f t="shared" si="4"/>
        <v>10012.576312781932</v>
      </c>
      <c r="AB5" s="3">
        <f t="shared" si="4"/>
        <v>10209.58070314018</v>
      </c>
      <c r="AC5" s="3">
        <f t="shared" si="4"/>
        <v>10209.58070314018</v>
      </c>
      <c r="AE5" s="3"/>
    </row>
    <row r="6" spans="2:31" x14ac:dyDescent="0.3">
      <c r="B6" s="8" t="s">
        <v>56</v>
      </c>
      <c r="C6" s="3">
        <v>63</v>
      </c>
      <c r="D6" s="3">
        <f t="shared" si="1"/>
        <v>66</v>
      </c>
      <c r="E6" s="3">
        <v>66</v>
      </c>
      <c r="F6" s="3">
        <v>75</v>
      </c>
      <c r="G6" s="3">
        <f t="shared" si="2"/>
        <v>94</v>
      </c>
      <c r="H6" s="3">
        <v>94</v>
      </c>
      <c r="I6" s="3">
        <v>143</v>
      </c>
      <c r="J6" s="3">
        <f t="shared" si="3"/>
        <v>156</v>
      </c>
      <c r="K6" s="3">
        <v>156</v>
      </c>
      <c r="L6" s="3">
        <v>194</v>
      </c>
      <c r="M6" s="3">
        <f t="shared" ref="M6:M12" si="5">L6</f>
        <v>194</v>
      </c>
      <c r="N6" s="3">
        <f t="shared" ref="N6:AC12" si="6">M6</f>
        <v>194</v>
      </c>
      <c r="O6" s="3">
        <f t="shared" si="6"/>
        <v>194</v>
      </c>
      <c r="P6" s="3">
        <f t="shared" si="6"/>
        <v>194</v>
      </c>
      <c r="Q6" s="3">
        <f t="shared" si="6"/>
        <v>194</v>
      </c>
      <c r="R6" s="3">
        <f t="shared" si="6"/>
        <v>194</v>
      </c>
      <c r="S6" s="3">
        <f t="shared" si="6"/>
        <v>194</v>
      </c>
      <c r="T6" s="3">
        <f t="shared" si="6"/>
        <v>194</v>
      </c>
      <c r="U6" s="3">
        <f t="shared" si="6"/>
        <v>194</v>
      </c>
      <c r="V6" s="3">
        <f t="shared" si="6"/>
        <v>194</v>
      </c>
      <c r="W6" s="3">
        <f t="shared" si="6"/>
        <v>194</v>
      </c>
      <c r="X6" s="3">
        <f t="shared" si="6"/>
        <v>194</v>
      </c>
      <c r="Y6" s="3">
        <f t="shared" si="6"/>
        <v>194</v>
      </c>
      <c r="Z6" s="3">
        <f t="shared" si="6"/>
        <v>194</v>
      </c>
      <c r="AA6" s="3">
        <f t="shared" si="6"/>
        <v>194</v>
      </c>
      <c r="AB6" s="3">
        <f t="shared" si="6"/>
        <v>194</v>
      </c>
      <c r="AC6" s="3">
        <f t="shared" si="6"/>
        <v>194</v>
      </c>
      <c r="AE6" s="3"/>
    </row>
    <row r="7" spans="2:31" x14ac:dyDescent="0.3">
      <c r="B7" s="8" t="s">
        <v>57</v>
      </c>
      <c r="C7" s="3">
        <v>3578</v>
      </c>
      <c r="D7" s="3">
        <f t="shared" si="1"/>
        <v>3308</v>
      </c>
      <c r="E7" s="3">
        <v>3308</v>
      </c>
      <c r="F7" s="3">
        <v>3473</v>
      </c>
      <c r="G7" s="3">
        <f t="shared" si="2"/>
        <v>3652</v>
      </c>
      <c r="H7" s="3">
        <v>3652</v>
      </c>
      <c r="I7" s="3">
        <v>4710</v>
      </c>
      <c r="J7" s="3">
        <f t="shared" si="3"/>
        <v>3829</v>
      </c>
      <c r="K7" s="3">
        <v>3829</v>
      </c>
      <c r="L7" s="3">
        <v>5229</v>
      </c>
      <c r="M7" s="3">
        <f t="shared" si="5"/>
        <v>5229</v>
      </c>
      <c r="N7" s="3">
        <f t="shared" si="6"/>
        <v>5229</v>
      </c>
      <c r="O7" s="3">
        <f t="shared" si="6"/>
        <v>5229</v>
      </c>
      <c r="P7" s="3">
        <f t="shared" si="6"/>
        <v>5229</v>
      </c>
      <c r="Q7" s="3">
        <f t="shared" si="6"/>
        <v>5229</v>
      </c>
      <c r="R7" s="3">
        <f t="shared" si="6"/>
        <v>5229</v>
      </c>
      <c r="S7" s="3">
        <f t="shared" si="6"/>
        <v>5229</v>
      </c>
      <c r="T7" s="3">
        <f t="shared" si="6"/>
        <v>5229</v>
      </c>
      <c r="U7" s="3">
        <f t="shared" si="6"/>
        <v>5229</v>
      </c>
      <c r="V7" s="3">
        <f t="shared" si="6"/>
        <v>5229</v>
      </c>
      <c r="W7" s="3">
        <f t="shared" si="6"/>
        <v>5229</v>
      </c>
      <c r="X7" s="3">
        <f t="shared" si="6"/>
        <v>5229</v>
      </c>
      <c r="Y7" s="3">
        <f t="shared" si="6"/>
        <v>5229</v>
      </c>
      <c r="Z7" s="3">
        <f t="shared" si="6"/>
        <v>5229</v>
      </c>
      <c r="AA7" s="3">
        <f t="shared" si="6"/>
        <v>5229</v>
      </c>
      <c r="AB7" s="3">
        <f t="shared" si="6"/>
        <v>5229</v>
      </c>
      <c r="AC7" s="3">
        <f t="shared" si="6"/>
        <v>5229</v>
      </c>
      <c r="AE7" s="3"/>
    </row>
    <row r="8" spans="2:31" x14ac:dyDescent="0.3">
      <c r="B8" s="8" t="s">
        <v>58</v>
      </c>
      <c r="C8" s="3">
        <v>36</v>
      </c>
      <c r="D8" s="3">
        <f t="shared" si="1"/>
        <v>40</v>
      </c>
      <c r="E8" s="3">
        <v>40</v>
      </c>
      <c r="F8" s="3">
        <v>50</v>
      </c>
      <c r="G8" s="3">
        <f t="shared" si="2"/>
        <v>37</v>
      </c>
      <c r="H8" s="3">
        <v>37</v>
      </c>
      <c r="I8" s="3">
        <v>50</v>
      </c>
      <c r="J8" s="3">
        <f t="shared" si="3"/>
        <v>57</v>
      </c>
      <c r="K8" s="3">
        <v>57</v>
      </c>
      <c r="L8" s="3">
        <v>96</v>
      </c>
      <c r="M8" s="3">
        <f t="shared" si="5"/>
        <v>96</v>
      </c>
      <c r="N8" s="3">
        <f t="shared" si="6"/>
        <v>96</v>
      </c>
      <c r="O8" s="3">
        <f t="shared" si="6"/>
        <v>96</v>
      </c>
      <c r="P8" s="3">
        <f t="shared" si="6"/>
        <v>96</v>
      </c>
      <c r="Q8" s="3">
        <f t="shared" si="6"/>
        <v>96</v>
      </c>
      <c r="R8" s="3">
        <f t="shared" si="6"/>
        <v>96</v>
      </c>
      <c r="S8" s="3">
        <f t="shared" si="6"/>
        <v>96</v>
      </c>
      <c r="T8" s="3">
        <f t="shared" si="6"/>
        <v>96</v>
      </c>
      <c r="U8" s="3">
        <f t="shared" si="6"/>
        <v>96</v>
      </c>
      <c r="V8" s="3">
        <f t="shared" si="6"/>
        <v>96</v>
      </c>
      <c r="W8" s="3">
        <f t="shared" si="6"/>
        <v>96</v>
      </c>
      <c r="X8" s="3">
        <f t="shared" si="6"/>
        <v>96</v>
      </c>
      <c r="Y8" s="3">
        <f t="shared" si="6"/>
        <v>96</v>
      </c>
      <c r="Z8" s="3">
        <f t="shared" si="6"/>
        <v>96</v>
      </c>
      <c r="AA8" s="3">
        <f t="shared" si="6"/>
        <v>96</v>
      </c>
      <c r="AB8" s="3">
        <f t="shared" si="6"/>
        <v>96</v>
      </c>
      <c r="AC8" s="3">
        <f t="shared" si="6"/>
        <v>96</v>
      </c>
      <c r="AE8" s="3"/>
    </row>
    <row r="9" spans="2:31" x14ac:dyDescent="0.3">
      <c r="B9" s="8" t="s">
        <v>59</v>
      </c>
      <c r="C9" s="3">
        <v>41</v>
      </c>
      <c r="D9" s="3">
        <f t="shared" si="1"/>
        <v>36</v>
      </c>
      <c r="E9" s="3">
        <v>36</v>
      </c>
      <c r="F9" s="3">
        <v>28</v>
      </c>
      <c r="G9" s="3">
        <f t="shared" si="2"/>
        <v>37</v>
      </c>
      <c r="H9" s="3">
        <v>37</v>
      </c>
      <c r="I9" s="3">
        <v>33</v>
      </c>
      <c r="J9" s="3">
        <f t="shared" si="3"/>
        <v>31</v>
      </c>
      <c r="K9" s="3">
        <v>31</v>
      </c>
      <c r="L9" s="3">
        <v>32</v>
      </c>
      <c r="M9" s="3">
        <f t="shared" si="5"/>
        <v>32</v>
      </c>
      <c r="N9" s="3">
        <f t="shared" si="6"/>
        <v>32</v>
      </c>
      <c r="O9" s="3">
        <f t="shared" si="6"/>
        <v>32</v>
      </c>
      <c r="P9" s="3">
        <f t="shared" si="6"/>
        <v>32</v>
      </c>
      <c r="Q9" s="3">
        <f t="shared" si="6"/>
        <v>32</v>
      </c>
      <c r="R9" s="3">
        <f t="shared" si="6"/>
        <v>32</v>
      </c>
      <c r="S9" s="3">
        <f t="shared" si="6"/>
        <v>32</v>
      </c>
      <c r="T9" s="3">
        <f t="shared" si="6"/>
        <v>32</v>
      </c>
      <c r="U9" s="3">
        <f t="shared" si="6"/>
        <v>32</v>
      </c>
      <c r="V9" s="3">
        <f t="shared" si="6"/>
        <v>32</v>
      </c>
      <c r="W9" s="3">
        <f t="shared" si="6"/>
        <v>32</v>
      </c>
      <c r="X9" s="3">
        <f t="shared" si="6"/>
        <v>32</v>
      </c>
      <c r="Y9" s="3">
        <f t="shared" si="6"/>
        <v>32</v>
      </c>
      <c r="Z9" s="3">
        <f t="shared" si="6"/>
        <v>32</v>
      </c>
      <c r="AA9" s="3">
        <f t="shared" si="6"/>
        <v>32</v>
      </c>
      <c r="AB9" s="3">
        <f t="shared" si="6"/>
        <v>32</v>
      </c>
      <c r="AC9" s="3">
        <f t="shared" si="6"/>
        <v>32</v>
      </c>
      <c r="AE9" s="3"/>
    </row>
    <row r="10" spans="2:31" x14ac:dyDescent="0.3">
      <c r="B10" s="8" t="s">
        <v>60</v>
      </c>
      <c r="C10" s="3">
        <v>410</v>
      </c>
      <c r="D10" s="3">
        <f t="shared" si="1"/>
        <v>327</v>
      </c>
      <c r="E10" s="3">
        <v>327</v>
      </c>
      <c r="F10" s="3">
        <v>319</v>
      </c>
      <c r="G10" s="3">
        <f t="shared" si="2"/>
        <v>345</v>
      </c>
      <c r="H10" s="3">
        <v>345</v>
      </c>
      <c r="I10" s="3">
        <v>479</v>
      </c>
      <c r="J10" s="3">
        <f t="shared" si="3"/>
        <v>394</v>
      </c>
      <c r="K10" s="3">
        <v>394</v>
      </c>
      <c r="L10" s="3">
        <v>430</v>
      </c>
      <c r="M10" s="3">
        <f t="shared" si="5"/>
        <v>430</v>
      </c>
      <c r="N10" s="3">
        <f t="shared" si="6"/>
        <v>430</v>
      </c>
      <c r="O10" s="3">
        <f t="shared" si="6"/>
        <v>430</v>
      </c>
      <c r="P10" s="3">
        <f t="shared" si="6"/>
        <v>430</v>
      </c>
      <c r="Q10" s="3">
        <f t="shared" si="6"/>
        <v>430</v>
      </c>
      <c r="R10" s="3">
        <f t="shared" si="6"/>
        <v>430</v>
      </c>
      <c r="S10" s="3">
        <f t="shared" si="6"/>
        <v>430</v>
      </c>
      <c r="T10" s="3">
        <f t="shared" si="6"/>
        <v>430</v>
      </c>
      <c r="U10" s="3">
        <f t="shared" si="6"/>
        <v>430</v>
      </c>
      <c r="V10" s="3">
        <f t="shared" si="6"/>
        <v>430</v>
      </c>
      <c r="W10" s="3">
        <f t="shared" si="6"/>
        <v>430</v>
      </c>
      <c r="X10" s="3">
        <f t="shared" si="6"/>
        <v>430</v>
      </c>
      <c r="Y10" s="3">
        <f t="shared" si="6"/>
        <v>430</v>
      </c>
      <c r="Z10" s="3">
        <f t="shared" si="6"/>
        <v>430</v>
      </c>
      <c r="AA10" s="3">
        <f t="shared" si="6"/>
        <v>430</v>
      </c>
      <c r="AB10" s="3">
        <f t="shared" si="6"/>
        <v>430</v>
      </c>
      <c r="AC10" s="3">
        <f t="shared" si="6"/>
        <v>430</v>
      </c>
      <c r="AE10" s="3"/>
    </row>
    <row r="11" spans="2:31" x14ac:dyDescent="0.3">
      <c r="B11" s="8" t="s">
        <v>61</v>
      </c>
      <c r="C11" s="3">
        <v>114</v>
      </c>
      <c r="D11" s="3">
        <f t="shared" si="1"/>
        <v>100</v>
      </c>
      <c r="E11" s="3">
        <v>100</v>
      </c>
      <c r="F11" s="3">
        <v>83</v>
      </c>
      <c r="G11" s="3">
        <f t="shared" si="2"/>
        <v>114</v>
      </c>
      <c r="H11" s="3">
        <v>114</v>
      </c>
      <c r="I11" s="3">
        <v>127</v>
      </c>
      <c r="J11" s="3">
        <f t="shared" si="3"/>
        <v>141</v>
      </c>
      <c r="K11" s="3">
        <v>141</v>
      </c>
      <c r="L11" s="3">
        <v>171</v>
      </c>
      <c r="M11" s="3">
        <f t="shared" si="5"/>
        <v>171</v>
      </c>
      <c r="N11" s="3">
        <f t="shared" si="6"/>
        <v>171</v>
      </c>
      <c r="O11" s="3">
        <f t="shared" si="6"/>
        <v>171</v>
      </c>
      <c r="P11" s="3">
        <f t="shared" si="6"/>
        <v>171</v>
      </c>
      <c r="Q11" s="3">
        <f t="shared" si="6"/>
        <v>171</v>
      </c>
      <c r="R11" s="3">
        <f t="shared" si="6"/>
        <v>171</v>
      </c>
      <c r="S11" s="3">
        <f t="shared" si="6"/>
        <v>171</v>
      </c>
      <c r="T11" s="3">
        <f t="shared" si="6"/>
        <v>171</v>
      </c>
      <c r="U11" s="3">
        <f t="shared" si="6"/>
        <v>171</v>
      </c>
      <c r="V11" s="3">
        <f t="shared" si="6"/>
        <v>171</v>
      </c>
      <c r="W11" s="3">
        <f t="shared" si="6"/>
        <v>171</v>
      </c>
      <c r="X11" s="3">
        <f t="shared" si="6"/>
        <v>171</v>
      </c>
      <c r="Y11" s="3">
        <f t="shared" si="6"/>
        <v>171</v>
      </c>
      <c r="Z11" s="3">
        <f t="shared" si="6"/>
        <v>171</v>
      </c>
      <c r="AA11" s="3">
        <f t="shared" si="6"/>
        <v>171</v>
      </c>
      <c r="AB11" s="3">
        <f t="shared" si="6"/>
        <v>171</v>
      </c>
      <c r="AC11" s="3">
        <f t="shared" si="6"/>
        <v>171</v>
      </c>
      <c r="AE11" s="3"/>
    </row>
    <row r="12" spans="2:31" x14ac:dyDescent="0.3">
      <c r="B12" s="8" t="s">
        <v>62</v>
      </c>
      <c r="C12" s="3">
        <v>1083</v>
      </c>
      <c r="D12" s="3">
        <f t="shared" si="1"/>
        <v>1018</v>
      </c>
      <c r="E12" s="3">
        <v>1018</v>
      </c>
      <c r="F12" s="3">
        <v>1544</v>
      </c>
      <c r="G12" s="3">
        <f t="shared" si="2"/>
        <v>1553</v>
      </c>
      <c r="H12" s="3">
        <v>1553</v>
      </c>
      <c r="I12" s="3">
        <v>1272</v>
      </c>
      <c r="J12" s="3">
        <f t="shared" si="3"/>
        <v>960</v>
      </c>
      <c r="K12" s="3">
        <v>960</v>
      </c>
      <c r="L12" s="3">
        <v>1118</v>
      </c>
      <c r="M12" s="3">
        <f t="shared" si="5"/>
        <v>1118</v>
      </c>
      <c r="N12" s="3">
        <f t="shared" si="6"/>
        <v>1118</v>
      </c>
      <c r="O12" s="3">
        <f t="shared" si="6"/>
        <v>1118</v>
      </c>
      <c r="P12" s="3">
        <f t="shared" si="6"/>
        <v>1118</v>
      </c>
      <c r="Q12" s="3">
        <f t="shared" si="6"/>
        <v>1118</v>
      </c>
      <c r="R12" s="3">
        <f t="shared" si="6"/>
        <v>1118</v>
      </c>
      <c r="S12" s="3">
        <f t="shared" si="6"/>
        <v>1118</v>
      </c>
      <c r="T12" s="3">
        <f t="shared" si="6"/>
        <v>1118</v>
      </c>
      <c r="U12" s="3">
        <f t="shared" si="6"/>
        <v>1118</v>
      </c>
      <c r="V12" s="3">
        <f t="shared" si="6"/>
        <v>1118</v>
      </c>
      <c r="W12" s="3">
        <f t="shared" si="6"/>
        <v>1118</v>
      </c>
      <c r="X12" s="3">
        <f t="shared" si="6"/>
        <v>1118</v>
      </c>
      <c r="Y12" s="3">
        <f t="shared" si="6"/>
        <v>1118</v>
      </c>
      <c r="Z12" s="3">
        <f t="shared" si="6"/>
        <v>1118</v>
      </c>
      <c r="AA12" s="3">
        <f t="shared" si="6"/>
        <v>1118</v>
      </c>
      <c r="AB12" s="3">
        <f t="shared" si="6"/>
        <v>1118</v>
      </c>
      <c r="AC12" s="3">
        <f t="shared" si="6"/>
        <v>1118</v>
      </c>
      <c r="AE12" s="3"/>
    </row>
    <row r="13" spans="2:31" x14ac:dyDescent="0.3">
      <c r="B13" s="1" t="s">
        <v>63</v>
      </c>
      <c r="C13" s="4">
        <f>SUM(C4:C12)</f>
        <v>20959</v>
      </c>
      <c r="D13" s="4">
        <f t="shared" ref="D13" si="7">SUM(D4:D12)</f>
        <v>20508</v>
      </c>
      <c r="E13" s="4">
        <f t="shared" ref="E13" si="8">SUM(E4:E12)</f>
        <v>20508</v>
      </c>
      <c r="F13" s="4">
        <f>SUM(F4:F12)</f>
        <v>21584</v>
      </c>
      <c r="G13" s="4">
        <f t="shared" ref="G13" si="9">SUM(G4:G12)</f>
        <v>23582</v>
      </c>
      <c r="H13" s="4">
        <f t="shared" ref="H13" si="10">SUM(H4:H12)</f>
        <v>23582</v>
      </c>
      <c r="I13" s="4">
        <f>SUM(I4:I12)</f>
        <v>28538</v>
      </c>
      <c r="J13" s="4">
        <f t="shared" ref="J13:U13" si="11">SUM(J4:J12)</f>
        <v>23222</v>
      </c>
      <c r="K13" s="4">
        <f t="shared" si="11"/>
        <v>23222</v>
      </c>
      <c r="L13" s="4">
        <f t="shared" si="11"/>
        <v>29978</v>
      </c>
      <c r="M13" s="4">
        <f t="shared" si="11"/>
        <v>29961.681395</v>
      </c>
      <c r="N13" s="4">
        <f t="shared" si="11"/>
        <v>29961.681395</v>
      </c>
      <c r="O13" s="4">
        <f t="shared" si="11"/>
        <v>30173.787638854999</v>
      </c>
      <c r="P13" s="4">
        <f t="shared" si="11"/>
        <v>30196.021608773393</v>
      </c>
      <c r="Q13" s="4">
        <f t="shared" si="11"/>
        <v>30196.021608773393</v>
      </c>
      <c r="R13" s="4">
        <f t="shared" si="11"/>
        <v>30449.449996300951</v>
      </c>
      <c r="S13" s="4">
        <f t="shared" si="11"/>
        <v>30511.753204864603</v>
      </c>
      <c r="T13" s="4">
        <f t="shared" ref="T13" si="12">SUM(T4:T12)</f>
        <v>30511.753204864603</v>
      </c>
      <c r="U13" s="4">
        <f t="shared" si="11"/>
        <v>30806.881022605383</v>
      </c>
      <c r="V13" s="4">
        <f t="shared" ref="V13" si="13">SUM(V4:V12)</f>
        <v>30911.295172008635</v>
      </c>
      <c r="W13" s="4">
        <f t="shared" ref="W13:X13" si="14">SUM(W4:W12)</f>
        <v>30911.295172008635</v>
      </c>
      <c r="X13" s="4">
        <f t="shared" si="14"/>
        <v>31248.761239076124</v>
      </c>
      <c r="Y13" s="4">
        <f t="shared" ref="Y13" si="15">SUM(Y4:Y12)</f>
        <v>31397.880439062814</v>
      </c>
      <c r="Z13" s="4">
        <f t="shared" ref="Z13:AA13" si="16">SUM(Z4:Z12)</f>
        <v>31397.880439062814</v>
      </c>
      <c r="AA13" s="4">
        <f t="shared" si="16"/>
        <v>31778.57631278193</v>
      </c>
      <c r="AB13" s="4">
        <f t="shared" ref="AB13" si="17">SUM(AB4:AB12)</f>
        <v>31975.580703140178</v>
      </c>
      <c r="AC13" s="4">
        <f t="shared" ref="AC13" si="18">SUM(AC4:AC12)</f>
        <v>31975.580703140178</v>
      </c>
    </row>
    <row r="14" spans="2:31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2:31" x14ac:dyDescent="0.3">
      <c r="B15" s="1" t="s">
        <v>64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2:31" x14ac:dyDescent="0.3">
      <c r="B16" s="8" t="s">
        <v>65</v>
      </c>
      <c r="C16" s="3">
        <v>5750</v>
      </c>
      <c r="D16" s="3">
        <f t="shared" ref="D16:D21" si="19">E16</f>
        <v>6045</v>
      </c>
      <c r="E16" s="3">
        <v>6045</v>
      </c>
      <c r="F16" s="3">
        <v>6235</v>
      </c>
      <c r="G16" s="3">
        <f t="shared" ref="G16:G21" si="20">H16</f>
        <v>7094</v>
      </c>
      <c r="H16" s="3">
        <v>7094</v>
      </c>
      <c r="I16" s="3">
        <v>9062</v>
      </c>
      <c r="J16" s="3">
        <f t="shared" ref="J16:J21" si="21">K16</f>
        <v>7661</v>
      </c>
      <c r="K16" s="3">
        <v>7661</v>
      </c>
      <c r="L16" s="3">
        <v>9840</v>
      </c>
      <c r="M16" s="3">
        <f>M70</f>
        <v>10140.008196721314</v>
      </c>
      <c r="N16" s="3">
        <f t="shared" ref="N16:AC16" si="22">N70</f>
        <v>10140.008196721314</v>
      </c>
      <c r="O16" s="3">
        <f t="shared" si="22"/>
        <v>11399.849999999999</v>
      </c>
      <c r="P16" s="3">
        <f t="shared" si="22"/>
        <v>9780.0722945205471</v>
      </c>
      <c r="Q16" s="3">
        <f t="shared" si="22"/>
        <v>9780.0722945205471</v>
      </c>
      <c r="R16" s="3">
        <f t="shared" si="22"/>
        <v>12363.70231849315</v>
      </c>
      <c r="S16" s="3">
        <f t="shared" si="22"/>
        <v>10751.654866438357</v>
      </c>
      <c r="T16" s="3">
        <f t="shared" si="22"/>
        <v>10751.654866438357</v>
      </c>
      <c r="U16" s="3">
        <f t="shared" si="22"/>
        <v>13409.48208405822</v>
      </c>
      <c r="V16" s="3">
        <f t="shared" si="22"/>
        <v>11820.395695547946</v>
      </c>
      <c r="W16" s="3">
        <f t="shared" si="22"/>
        <v>11820.395695547946</v>
      </c>
      <c r="X16" s="3">
        <f t="shared" si="22"/>
        <v>14504.415006391137</v>
      </c>
      <c r="Y16" s="3">
        <f t="shared" si="22"/>
        <v>12960.502381864755</v>
      </c>
      <c r="Z16" s="3">
        <f t="shared" si="22"/>
        <v>12960.502381864755</v>
      </c>
      <c r="AA16" s="3">
        <f t="shared" si="22"/>
        <v>15775.271214213655</v>
      </c>
      <c r="AB16" s="3">
        <f t="shared" si="22"/>
        <v>14289.187010791095</v>
      </c>
      <c r="AC16" s="3">
        <f t="shared" si="22"/>
        <v>14289.187010791095</v>
      </c>
      <c r="AE16" s="3"/>
    </row>
    <row r="17" spans="2:31" x14ac:dyDescent="0.3">
      <c r="B17" s="8" t="s">
        <v>66</v>
      </c>
      <c r="C17" s="3">
        <v>3075</v>
      </c>
      <c r="D17" s="3">
        <f t="shared" si="19"/>
        <v>2385</v>
      </c>
      <c r="E17" s="3">
        <v>2385</v>
      </c>
      <c r="F17" s="3">
        <v>3328</v>
      </c>
      <c r="G17" s="3">
        <f t="shared" si="20"/>
        <v>2933</v>
      </c>
      <c r="H17" s="3">
        <v>2933</v>
      </c>
      <c r="I17" s="3">
        <v>4648</v>
      </c>
      <c r="J17" s="3">
        <f t="shared" si="21"/>
        <v>2720</v>
      </c>
      <c r="K17" s="3">
        <v>2720</v>
      </c>
      <c r="L17" s="3">
        <v>4580</v>
      </c>
      <c r="M17" s="3">
        <f>M71</f>
        <v>3876.457977558839</v>
      </c>
      <c r="N17" s="3">
        <f t="shared" ref="N17:AC17" si="23">N71</f>
        <v>3876.457977558839</v>
      </c>
      <c r="O17" s="3">
        <f t="shared" si="23"/>
        <v>4950.7920000000004</v>
      </c>
      <c r="P17" s="3">
        <f t="shared" si="23"/>
        <v>4247.3456821917807</v>
      </c>
      <c r="Q17" s="3">
        <f t="shared" si="23"/>
        <v>4247.3456821917807</v>
      </c>
      <c r="R17" s="3">
        <f t="shared" si="23"/>
        <v>5369.37929260274</v>
      </c>
      <c r="S17" s="3">
        <f t="shared" si="23"/>
        <v>4669.2901134246576</v>
      </c>
      <c r="T17" s="3">
        <f t="shared" si="23"/>
        <v>4669.2901134246576</v>
      </c>
      <c r="U17" s="3">
        <f t="shared" si="23"/>
        <v>5823.5465050767125</v>
      </c>
      <c r="V17" s="3">
        <f t="shared" si="23"/>
        <v>5133.4289877808224</v>
      </c>
      <c r="W17" s="3">
        <f t="shared" si="23"/>
        <v>5133.4289877808224</v>
      </c>
      <c r="X17" s="3">
        <f t="shared" si="23"/>
        <v>6299.0602313470081</v>
      </c>
      <c r="Y17" s="3">
        <f t="shared" si="23"/>
        <v>5628.5610344098359</v>
      </c>
      <c r="Z17" s="3">
        <f t="shared" si="23"/>
        <v>5628.5610344098359</v>
      </c>
      <c r="AA17" s="3">
        <f t="shared" si="23"/>
        <v>6850.9749273156458</v>
      </c>
      <c r="AB17" s="3">
        <f t="shared" si="23"/>
        <v>6205.5897875435621</v>
      </c>
      <c r="AC17" s="3">
        <f t="shared" si="23"/>
        <v>6205.5897875435621</v>
      </c>
      <c r="AE17" s="3"/>
    </row>
    <row r="18" spans="2:31" x14ac:dyDescent="0.3">
      <c r="B18" s="8" t="s">
        <v>67</v>
      </c>
      <c r="C18" s="3">
        <v>0</v>
      </c>
      <c r="D18" s="3">
        <f t="shared" si="19"/>
        <v>0</v>
      </c>
      <c r="E18" s="3">
        <v>0</v>
      </c>
      <c r="F18" s="3">
        <v>16</v>
      </c>
      <c r="G18" s="3">
        <f t="shared" si="20"/>
        <v>222</v>
      </c>
      <c r="H18" s="3">
        <v>222</v>
      </c>
      <c r="I18" s="3">
        <v>220</v>
      </c>
      <c r="J18" s="3">
        <f t="shared" si="21"/>
        <v>0</v>
      </c>
      <c r="K18" s="3">
        <v>0</v>
      </c>
      <c r="L18" s="3">
        <v>0</v>
      </c>
      <c r="M18" s="3">
        <f>L18</f>
        <v>0</v>
      </c>
      <c r="N18" s="3">
        <f t="shared" ref="N18:AC18" si="24">M18</f>
        <v>0</v>
      </c>
      <c r="O18" s="3">
        <f t="shared" si="24"/>
        <v>0</v>
      </c>
      <c r="P18" s="3">
        <f t="shared" si="24"/>
        <v>0</v>
      </c>
      <c r="Q18" s="3">
        <f t="shared" si="24"/>
        <v>0</v>
      </c>
      <c r="R18" s="3">
        <f t="shared" si="24"/>
        <v>0</v>
      </c>
      <c r="S18" s="3">
        <f t="shared" si="24"/>
        <v>0</v>
      </c>
      <c r="T18" s="3">
        <f t="shared" si="24"/>
        <v>0</v>
      </c>
      <c r="U18" s="3">
        <f t="shared" si="24"/>
        <v>0</v>
      </c>
      <c r="V18" s="3">
        <f t="shared" si="24"/>
        <v>0</v>
      </c>
      <c r="W18" s="3">
        <f t="shared" si="24"/>
        <v>0</v>
      </c>
      <c r="X18" s="3">
        <f t="shared" si="24"/>
        <v>0</v>
      </c>
      <c r="Y18" s="3">
        <f t="shared" si="24"/>
        <v>0</v>
      </c>
      <c r="Z18" s="3">
        <f t="shared" si="24"/>
        <v>0</v>
      </c>
      <c r="AA18" s="3">
        <f t="shared" si="24"/>
        <v>0</v>
      </c>
      <c r="AB18" s="3">
        <f t="shared" si="24"/>
        <v>0</v>
      </c>
      <c r="AC18" s="3">
        <f t="shared" si="24"/>
        <v>0</v>
      </c>
      <c r="AE18" s="3"/>
    </row>
    <row r="19" spans="2:31" x14ac:dyDescent="0.3">
      <c r="B19" s="8" t="s">
        <v>68</v>
      </c>
      <c r="C19" s="3">
        <v>173</v>
      </c>
      <c r="D19" s="3">
        <f t="shared" si="19"/>
        <v>145</v>
      </c>
      <c r="E19" s="3">
        <v>145</v>
      </c>
      <c r="F19" s="3">
        <v>151</v>
      </c>
      <c r="G19" s="3">
        <f t="shared" si="20"/>
        <v>149</v>
      </c>
      <c r="H19" s="3">
        <v>149</v>
      </c>
      <c r="I19" s="3">
        <v>199</v>
      </c>
      <c r="J19" s="3">
        <f t="shared" si="21"/>
        <v>232</v>
      </c>
      <c r="K19" s="3">
        <v>232</v>
      </c>
      <c r="L19" s="3">
        <v>274</v>
      </c>
      <c r="M19" s="3">
        <f>L19</f>
        <v>274</v>
      </c>
      <c r="N19" s="3">
        <f t="shared" ref="N19:AC19" si="25">M19</f>
        <v>274</v>
      </c>
      <c r="O19" s="3">
        <f t="shared" si="25"/>
        <v>274</v>
      </c>
      <c r="P19" s="3">
        <f t="shared" si="25"/>
        <v>274</v>
      </c>
      <c r="Q19" s="3">
        <f t="shared" si="25"/>
        <v>274</v>
      </c>
      <c r="R19" s="3">
        <f t="shared" si="25"/>
        <v>274</v>
      </c>
      <c r="S19" s="3">
        <f t="shared" si="25"/>
        <v>274</v>
      </c>
      <c r="T19" s="3">
        <f t="shared" si="25"/>
        <v>274</v>
      </c>
      <c r="U19" s="3">
        <f t="shared" si="25"/>
        <v>274</v>
      </c>
      <c r="V19" s="3">
        <f t="shared" si="25"/>
        <v>274</v>
      </c>
      <c r="W19" s="3">
        <f t="shared" si="25"/>
        <v>274</v>
      </c>
      <c r="X19" s="3">
        <f t="shared" si="25"/>
        <v>274</v>
      </c>
      <c r="Y19" s="3">
        <f t="shared" si="25"/>
        <v>274</v>
      </c>
      <c r="Z19" s="3">
        <f t="shared" si="25"/>
        <v>274</v>
      </c>
      <c r="AA19" s="3">
        <f t="shared" si="25"/>
        <v>274</v>
      </c>
      <c r="AB19" s="3">
        <f t="shared" si="25"/>
        <v>274</v>
      </c>
      <c r="AC19" s="3">
        <f t="shared" si="25"/>
        <v>274</v>
      </c>
      <c r="AE19" s="3"/>
    </row>
    <row r="20" spans="2:31" x14ac:dyDescent="0.3">
      <c r="B20" s="8" t="s">
        <v>69</v>
      </c>
      <c r="C20" s="3">
        <v>84</v>
      </c>
      <c r="D20" s="3">
        <f t="shared" si="19"/>
        <v>121</v>
      </c>
      <c r="E20" s="3">
        <v>121</v>
      </c>
      <c r="F20" s="3">
        <v>66</v>
      </c>
      <c r="G20" s="3">
        <f t="shared" si="20"/>
        <v>251</v>
      </c>
      <c r="H20" s="3">
        <v>251</v>
      </c>
      <c r="I20" s="3">
        <v>479</v>
      </c>
      <c r="J20" s="3">
        <f t="shared" si="21"/>
        <v>347</v>
      </c>
      <c r="K20" s="3">
        <v>347</v>
      </c>
      <c r="L20" s="3">
        <v>564</v>
      </c>
      <c r="M20" s="3">
        <f>L20</f>
        <v>564</v>
      </c>
      <c r="N20" s="3">
        <f t="shared" ref="N20:AC20" si="26">M20</f>
        <v>564</v>
      </c>
      <c r="O20" s="3">
        <f t="shared" si="26"/>
        <v>564</v>
      </c>
      <c r="P20" s="3">
        <f t="shared" si="26"/>
        <v>564</v>
      </c>
      <c r="Q20" s="3">
        <f t="shared" si="26"/>
        <v>564</v>
      </c>
      <c r="R20" s="3">
        <f t="shared" si="26"/>
        <v>564</v>
      </c>
      <c r="S20" s="3">
        <f t="shared" si="26"/>
        <v>564</v>
      </c>
      <c r="T20" s="3">
        <f t="shared" si="26"/>
        <v>564</v>
      </c>
      <c r="U20" s="3">
        <f t="shared" si="26"/>
        <v>564</v>
      </c>
      <c r="V20" s="3">
        <f t="shared" si="26"/>
        <v>564</v>
      </c>
      <c r="W20" s="3">
        <f t="shared" si="26"/>
        <v>564</v>
      </c>
      <c r="X20" s="3">
        <f t="shared" si="26"/>
        <v>564</v>
      </c>
      <c r="Y20" s="3">
        <f t="shared" si="26"/>
        <v>564</v>
      </c>
      <c r="Z20" s="3">
        <f t="shared" si="26"/>
        <v>564</v>
      </c>
      <c r="AA20" s="3">
        <f t="shared" si="26"/>
        <v>564</v>
      </c>
      <c r="AB20" s="3">
        <f t="shared" si="26"/>
        <v>564</v>
      </c>
      <c r="AC20" s="3">
        <f t="shared" si="26"/>
        <v>564</v>
      </c>
      <c r="AE20" s="3"/>
    </row>
    <row r="21" spans="2:31" x14ac:dyDescent="0.3">
      <c r="B21" s="8" t="s">
        <v>70</v>
      </c>
      <c r="C21" s="3">
        <v>2763</v>
      </c>
      <c r="D21" s="3">
        <f t="shared" si="19"/>
        <v>2749</v>
      </c>
      <c r="E21" s="3">
        <v>2749</v>
      </c>
      <c r="F21" s="3">
        <v>1780</v>
      </c>
      <c r="G21" s="3">
        <f t="shared" si="20"/>
        <v>2285</v>
      </c>
      <c r="H21" s="3">
        <v>2285</v>
      </c>
      <c r="I21" s="3">
        <v>3319</v>
      </c>
      <c r="J21" s="3">
        <f t="shared" si="21"/>
        <v>1439</v>
      </c>
      <c r="K21" s="3">
        <v>1439</v>
      </c>
      <c r="L21" s="3">
        <v>1529</v>
      </c>
      <c r="M21" s="3">
        <f>'Cash Flow'!M49</f>
        <v>3931.6129240544392</v>
      </c>
      <c r="N21" s="3">
        <f>'Cash Flow'!N49</f>
        <v>3931.6129240544392</v>
      </c>
      <c r="O21" s="3">
        <f>'Cash Flow'!O49</f>
        <v>6106.2202751450013</v>
      </c>
      <c r="P21" s="3">
        <f>'Cash Flow'!P49</f>
        <v>9920.6100046622232</v>
      </c>
      <c r="Q21" s="3">
        <f>'Cash Flow'!Q49</f>
        <v>9920.6100046622214</v>
      </c>
      <c r="R21" s="3">
        <f>'Cash Flow'!R49</f>
        <v>11821.890502123842</v>
      </c>
      <c r="S21" s="3">
        <f>'Cash Flow'!S49</f>
        <v>15887.014587588546</v>
      </c>
      <c r="T21" s="3">
        <f>'Cash Flow'!T49</f>
        <v>15887.014587588546</v>
      </c>
      <c r="U21" s="3">
        <f>'Cash Flow'!U49</f>
        <v>18028.777214309313</v>
      </c>
      <c r="V21" s="3">
        <f>'Cash Flow'!V49</f>
        <v>22368.414657363806</v>
      </c>
      <c r="W21" s="3">
        <f>'Cash Flow'!W49</f>
        <v>22368.414657363806</v>
      </c>
      <c r="X21" s="3">
        <f>'Cash Flow'!X49</f>
        <v>24820.408281414901</v>
      </c>
      <c r="Y21" s="3">
        <f>'Cash Flow'!Y49</f>
        <v>29456.416629593994</v>
      </c>
      <c r="Z21" s="3">
        <f>'Cash Flow'!Z49</f>
        <v>29456.416629593994</v>
      </c>
      <c r="AA21" s="3">
        <f>'Cash Flow'!AA49</f>
        <v>32168.134637470946</v>
      </c>
      <c r="AB21" s="3">
        <f>'Cash Flow'!AB49</f>
        <v>37134.18117551582</v>
      </c>
      <c r="AC21" s="3">
        <f>'Cash Flow'!AC49</f>
        <v>37134.18117551582</v>
      </c>
      <c r="AE21" s="3"/>
    </row>
    <row r="22" spans="2:31" x14ac:dyDescent="0.3">
      <c r="B22" s="1" t="s">
        <v>71</v>
      </c>
      <c r="C22" s="4">
        <f t="shared" ref="C22:F22" si="27">SUM(C16:C21)</f>
        <v>11845</v>
      </c>
      <c r="D22" s="4">
        <f t="shared" ref="D22" si="28">SUM(D16:D21)</f>
        <v>11445</v>
      </c>
      <c r="E22" s="4">
        <f t="shared" ref="E22" si="29">SUM(E16:E21)</f>
        <v>11445</v>
      </c>
      <c r="F22" s="4">
        <f t="shared" si="27"/>
        <v>11576</v>
      </c>
      <c r="G22" s="4">
        <f t="shared" ref="G22" si="30">SUM(G16:G21)</f>
        <v>12934</v>
      </c>
      <c r="H22" s="4">
        <f t="shared" ref="H22" si="31">SUM(H16:H21)</f>
        <v>12934</v>
      </c>
      <c r="I22" s="4">
        <f>SUM(I16:I21)</f>
        <v>17927</v>
      </c>
      <c r="J22" s="4">
        <f t="shared" ref="J22:U22" si="32">SUM(J16:J21)</f>
        <v>12399</v>
      </c>
      <c r="K22" s="4">
        <f t="shared" si="32"/>
        <v>12399</v>
      </c>
      <c r="L22" s="4">
        <f t="shared" si="32"/>
        <v>16787</v>
      </c>
      <c r="M22" s="4">
        <f t="shared" si="32"/>
        <v>18786.079098334591</v>
      </c>
      <c r="N22" s="4">
        <f t="shared" si="32"/>
        <v>18786.079098334591</v>
      </c>
      <c r="O22" s="4">
        <f t="shared" si="32"/>
        <v>23294.862275145002</v>
      </c>
      <c r="P22" s="4">
        <f t="shared" si="32"/>
        <v>24786.027981374551</v>
      </c>
      <c r="Q22" s="4">
        <f t="shared" si="32"/>
        <v>24786.027981374551</v>
      </c>
      <c r="R22" s="4">
        <f t="shared" si="32"/>
        <v>30392.972113219734</v>
      </c>
      <c r="S22" s="4">
        <f t="shared" si="32"/>
        <v>32145.959567451562</v>
      </c>
      <c r="T22" s="4">
        <f t="shared" ref="T22" si="33">SUM(T16:T21)</f>
        <v>32145.959567451562</v>
      </c>
      <c r="U22" s="4">
        <f t="shared" si="32"/>
        <v>38099.805803444251</v>
      </c>
      <c r="V22" s="4">
        <f t="shared" ref="V22" si="34">SUM(V16:V21)</f>
        <v>40160.239340692577</v>
      </c>
      <c r="W22" s="4">
        <f t="shared" ref="W22:X22" si="35">SUM(W16:W21)</f>
        <v>40160.239340692577</v>
      </c>
      <c r="X22" s="4">
        <f t="shared" si="35"/>
        <v>46461.883519153045</v>
      </c>
      <c r="Y22" s="4">
        <f t="shared" ref="Y22" si="36">SUM(Y16:Y21)</f>
        <v>48883.480045868586</v>
      </c>
      <c r="Z22" s="4">
        <f t="shared" ref="Z22:AA22" si="37">SUM(Z16:Z21)</f>
        <v>48883.480045868586</v>
      </c>
      <c r="AA22" s="4">
        <f t="shared" si="37"/>
        <v>55632.380779000247</v>
      </c>
      <c r="AB22" s="4">
        <f t="shared" ref="AB22" si="38">SUM(AB16:AB21)</f>
        <v>58466.957973850476</v>
      </c>
      <c r="AC22" s="4">
        <f t="shared" ref="AC22" si="39">SUM(AC16:AC21)</f>
        <v>58466.957973850476</v>
      </c>
    </row>
    <row r="23" spans="2:31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2:31" x14ac:dyDescent="0.3">
      <c r="B24" s="9" t="s">
        <v>72</v>
      </c>
      <c r="C24" s="4">
        <f>C13+C22</f>
        <v>32804</v>
      </c>
      <c r="D24" s="4">
        <f t="shared" ref="D24:E24" si="40">D13+D22</f>
        <v>31953</v>
      </c>
      <c r="E24" s="4">
        <f t="shared" si="40"/>
        <v>31953</v>
      </c>
      <c r="F24" s="4">
        <f>F13+F22</f>
        <v>33160</v>
      </c>
      <c r="G24" s="4">
        <f t="shared" ref="G24:N24" si="41">G13+G22</f>
        <v>36516</v>
      </c>
      <c r="H24" s="4">
        <f t="shared" si="41"/>
        <v>36516</v>
      </c>
      <c r="I24" s="4">
        <f t="shared" si="41"/>
        <v>46465</v>
      </c>
      <c r="J24" s="4">
        <f t="shared" si="41"/>
        <v>35621</v>
      </c>
      <c r="K24" s="4">
        <f t="shared" si="41"/>
        <v>35621</v>
      </c>
      <c r="L24" s="4">
        <f t="shared" si="41"/>
        <v>46765</v>
      </c>
      <c r="M24" s="4">
        <f t="shared" ref="M24" si="42">M13+M22</f>
        <v>48747.760493334586</v>
      </c>
      <c r="N24" s="4">
        <f t="shared" si="41"/>
        <v>48747.760493334586</v>
      </c>
      <c r="O24" s="4">
        <f t="shared" ref="O24:P24" si="43">O13+O22</f>
        <v>53468.649914000001</v>
      </c>
      <c r="P24" s="4">
        <f t="shared" si="43"/>
        <v>54982.049590147944</v>
      </c>
      <c r="Q24" s="4">
        <f t="shared" ref="Q24:S24" si="44">Q13+Q22</f>
        <v>54982.049590147944</v>
      </c>
      <c r="R24" s="4">
        <f t="shared" si="44"/>
        <v>60842.422109520689</v>
      </c>
      <c r="S24" s="4">
        <f t="shared" si="44"/>
        <v>62657.712772316168</v>
      </c>
      <c r="T24" s="4">
        <f t="shared" ref="T24:AC24" si="45">T13+T22</f>
        <v>62657.712772316168</v>
      </c>
      <c r="U24" s="4">
        <f t="shared" si="45"/>
        <v>68906.686826049641</v>
      </c>
      <c r="V24" s="4">
        <f t="shared" si="45"/>
        <v>71071.534512701211</v>
      </c>
      <c r="W24" s="4">
        <f t="shared" si="45"/>
        <v>71071.534512701211</v>
      </c>
      <c r="X24" s="4">
        <f t="shared" si="45"/>
        <v>77710.644758229173</v>
      </c>
      <c r="Y24" s="4">
        <f t="shared" si="45"/>
        <v>80281.3604849314</v>
      </c>
      <c r="Z24" s="4">
        <f t="shared" si="45"/>
        <v>80281.3604849314</v>
      </c>
      <c r="AA24" s="4">
        <f t="shared" si="45"/>
        <v>87410.957091782184</v>
      </c>
      <c r="AB24" s="4">
        <f t="shared" si="45"/>
        <v>90442.538676990662</v>
      </c>
      <c r="AC24" s="4">
        <f t="shared" si="45"/>
        <v>90442.538676990662</v>
      </c>
    </row>
    <row r="25" spans="2:31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2:31" x14ac:dyDescent="0.3">
      <c r="B26" s="1" t="s">
        <v>73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2:31" x14ac:dyDescent="0.3">
      <c r="B27" s="8" t="s">
        <v>74</v>
      </c>
      <c r="C27" s="3">
        <v>1214</v>
      </c>
      <c r="D27" s="3">
        <f t="shared" ref="D27:D33" si="46">E27</f>
        <v>1862</v>
      </c>
      <c r="E27" s="3">
        <v>1862</v>
      </c>
      <c r="F27" s="3">
        <v>1184</v>
      </c>
      <c r="G27" s="3">
        <f t="shared" ref="G27:G33" si="47">H27</f>
        <v>1522</v>
      </c>
      <c r="H27" s="3">
        <v>1522</v>
      </c>
      <c r="I27" s="3">
        <v>2767</v>
      </c>
      <c r="J27" s="3">
        <f t="shared" ref="J27:J33" si="48">K27</f>
        <v>1701</v>
      </c>
      <c r="K27" s="3">
        <v>1701</v>
      </c>
      <c r="L27" s="3">
        <v>2004</v>
      </c>
      <c r="M27" s="3">
        <f>L27</f>
        <v>2004</v>
      </c>
      <c r="N27" s="3">
        <f t="shared" ref="N27:AC27" si="49">M27</f>
        <v>2004</v>
      </c>
      <c r="O27" s="3">
        <f t="shared" si="49"/>
        <v>2004</v>
      </c>
      <c r="P27" s="3">
        <f t="shared" si="49"/>
        <v>2004</v>
      </c>
      <c r="Q27" s="3">
        <f t="shared" si="49"/>
        <v>2004</v>
      </c>
      <c r="R27" s="3">
        <f t="shared" si="49"/>
        <v>2004</v>
      </c>
      <c r="S27" s="3">
        <f t="shared" si="49"/>
        <v>2004</v>
      </c>
      <c r="T27" s="3">
        <f t="shared" si="49"/>
        <v>2004</v>
      </c>
      <c r="U27" s="3">
        <f t="shared" si="49"/>
        <v>2004</v>
      </c>
      <c r="V27" s="3">
        <f t="shared" si="49"/>
        <v>2004</v>
      </c>
      <c r="W27" s="3">
        <f t="shared" si="49"/>
        <v>2004</v>
      </c>
      <c r="X27" s="3">
        <f t="shared" si="49"/>
        <v>2004</v>
      </c>
      <c r="Y27" s="3">
        <f t="shared" si="49"/>
        <v>2004</v>
      </c>
      <c r="Z27" s="3">
        <f t="shared" si="49"/>
        <v>2004</v>
      </c>
      <c r="AA27" s="3">
        <f t="shared" si="49"/>
        <v>2004</v>
      </c>
      <c r="AB27" s="3">
        <f t="shared" si="49"/>
        <v>2004</v>
      </c>
      <c r="AC27" s="3">
        <f t="shared" si="49"/>
        <v>2004</v>
      </c>
      <c r="AE27" s="3"/>
    </row>
    <row r="28" spans="2:31" x14ac:dyDescent="0.3">
      <c r="B28" s="8" t="s">
        <v>75</v>
      </c>
      <c r="C28" s="3">
        <v>332</v>
      </c>
      <c r="D28" s="3">
        <f t="shared" si="46"/>
        <v>257</v>
      </c>
      <c r="E28" s="3">
        <v>257</v>
      </c>
      <c r="F28" s="3">
        <v>388</v>
      </c>
      <c r="G28" s="3">
        <f t="shared" si="47"/>
        <v>444</v>
      </c>
      <c r="H28" s="3">
        <v>444</v>
      </c>
      <c r="I28" s="3">
        <v>524</v>
      </c>
      <c r="J28" s="3">
        <f t="shared" si="48"/>
        <v>359</v>
      </c>
      <c r="K28" s="3">
        <v>359</v>
      </c>
      <c r="L28" s="3">
        <v>371</v>
      </c>
      <c r="M28" s="3">
        <f>L28</f>
        <v>371</v>
      </c>
      <c r="N28" s="3">
        <f t="shared" ref="N28:AC28" si="50">M28</f>
        <v>371</v>
      </c>
      <c r="O28" s="3">
        <f t="shared" si="50"/>
        <v>371</v>
      </c>
      <c r="P28" s="3">
        <f t="shared" si="50"/>
        <v>371</v>
      </c>
      <c r="Q28" s="3">
        <f t="shared" si="50"/>
        <v>371</v>
      </c>
      <c r="R28" s="3">
        <f t="shared" si="50"/>
        <v>371</v>
      </c>
      <c r="S28" s="3">
        <f t="shared" si="50"/>
        <v>371</v>
      </c>
      <c r="T28" s="3">
        <f t="shared" si="50"/>
        <v>371</v>
      </c>
      <c r="U28" s="3">
        <f t="shared" si="50"/>
        <v>371</v>
      </c>
      <c r="V28" s="3">
        <f t="shared" si="50"/>
        <v>371</v>
      </c>
      <c r="W28" s="3">
        <f t="shared" si="50"/>
        <v>371</v>
      </c>
      <c r="X28" s="3">
        <f t="shared" si="50"/>
        <v>371</v>
      </c>
      <c r="Y28" s="3">
        <f t="shared" si="50"/>
        <v>371</v>
      </c>
      <c r="Z28" s="3">
        <f t="shared" si="50"/>
        <v>371</v>
      </c>
      <c r="AA28" s="3">
        <f t="shared" si="50"/>
        <v>371</v>
      </c>
      <c r="AB28" s="3">
        <f t="shared" si="50"/>
        <v>371</v>
      </c>
      <c r="AC28" s="3">
        <f t="shared" si="50"/>
        <v>371</v>
      </c>
      <c r="AE28" s="3"/>
    </row>
    <row r="29" spans="2:31" x14ac:dyDescent="0.3">
      <c r="B29" s="8" t="s">
        <v>76</v>
      </c>
      <c r="C29" s="3">
        <v>0</v>
      </c>
      <c r="D29" s="3">
        <f t="shared" si="46"/>
        <v>91</v>
      </c>
      <c r="E29" s="3">
        <v>91</v>
      </c>
      <c r="F29" s="3">
        <v>184</v>
      </c>
      <c r="G29" s="3">
        <f t="shared" si="47"/>
        <v>117</v>
      </c>
      <c r="H29" s="3">
        <v>117</v>
      </c>
      <c r="I29" s="3">
        <v>259</v>
      </c>
      <c r="J29" s="3">
        <f t="shared" si="48"/>
        <v>0</v>
      </c>
      <c r="K29" s="3">
        <v>0</v>
      </c>
      <c r="L29" s="3">
        <v>497</v>
      </c>
      <c r="M29" s="3">
        <f>L29</f>
        <v>497</v>
      </c>
      <c r="N29" s="3">
        <f t="shared" ref="N29:AC29" si="51">M29</f>
        <v>497</v>
      </c>
      <c r="O29" s="3">
        <f t="shared" si="51"/>
        <v>497</v>
      </c>
      <c r="P29" s="3">
        <f t="shared" si="51"/>
        <v>497</v>
      </c>
      <c r="Q29" s="3">
        <f t="shared" si="51"/>
        <v>497</v>
      </c>
      <c r="R29" s="3">
        <f t="shared" si="51"/>
        <v>497</v>
      </c>
      <c r="S29" s="3">
        <f t="shared" si="51"/>
        <v>497</v>
      </c>
      <c r="T29" s="3">
        <f t="shared" si="51"/>
        <v>497</v>
      </c>
      <c r="U29" s="3">
        <f t="shared" si="51"/>
        <v>497</v>
      </c>
      <c r="V29" s="3">
        <f t="shared" si="51"/>
        <v>497</v>
      </c>
      <c r="W29" s="3">
        <f t="shared" si="51"/>
        <v>497</v>
      </c>
      <c r="X29" s="3">
        <f t="shared" si="51"/>
        <v>497</v>
      </c>
      <c r="Y29" s="3">
        <f t="shared" si="51"/>
        <v>497</v>
      </c>
      <c r="Z29" s="3">
        <f t="shared" si="51"/>
        <v>497</v>
      </c>
      <c r="AA29" s="3">
        <f t="shared" si="51"/>
        <v>497</v>
      </c>
      <c r="AB29" s="3">
        <f t="shared" si="51"/>
        <v>497</v>
      </c>
      <c r="AC29" s="3">
        <f t="shared" si="51"/>
        <v>497</v>
      </c>
      <c r="AE29" s="3"/>
    </row>
    <row r="30" spans="2:31" x14ac:dyDescent="0.3">
      <c r="B30" s="8" t="s">
        <v>77</v>
      </c>
      <c r="C30" s="3">
        <v>4624</v>
      </c>
      <c r="D30" s="3">
        <f t="shared" si="46"/>
        <v>4648</v>
      </c>
      <c r="E30" s="3">
        <v>4648</v>
      </c>
      <c r="F30" s="3">
        <v>5327</v>
      </c>
      <c r="G30" s="3">
        <f t="shared" si="47"/>
        <v>5887</v>
      </c>
      <c r="H30" s="3">
        <v>5887</v>
      </c>
      <c r="I30" s="3">
        <v>7332</v>
      </c>
      <c r="J30" s="3">
        <f t="shared" si="48"/>
        <v>5300</v>
      </c>
      <c r="K30" s="3">
        <v>5300</v>
      </c>
      <c r="L30" s="3">
        <v>7292</v>
      </c>
      <c r="M30" s="3">
        <f>M72</f>
        <v>6381.1327413345925</v>
      </c>
      <c r="N30" s="3">
        <f t="shared" ref="N30:AC30" si="52">N72</f>
        <v>6381.1327413345925</v>
      </c>
      <c r="O30" s="3">
        <f t="shared" si="52"/>
        <v>7181.9054999999998</v>
      </c>
      <c r="P30" s="3">
        <f t="shared" si="52"/>
        <v>6161.4455455479456</v>
      </c>
      <c r="Q30" s="3">
        <f t="shared" si="52"/>
        <v>6161.4455455479456</v>
      </c>
      <c r="R30" s="3">
        <f t="shared" si="52"/>
        <v>7789.1324606506832</v>
      </c>
      <c r="S30" s="3">
        <f t="shared" si="52"/>
        <v>6773.5425658561644</v>
      </c>
      <c r="T30" s="3">
        <f t="shared" si="52"/>
        <v>6773.5425658561644</v>
      </c>
      <c r="U30" s="3">
        <f t="shared" si="52"/>
        <v>8447.9737129566784</v>
      </c>
      <c r="V30" s="3">
        <f t="shared" si="52"/>
        <v>7446.8492881952061</v>
      </c>
      <c r="W30" s="3">
        <f t="shared" si="52"/>
        <v>7446.8492881952061</v>
      </c>
      <c r="X30" s="3">
        <f t="shared" si="52"/>
        <v>9137.7814540264153</v>
      </c>
      <c r="Y30" s="3">
        <f t="shared" si="52"/>
        <v>8165.1165005747953</v>
      </c>
      <c r="Z30" s="3">
        <f t="shared" si="52"/>
        <v>8165.1165005747953</v>
      </c>
      <c r="AA30" s="3">
        <f t="shared" si="52"/>
        <v>9938.4208649546035</v>
      </c>
      <c r="AB30" s="3">
        <f t="shared" si="52"/>
        <v>9002.1878167983905</v>
      </c>
      <c r="AC30" s="3">
        <f t="shared" si="52"/>
        <v>9002.1878167983905</v>
      </c>
      <c r="AE30" s="3"/>
    </row>
    <row r="31" spans="2:31" x14ac:dyDescent="0.3">
      <c r="B31" s="8" t="s">
        <v>78</v>
      </c>
      <c r="C31" s="3">
        <v>0</v>
      </c>
      <c r="D31" s="3">
        <f t="shared" si="46"/>
        <v>0</v>
      </c>
      <c r="E31" s="3">
        <v>0</v>
      </c>
      <c r="F31" s="3">
        <v>30</v>
      </c>
      <c r="G31" s="3">
        <f t="shared" si="47"/>
        <v>61</v>
      </c>
      <c r="H31" s="3">
        <v>61</v>
      </c>
      <c r="I31" s="3">
        <v>92</v>
      </c>
      <c r="J31" s="3">
        <f t="shared" si="48"/>
        <v>0</v>
      </c>
      <c r="K31" s="3">
        <v>0</v>
      </c>
      <c r="L31" s="3">
        <v>0</v>
      </c>
      <c r="M31" s="3">
        <f>L31</f>
        <v>0</v>
      </c>
      <c r="N31" s="3">
        <f t="shared" ref="N31:AC31" si="53">M31</f>
        <v>0</v>
      </c>
      <c r="O31" s="3">
        <f t="shared" si="53"/>
        <v>0</v>
      </c>
      <c r="P31" s="3">
        <f t="shared" si="53"/>
        <v>0</v>
      </c>
      <c r="Q31" s="3">
        <f t="shared" si="53"/>
        <v>0</v>
      </c>
      <c r="R31" s="3">
        <f t="shared" si="53"/>
        <v>0</v>
      </c>
      <c r="S31" s="3">
        <f t="shared" si="53"/>
        <v>0</v>
      </c>
      <c r="T31" s="3">
        <f t="shared" si="53"/>
        <v>0</v>
      </c>
      <c r="U31" s="3">
        <f t="shared" si="53"/>
        <v>0</v>
      </c>
      <c r="V31" s="3">
        <f t="shared" si="53"/>
        <v>0</v>
      </c>
      <c r="W31" s="3">
        <f t="shared" si="53"/>
        <v>0</v>
      </c>
      <c r="X31" s="3">
        <f t="shared" si="53"/>
        <v>0</v>
      </c>
      <c r="Y31" s="3">
        <f t="shared" si="53"/>
        <v>0</v>
      </c>
      <c r="Z31" s="3">
        <f t="shared" si="53"/>
        <v>0</v>
      </c>
      <c r="AA31" s="3">
        <f t="shared" si="53"/>
        <v>0</v>
      </c>
      <c r="AB31" s="3">
        <f t="shared" si="53"/>
        <v>0</v>
      </c>
      <c r="AC31" s="3">
        <f t="shared" si="53"/>
        <v>0</v>
      </c>
      <c r="AE31" s="3"/>
    </row>
    <row r="32" spans="2:31" x14ac:dyDescent="0.3">
      <c r="B32" s="8" t="s">
        <v>79</v>
      </c>
      <c r="C32" s="3">
        <v>364</v>
      </c>
      <c r="D32" s="3">
        <f t="shared" si="46"/>
        <v>146</v>
      </c>
      <c r="E32" s="3">
        <v>146</v>
      </c>
      <c r="F32" s="3">
        <v>380</v>
      </c>
      <c r="G32" s="3">
        <f t="shared" si="47"/>
        <v>252</v>
      </c>
      <c r="H32" s="3">
        <v>252</v>
      </c>
      <c r="I32" s="3">
        <v>319</v>
      </c>
      <c r="J32" s="3">
        <f t="shared" si="48"/>
        <v>135</v>
      </c>
      <c r="K32" s="3">
        <v>135</v>
      </c>
      <c r="L32" s="3">
        <v>253</v>
      </c>
      <c r="M32" s="3">
        <f>L32</f>
        <v>253</v>
      </c>
      <c r="N32" s="3">
        <f t="shared" ref="N32:AC32" si="54">M32</f>
        <v>253</v>
      </c>
      <c r="O32" s="3">
        <f t="shared" si="54"/>
        <v>253</v>
      </c>
      <c r="P32" s="3">
        <f t="shared" si="54"/>
        <v>253</v>
      </c>
      <c r="Q32" s="3">
        <f t="shared" si="54"/>
        <v>253</v>
      </c>
      <c r="R32" s="3">
        <f t="shared" si="54"/>
        <v>253</v>
      </c>
      <c r="S32" s="3">
        <f t="shared" si="54"/>
        <v>253</v>
      </c>
      <c r="T32" s="3">
        <f t="shared" si="54"/>
        <v>253</v>
      </c>
      <c r="U32" s="3">
        <f t="shared" si="54"/>
        <v>253</v>
      </c>
      <c r="V32" s="3">
        <f t="shared" si="54"/>
        <v>253</v>
      </c>
      <c r="W32" s="3">
        <f t="shared" si="54"/>
        <v>253</v>
      </c>
      <c r="X32" s="3">
        <f t="shared" si="54"/>
        <v>253</v>
      </c>
      <c r="Y32" s="3">
        <f t="shared" si="54"/>
        <v>253</v>
      </c>
      <c r="Z32" s="3">
        <f t="shared" si="54"/>
        <v>253</v>
      </c>
      <c r="AA32" s="3">
        <f t="shared" si="54"/>
        <v>253</v>
      </c>
      <c r="AB32" s="3">
        <f t="shared" si="54"/>
        <v>253</v>
      </c>
      <c r="AC32" s="3">
        <f t="shared" si="54"/>
        <v>253</v>
      </c>
      <c r="AE32" s="3"/>
    </row>
    <row r="33" spans="2:31" x14ac:dyDescent="0.3">
      <c r="B33" s="8" t="s">
        <v>80</v>
      </c>
      <c r="C33" s="3">
        <v>176</v>
      </c>
      <c r="D33" s="3">
        <f t="shared" si="46"/>
        <v>138</v>
      </c>
      <c r="E33" s="3">
        <v>138</v>
      </c>
      <c r="F33" s="3">
        <v>111</v>
      </c>
      <c r="G33" s="3">
        <f t="shared" si="47"/>
        <v>159</v>
      </c>
      <c r="H33" s="3">
        <v>159</v>
      </c>
      <c r="I33" s="3">
        <v>135</v>
      </c>
      <c r="J33" s="3">
        <f t="shared" si="48"/>
        <v>119</v>
      </c>
      <c r="K33" s="3">
        <v>119</v>
      </c>
      <c r="L33" s="3">
        <v>213</v>
      </c>
      <c r="M33" s="3">
        <f>L33</f>
        <v>213</v>
      </c>
      <c r="N33" s="3">
        <f t="shared" ref="N33:AC33" si="55">M33</f>
        <v>213</v>
      </c>
      <c r="O33" s="3">
        <f t="shared" si="55"/>
        <v>213</v>
      </c>
      <c r="P33" s="3">
        <f t="shared" si="55"/>
        <v>213</v>
      </c>
      <c r="Q33" s="3">
        <f t="shared" si="55"/>
        <v>213</v>
      </c>
      <c r="R33" s="3">
        <f t="shared" si="55"/>
        <v>213</v>
      </c>
      <c r="S33" s="3">
        <f t="shared" si="55"/>
        <v>213</v>
      </c>
      <c r="T33" s="3">
        <f t="shared" si="55"/>
        <v>213</v>
      </c>
      <c r="U33" s="3">
        <f t="shared" si="55"/>
        <v>213</v>
      </c>
      <c r="V33" s="3">
        <f t="shared" si="55"/>
        <v>213</v>
      </c>
      <c r="W33" s="3">
        <f t="shared" si="55"/>
        <v>213</v>
      </c>
      <c r="X33" s="3">
        <f t="shared" si="55"/>
        <v>213</v>
      </c>
      <c r="Y33" s="3">
        <f t="shared" si="55"/>
        <v>213</v>
      </c>
      <c r="Z33" s="3">
        <f t="shared" si="55"/>
        <v>213</v>
      </c>
      <c r="AA33" s="3">
        <f t="shared" si="55"/>
        <v>213</v>
      </c>
      <c r="AB33" s="3">
        <f t="shared" si="55"/>
        <v>213</v>
      </c>
      <c r="AC33" s="3">
        <f t="shared" si="55"/>
        <v>213</v>
      </c>
      <c r="AE33" s="3"/>
    </row>
    <row r="34" spans="2:31" x14ac:dyDescent="0.3">
      <c r="B34" s="1" t="s">
        <v>81</v>
      </c>
      <c r="C34" s="4">
        <f t="shared" ref="C34:F34" si="56">SUM(C27:C33)</f>
        <v>6710</v>
      </c>
      <c r="D34" s="4">
        <f t="shared" ref="D34" si="57">SUM(D27:D33)</f>
        <v>7142</v>
      </c>
      <c r="E34" s="4">
        <f t="shared" ref="E34" si="58">SUM(E27:E33)</f>
        <v>7142</v>
      </c>
      <c r="F34" s="4">
        <f t="shared" si="56"/>
        <v>7604</v>
      </c>
      <c r="G34" s="4">
        <f t="shared" ref="G34" si="59">SUM(G27:G33)</f>
        <v>8442</v>
      </c>
      <c r="H34" s="4">
        <f t="shared" ref="H34" si="60">SUM(H27:H33)</f>
        <v>8442</v>
      </c>
      <c r="I34" s="4">
        <f>SUM(I27:I33)</f>
        <v>11428</v>
      </c>
      <c r="J34" s="4">
        <f t="shared" ref="J34:U34" si="61">SUM(J27:J33)</f>
        <v>7614</v>
      </c>
      <c r="K34" s="4">
        <f t="shared" si="61"/>
        <v>7614</v>
      </c>
      <c r="L34" s="4">
        <f t="shared" si="61"/>
        <v>10630</v>
      </c>
      <c r="M34" s="4">
        <f t="shared" si="61"/>
        <v>9719.1327413345934</v>
      </c>
      <c r="N34" s="4">
        <f t="shared" si="61"/>
        <v>9719.1327413345934</v>
      </c>
      <c r="O34" s="4">
        <f t="shared" si="61"/>
        <v>10519.905500000001</v>
      </c>
      <c r="P34" s="4">
        <f t="shared" si="61"/>
        <v>9499.4455455479456</v>
      </c>
      <c r="Q34" s="4">
        <f t="shared" si="61"/>
        <v>9499.4455455479456</v>
      </c>
      <c r="R34" s="4">
        <f t="shared" si="61"/>
        <v>11127.132460650682</v>
      </c>
      <c r="S34" s="4">
        <f t="shared" si="61"/>
        <v>10111.542565856165</v>
      </c>
      <c r="T34" s="4">
        <f t="shared" ref="T34" si="62">SUM(T27:T33)</f>
        <v>10111.542565856165</v>
      </c>
      <c r="U34" s="4">
        <f t="shared" si="61"/>
        <v>11785.973712956678</v>
      </c>
      <c r="V34" s="4">
        <f t="shared" ref="V34" si="63">SUM(V27:V33)</f>
        <v>10784.849288195206</v>
      </c>
      <c r="W34" s="4">
        <f t="shared" ref="W34:X34" si="64">SUM(W27:W33)</f>
        <v>10784.849288195206</v>
      </c>
      <c r="X34" s="4">
        <f t="shared" si="64"/>
        <v>12475.781454026415</v>
      </c>
      <c r="Y34" s="4">
        <f t="shared" ref="Y34" si="65">SUM(Y27:Y33)</f>
        <v>11503.116500574795</v>
      </c>
      <c r="Z34" s="4">
        <f t="shared" ref="Z34:AA34" si="66">SUM(Z27:Z33)</f>
        <v>11503.116500574795</v>
      </c>
      <c r="AA34" s="4">
        <f t="shared" si="66"/>
        <v>13276.420864954604</v>
      </c>
      <c r="AB34" s="4">
        <f t="shared" ref="AB34" si="67">SUM(AB27:AB33)</f>
        <v>12340.18781679839</v>
      </c>
      <c r="AC34" s="4">
        <f t="shared" ref="AC34" si="68">SUM(AC27:AC33)</f>
        <v>12340.18781679839</v>
      </c>
    </row>
    <row r="35" spans="2:31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2:31" x14ac:dyDescent="0.3">
      <c r="B36" s="1" t="s">
        <v>83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2:31" x14ac:dyDescent="0.3">
      <c r="B37" s="8" t="s">
        <v>91</v>
      </c>
      <c r="C37" s="3">
        <v>14063</v>
      </c>
      <c r="D37" s="3">
        <f t="shared" ref="D37:D42" si="69">E37</f>
        <v>12865</v>
      </c>
      <c r="E37" s="3">
        <v>12865</v>
      </c>
      <c r="F37" s="3">
        <v>12693</v>
      </c>
      <c r="G37" s="3">
        <f t="shared" ref="G37:G42" si="70">H37</f>
        <v>14498</v>
      </c>
      <c r="H37" s="3">
        <v>14498</v>
      </c>
      <c r="I37" s="3">
        <v>18365</v>
      </c>
      <c r="J37" s="3">
        <f t="shared" ref="J37:J42" si="71">K37</f>
        <v>14801</v>
      </c>
      <c r="K37" s="3">
        <v>14801</v>
      </c>
      <c r="L37" s="3">
        <v>19476</v>
      </c>
      <c r="M37" s="3">
        <f t="shared" ref="M37:AC37" si="72">M81</f>
        <v>19976</v>
      </c>
      <c r="N37" s="3">
        <f t="shared" si="72"/>
        <v>19976</v>
      </c>
      <c r="O37" s="3">
        <f t="shared" si="72"/>
        <v>20476</v>
      </c>
      <c r="P37" s="3">
        <f t="shared" si="72"/>
        <v>20976</v>
      </c>
      <c r="Q37" s="3">
        <f t="shared" si="72"/>
        <v>20976</v>
      </c>
      <c r="R37" s="3">
        <f t="shared" si="72"/>
        <v>21476</v>
      </c>
      <c r="S37" s="3">
        <f t="shared" si="72"/>
        <v>21976</v>
      </c>
      <c r="T37" s="3">
        <f t="shared" si="72"/>
        <v>21976</v>
      </c>
      <c r="U37" s="3">
        <f t="shared" si="72"/>
        <v>22476</v>
      </c>
      <c r="V37" s="3">
        <f t="shared" si="72"/>
        <v>22976</v>
      </c>
      <c r="W37" s="3">
        <f t="shared" si="72"/>
        <v>22976</v>
      </c>
      <c r="X37" s="3">
        <f t="shared" si="72"/>
        <v>23476</v>
      </c>
      <c r="Y37" s="3">
        <f t="shared" si="72"/>
        <v>23976</v>
      </c>
      <c r="Z37" s="3">
        <f t="shared" si="72"/>
        <v>23976</v>
      </c>
      <c r="AA37" s="3">
        <f t="shared" si="72"/>
        <v>24476</v>
      </c>
      <c r="AB37" s="3">
        <f t="shared" si="72"/>
        <v>24976</v>
      </c>
      <c r="AC37" s="3">
        <f t="shared" si="72"/>
        <v>24976</v>
      </c>
      <c r="AE37" s="3"/>
    </row>
    <row r="38" spans="2:31" x14ac:dyDescent="0.3">
      <c r="B38" s="8" t="s">
        <v>75</v>
      </c>
      <c r="C38" s="3">
        <v>376</v>
      </c>
      <c r="D38" s="3">
        <f t="shared" si="69"/>
        <v>384</v>
      </c>
      <c r="E38" s="3">
        <v>384</v>
      </c>
      <c r="F38" s="3">
        <v>378</v>
      </c>
      <c r="G38" s="3">
        <f t="shared" si="70"/>
        <v>703</v>
      </c>
      <c r="H38" s="3">
        <v>703</v>
      </c>
      <c r="I38" s="3">
        <v>925</v>
      </c>
      <c r="J38" s="3">
        <f t="shared" si="71"/>
        <v>747</v>
      </c>
      <c r="K38" s="3">
        <v>747</v>
      </c>
      <c r="L38" s="3">
        <v>865</v>
      </c>
      <c r="M38" s="3">
        <f t="shared" ref="M38:AB42" si="73">L38</f>
        <v>865</v>
      </c>
      <c r="N38" s="3">
        <f t="shared" si="73"/>
        <v>865</v>
      </c>
      <c r="O38" s="3">
        <f t="shared" si="73"/>
        <v>865</v>
      </c>
      <c r="P38" s="3">
        <f t="shared" si="73"/>
        <v>865</v>
      </c>
      <c r="Q38" s="3">
        <f t="shared" si="73"/>
        <v>865</v>
      </c>
      <c r="R38" s="3">
        <f t="shared" si="73"/>
        <v>865</v>
      </c>
      <c r="S38" s="3">
        <f t="shared" si="73"/>
        <v>865</v>
      </c>
      <c r="T38" s="3">
        <f t="shared" si="73"/>
        <v>865</v>
      </c>
      <c r="U38" s="3">
        <f t="shared" si="73"/>
        <v>865</v>
      </c>
      <c r="V38" s="3">
        <f t="shared" si="73"/>
        <v>865</v>
      </c>
      <c r="W38" s="3">
        <f t="shared" si="73"/>
        <v>865</v>
      </c>
      <c r="X38" s="3">
        <f t="shared" si="73"/>
        <v>865</v>
      </c>
      <c r="Y38" s="3">
        <f t="shared" si="73"/>
        <v>865</v>
      </c>
      <c r="Z38" s="3">
        <f t="shared" si="73"/>
        <v>865</v>
      </c>
      <c r="AA38" s="3">
        <f t="shared" si="73"/>
        <v>865</v>
      </c>
      <c r="AB38" s="3">
        <f t="shared" si="73"/>
        <v>865</v>
      </c>
      <c r="AC38" s="3">
        <f t="shared" ref="N38:AC42" si="74">AB38</f>
        <v>865</v>
      </c>
      <c r="AE38" s="3"/>
    </row>
    <row r="39" spans="2:31" x14ac:dyDescent="0.3">
      <c r="B39" s="8" t="s">
        <v>92</v>
      </c>
      <c r="C39" s="3">
        <v>267</v>
      </c>
      <c r="D39" s="3">
        <f t="shared" si="69"/>
        <v>338</v>
      </c>
      <c r="E39" s="3">
        <v>338</v>
      </c>
      <c r="F39" s="3">
        <v>278</v>
      </c>
      <c r="G39" s="3">
        <f t="shared" si="70"/>
        <v>380</v>
      </c>
      <c r="H39" s="3">
        <v>380</v>
      </c>
      <c r="I39" s="3">
        <v>424</v>
      </c>
      <c r="J39" s="3">
        <f t="shared" si="71"/>
        <v>368</v>
      </c>
      <c r="K39" s="3">
        <v>368</v>
      </c>
      <c r="L39" s="3">
        <v>447</v>
      </c>
      <c r="M39" s="3">
        <f t="shared" si="73"/>
        <v>447</v>
      </c>
      <c r="N39" s="3">
        <f t="shared" si="74"/>
        <v>447</v>
      </c>
      <c r="O39" s="3">
        <f t="shared" si="74"/>
        <v>447</v>
      </c>
      <c r="P39" s="3">
        <f t="shared" si="74"/>
        <v>447</v>
      </c>
      <c r="Q39" s="3">
        <f t="shared" si="74"/>
        <v>447</v>
      </c>
      <c r="R39" s="3">
        <f t="shared" si="74"/>
        <v>447</v>
      </c>
      <c r="S39" s="3">
        <f t="shared" si="74"/>
        <v>447</v>
      </c>
      <c r="T39" s="3">
        <f t="shared" si="74"/>
        <v>447</v>
      </c>
      <c r="U39" s="3">
        <f t="shared" si="74"/>
        <v>447</v>
      </c>
      <c r="V39" s="3">
        <f t="shared" si="74"/>
        <v>447</v>
      </c>
      <c r="W39" s="3">
        <f t="shared" si="74"/>
        <v>447</v>
      </c>
      <c r="X39" s="3">
        <f t="shared" si="74"/>
        <v>447</v>
      </c>
      <c r="Y39" s="3">
        <f t="shared" si="74"/>
        <v>447</v>
      </c>
      <c r="Z39" s="3">
        <f t="shared" si="74"/>
        <v>447</v>
      </c>
      <c r="AA39" s="3">
        <f t="shared" si="74"/>
        <v>447</v>
      </c>
      <c r="AB39" s="3">
        <f t="shared" si="74"/>
        <v>447</v>
      </c>
      <c r="AC39" s="3">
        <f t="shared" si="74"/>
        <v>447</v>
      </c>
      <c r="AE39" s="3"/>
    </row>
    <row r="40" spans="2:31" x14ac:dyDescent="0.3">
      <c r="B40" s="8" t="s">
        <v>80</v>
      </c>
      <c r="C40" s="3">
        <v>295</v>
      </c>
      <c r="D40" s="3">
        <f t="shared" si="69"/>
        <v>274</v>
      </c>
      <c r="E40" s="3">
        <v>274</v>
      </c>
      <c r="F40" s="3">
        <v>278</v>
      </c>
      <c r="G40" s="3">
        <f t="shared" si="70"/>
        <v>258</v>
      </c>
      <c r="H40" s="3">
        <v>258</v>
      </c>
      <c r="I40" s="3">
        <v>319</v>
      </c>
      <c r="J40" s="3">
        <f t="shared" si="71"/>
        <v>243</v>
      </c>
      <c r="K40" s="3">
        <v>243</v>
      </c>
      <c r="L40" s="3">
        <v>313</v>
      </c>
      <c r="M40" s="3">
        <f t="shared" si="73"/>
        <v>313</v>
      </c>
      <c r="N40" s="3">
        <f t="shared" si="74"/>
        <v>313</v>
      </c>
      <c r="O40" s="3">
        <f t="shared" si="74"/>
        <v>313</v>
      </c>
      <c r="P40" s="3">
        <f t="shared" si="74"/>
        <v>313</v>
      </c>
      <c r="Q40" s="3">
        <f t="shared" si="74"/>
        <v>313</v>
      </c>
      <c r="R40" s="3">
        <f t="shared" si="74"/>
        <v>313</v>
      </c>
      <c r="S40" s="3">
        <f t="shared" si="74"/>
        <v>313</v>
      </c>
      <c r="T40" s="3">
        <f t="shared" si="74"/>
        <v>313</v>
      </c>
      <c r="U40" s="3">
        <f t="shared" si="74"/>
        <v>313</v>
      </c>
      <c r="V40" s="3">
        <f t="shared" si="74"/>
        <v>313</v>
      </c>
      <c r="W40" s="3">
        <f t="shared" si="74"/>
        <v>313</v>
      </c>
      <c r="X40" s="3">
        <f t="shared" si="74"/>
        <v>313</v>
      </c>
      <c r="Y40" s="3">
        <f t="shared" si="74"/>
        <v>313</v>
      </c>
      <c r="Z40" s="3">
        <f t="shared" si="74"/>
        <v>313</v>
      </c>
      <c r="AA40" s="3">
        <f t="shared" si="74"/>
        <v>313</v>
      </c>
      <c r="AB40" s="3">
        <f t="shared" si="74"/>
        <v>313</v>
      </c>
      <c r="AC40" s="3">
        <f t="shared" si="74"/>
        <v>313</v>
      </c>
      <c r="AE40" s="3"/>
    </row>
    <row r="41" spans="2:31" x14ac:dyDescent="0.3">
      <c r="B41" s="8" t="s">
        <v>93</v>
      </c>
      <c r="C41" s="3">
        <v>1900</v>
      </c>
      <c r="D41" s="3">
        <f t="shared" si="69"/>
        <v>1945</v>
      </c>
      <c r="E41" s="3">
        <v>1945</v>
      </c>
      <c r="F41" s="3">
        <v>2112</v>
      </c>
      <c r="G41" s="3">
        <f t="shared" si="70"/>
        <v>2319</v>
      </c>
      <c r="H41" s="3">
        <v>2319</v>
      </c>
      <c r="I41" s="3">
        <v>2708</v>
      </c>
      <c r="J41" s="3">
        <f t="shared" si="71"/>
        <v>2183</v>
      </c>
      <c r="K41" s="3">
        <v>2183</v>
      </c>
      <c r="L41" s="3">
        <v>2839</v>
      </c>
      <c r="M41" s="3">
        <f t="shared" si="73"/>
        <v>2839</v>
      </c>
      <c r="N41" s="3">
        <f t="shared" si="74"/>
        <v>2839</v>
      </c>
      <c r="O41" s="3">
        <f t="shared" si="74"/>
        <v>2839</v>
      </c>
      <c r="P41" s="3">
        <f t="shared" si="74"/>
        <v>2839</v>
      </c>
      <c r="Q41" s="3">
        <f t="shared" si="74"/>
        <v>2839</v>
      </c>
      <c r="R41" s="3">
        <f t="shared" si="74"/>
        <v>2839</v>
      </c>
      <c r="S41" s="3">
        <f t="shared" si="74"/>
        <v>2839</v>
      </c>
      <c r="T41" s="3">
        <f t="shared" si="74"/>
        <v>2839</v>
      </c>
      <c r="U41" s="3">
        <f t="shared" si="74"/>
        <v>2839</v>
      </c>
      <c r="V41" s="3">
        <f t="shared" si="74"/>
        <v>2839</v>
      </c>
      <c r="W41" s="3">
        <f t="shared" si="74"/>
        <v>2839</v>
      </c>
      <c r="X41" s="3">
        <f t="shared" si="74"/>
        <v>2839</v>
      </c>
      <c r="Y41" s="3">
        <f t="shared" si="74"/>
        <v>2839</v>
      </c>
      <c r="Z41" s="3">
        <f t="shared" si="74"/>
        <v>2839</v>
      </c>
      <c r="AA41" s="3">
        <f t="shared" si="74"/>
        <v>2839</v>
      </c>
      <c r="AB41" s="3">
        <f t="shared" si="74"/>
        <v>2839</v>
      </c>
      <c r="AC41" s="3">
        <f t="shared" si="74"/>
        <v>2839</v>
      </c>
      <c r="AE41" s="3"/>
    </row>
    <row r="42" spans="2:31" x14ac:dyDescent="0.3">
      <c r="B42" s="8" t="s">
        <v>94</v>
      </c>
      <c r="C42" s="3">
        <v>815</v>
      </c>
      <c r="D42" s="3">
        <f t="shared" si="69"/>
        <v>574</v>
      </c>
      <c r="E42" s="3">
        <v>574</v>
      </c>
      <c r="F42" s="3">
        <v>486</v>
      </c>
      <c r="G42" s="3">
        <f t="shared" si="70"/>
        <v>402</v>
      </c>
      <c r="H42" s="3">
        <v>402</v>
      </c>
      <c r="I42" s="3">
        <v>457</v>
      </c>
      <c r="J42" s="3">
        <f t="shared" si="71"/>
        <v>373</v>
      </c>
      <c r="K42" s="3">
        <v>373</v>
      </c>
      <c r="L42" s="3">
        <v>471</v>
      </c>
      <c r="M42" s="3">
        <f t="shared" si="73"/>
        <v>471</v>
      </c>
      <c r="N42" s="3">
        <f t="shared" si="74"/>
        <v>471</v>
      </c>
      <c r="O42" s="3">
        <f t="shared" si="74"/>
        <v>471</v>
      </c>
      <c r="P42" s="3">
        <f t="shared" si="74"/>
        <v>471</v>
      </c>
      <c r="Q42" s="3">
        <f t="shared" si="74"/>
        <v>471</v>
      </c>
      <c r="R42" s="3">
        <f t="shared" si="74"/>
        <v>471</v>
      </c>
      <c r="S42" s="3">
        <f t="shared" si="74"/>
        <v>471</v>
      </c>
      <c r="T42" s="3">
        <f t="shared" si="74"/>
        <v>471</v>
      </c>
      <c r="U42" s="3">
        <f t="shared" si="74"/>
        <v>471</v>
      </c>
      <c r="V42" s="3">
        <f t="shared" si="74"/>
        <v>471</v>
      </c>
      <c r="W42" s="3">
        <f t="shared" si="74"/>
        <v>471</v>
      </c>
      <c r="X42" s="3">
        <f t="shared" si="74"/>
        <v>471</v>
      </c>
      <c r="Y42" s="3">
        <f t="shared" si="74"/>
        <v>471</v>
      </c>
      <c r="Z42" s="3">
        <f t="shared" si="74"/>
        <v>471</v>
      </c>
      <c r="AA42" s="3">
        <f t="shared" si="74"/>
        <v>471</v>
      </c>
      <c r="AB42" s="3">
        <f t="shared" si="74"/>
        <v>471</v>
      </c>
      <c r="AC42" s="3">
        <f t="shared" si="74"/>
        <v>471</v>
      </c>
      <c r="AE42" s="3"/>
    </row>
    <row r="43" spans="2:31" x14ac:dyDescent="0.3">
      <c r="B43" s="1" t="s">
        <v>82</v>
      </c>
      <c r="C43" s="4">
        <f t="shared" ref="C43:F43" si="75">SUM(C37:C42)</f>
        <v>17716</v>
      </c>
      <c r="D43" s="4">
        <f t="shared" si="75"/>
        <v>16380</v>
      </c>
      <c r="E43" s="4">
        <f t="shared" ref="E43" si="76">SUM(E37:E42)</f>
        <v>16380</v>
      </c>
      <c r="F43" s="4">
        <f t="shared" si="75"/>
        <v>16225</v>
      </c>
      <c r="G43" s="4">
        <f t="shared" ref="G43" si="77">SUM(G37:G42)</f>
        <v>18560</v>
      </c>
      <c r="H43" s="4">
        <f t="shared" ref="H43" si="78">SUM(H37:H42)</f>
        <v>18560</v>
      </c>
      <c r="I43" s="4">
        <f>SUM(I37:I42)</f>
        <v>23198</v>
      </c>
      <c r="J43" s="4">
        <f t="shared" ref="J43:U43" si="79">SUM(J37:J42)</f>
        <v>18715</v>
      </c>
      <c r="K43" s="4">
        <f t="shared" si="79"/>
        <v>18715</v>
      </c>
      <c r="L43" s="4">
        <f t="shared" si="79"/>
        <v>24411</v>
      </c>
      <c r="M43" s="4">
        <f t="shared" si="79"/>
        <v>24911</v>
      </c>
      <c r="N43" s="4">
        <f t="shared" si="79"/>
        <v>24911</v>
      </c>
      <c r="O43" s="4">
        <f t="shared" si="79"/>
        <v>25411</v>
      </c>
      <c r="P43" s="4">
        <f t="shared" si="79"/>
        <v>25911</v>
      </c>
      <c r="Q43" s="4">
        <f t="shared" si="79"/>
        <v>25911</v>
      </c>
      <c r="R43" s="4">
        <f t="shared" si="79"/>
        <v>26411</v>
      </c>
      <c r="S43" s="4">
        <f t="shared" si="79"/>
        <v>26911</v>
      </c>
      <c r="T43" s="4">
        <f t="shared" ref="T43" si="80">SUM(T37:T42)</f>
        <v>26911</v>
      </c>
      <c r="U43" s="4">
        <f t="shared" si="79"/>
        <v>27411</v>
      </c>
      <c r="V43" s="4">
        <f t="shared" ref="V43" si="81">SUM(V37:V42)</f>
        <v>27911</v>
      </c>
      <c r="W43" s="4">
        <f t="shared" ref="W43:X43" si="82">SUM(W37:W42)</f>
        <v>27911</v>
      </c>
      <c r="X43" s="4">
        <f t="shared" si="82"/>
        <v>28411</v>
      </c>
      <c r="Y43" s="4">
        <f t="shared" ref="Y43" si="83">SUM(Y37:Y42)</f>
        <v>28911</v>
      </c>
      <c r="Z43" s="4">
        <f t="shared" ref="Z43:AA43" si="84">SUM(Z37:Z42)</f>
        <v>28911</v>
      </c>
      <c r="AA43" s="4">
        <f t="shared" si="84"/>
        <v>29411</v>
      </c>
      <c r="AB43" s="4">
        <f t="shared" ref="AB43" si="85">SUM(AB37:AB42)</f>
        <v>29911</v>
      </c>
      <c r="AC43" s="4">
        <f t="shared" ref="AC43" si="86">SUM(AC37:AC42)</f>
        <v>29911</v>
      </c>
    </row>
    <row r="44" spans="2:31" x14ac:dyDescent="0.3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2:31" x14ac:dyDescent="0.3">
      <c r="B45" s="9" t="s">
        <v>84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2:31" x14ac:dyDescent="0.3">
      <c r="B46" s="8" t="s">
        <v>85</v>
      </c>
      <c r="C46" s="3">
        <v>742</v>
      </c>
      <c r="D46" s="3">
        <f t="shared" ref="D46:D49" si="87">E46</f>
        <v>741</v>
      </c>
      <c r="E46" s="3">
        <v>741</v>
      </c>
      <c r="F46" s="3">
        <v>737</v>
      </c>
      <c r="G46" s="3">
        <f t="shared" ref="G46:G49" si="88">H46</f>
        <v>723</v>
      </c>
      <c r="H46" s="3">
        <v>723</v>
      </c>
      <c r="I46" s="3">
        <v>863</v>
      </c>
      <c r="J46" s="3">
        <f t="shared" ref="J46:J49" si="89">K46</f>
        <v>712</v>
      </c>
      <c r="K46" s="3">
        <v>712</v>
      </c>
      <c r="L46" s="3">
        <v>893</v>
      </c>
      <c r="M46" s="3">
        <f t="shared" ref="M46:AB48" si="90">L46</f>
        <v>893</v>
      </c>
      <c r="N46" s="3">
        <f t="shared" si="90"/>
        <v>893</v>
      </c>
      <c r="O46" s="3">
        <f t="shared" si="90"/>
        <v>893</v>
      </c>
      <c r="P46" s="3">
        <f t="shared" si="90"/>
        <v>893</v>
      </c>
      <c r="Q46" s="3">
        <f t="shared" si="90"/>
        <v>893</v>
      </c>
      <c r="R46" s="3">
        <f t="shared" si="90"/>
        <v>893</v>
      </c>
      <c r="S46" s="3">
        <f t="shared" si="90"/>
        <v>893</v>
      </c>
      <c r="T46" s="3">
        <f t="shared" si="90"/>
        <v>893</v>
      </c>
      <c r="U46" s="3">
        <f t="shared" si="90"/>
        <v>893</v>
      </c>
      <c r="V46" s="3">
        <f t="shared" si="90"/>
        <v>893</v>
      </c>
      <c r="W46" s="3">
        <f t="shared" si="90"/>
        <v>893</v>
      </c>
      <c r="X46" s="3">
        <f t="shared" si="90"/>
        <v>893</v>
      </c>
      <c r="Y46" s="3">
        <f t="shared" si="90"/>
        <v>893</v>
      </c>
      <c r="Z46" s="3">
        <f t="shared" si="90"/>
        <v>893</v>
      </c>
      <c r="AA46" s="3">
        <f t="shared" si="90"/>
        <v>893</v>
      </c>
      <c r="AB46" s="3">
        <f t="shared" si="90"/>
        <v>893</v>
      </c>
      <c r="AC46" s="3">
        <f t="shared" ref="N46:AC48" si="91">AB46</f>
        <v>893</v>
      </c>
      <c r="AE46" s="3"/>
    </row>
    <row r="47" spans="2:31" x14ac:dyDescent="0.3">
      <c r="B47" s="8" t="s">
        <v>86</v>
      </c>
      <c r="C47" s="3">
        <v>1351</v>
      </c>
      <c r="D47" s="3">
        <f t="shared" si="87"/>
        <v>1351</v>
      </c>
      <c r="E47" s="3">
        <v>1351</v>
      </c>
      <c r="F47" s="3">
        <v>1351</v>
      </c>
      <c r="G47" s="3">
        <f t="shared" si="88"/>
        <v>1351</v>
      </c>
      <c r="H47" s="3">
        <v>1351</v>
      </c>
      <c r="I47" s="3">
        <v>1621</v>
      </c>
      <c r="J47" s="3">
        <f t="shared" si="89"/>
        <v>1351</v>
      </c>
      <c r="K47" s="3">
        <v>1351</v>
      </c>
      <c r="L47" s="3">
        <v>1703</v>
      </c>
      <c r="M47" s="3">
        <f t="shared" si="90"/>
        <v>1703</v>
      </c>
      <c r="N47" s="3">
        <f t="shared" si="91"/>
        <v>1703</v>
      </c>
      <c r="O47" s="3">
        <f t="shared" si="91"/>
        <v>1703</v>
      </c>
      <c r="P47" s="3">
        <f t="shared" si="91"/>
        <v>1703</v>
      </c>
      <c r="Q47" s="3">
        <f t="shared" si="91"/>
        <v>1703</v>
      </c>
      <c r="R47" s="3">
        <f t="shared" si="91"/>
        <v>1703</v>
      </c>
      <c r="S47" s="3">
        <f t="shared" si="91"/>
        <v>1703</v>
      </c>
      <c r="T47" s="3">
        <f t="shared" si="91"/>
        <v>1703</v>
      </c>
      <c r="U47" s="3">
        <f t="shared" si="91"/>
        <v>1703</v>
      </c>
      <c r="V47" s="3">
        <f t="shared" si="91"/>
        <v>1703</v>
      </c>
      <c r="W47" s="3">
        <f t="shared" si="91"/>
        <v>1703</v>
      </c>
      <c r="X47" s="3">
        <f t="shared" si="91"/>
        <v>1703</v>
      </c>
      <c r="Y47" s="3">
        <f t="shared" si="91"/>
        <v>1703</v>
      </c>
      <c r="Z47" s="3">
        <f t="shared" si="91"/>
        <v>1703</v>
      </c>
      <c r="AA47" s="3">
        <f t="shared" si="91"/>
        <v>1703</v>
      </c>
      <c r="AB47" s="3">
        <f t="shared" si="91"/>
        <v>1703</v>
      </c>
      <c r="AC47" s="3">
        <f t="shared" si="91"/>
        <v>1703</v>
      </c>
      <c r="AE47" s="3"/>
    </row>
    <row r="48" spans="2:31" x14ac:dyDescent="0.3">
      <c r="B48" s="8" t="s">
        <v>87</v>
      </c>
      <c r="C48" s="3">
        <v>1835</v>
      </c>
      <c r="D48" s="3">
        <f t="shared" si="87"/>
        <v>1621</v>
      </c>
      <c r="E48" s="3">
        <v>1621</v>
      </c>
      <c r="F48" s="3">
        <v>1551</v>
      </c>
      <c r="G48" s="3">
        <f t="shared" si="88"/>
        <v>2174</v>
      </c>
      <c r="H48" s="3">
        <v>2174</v>
      </c>
      <c r="I48" s="3">
        <v>560</v>
      </c>
      <c r="J48" s="3">
        <f t="shared" si="89"/>
        <v>1861</v>
      </c>
      <c r="K48" s="3">
        <v>1861</v>
      </c>
      <c r="L48" s="3">
        <v>502</v>
      </c>
      <c r="M48" s="3">
        <f t="shared" si="90"/>
        <v>502</v>
      </c>
      <c r="N48" s="3">
        <f t="shared" si="91"/>
        <v>502</v>
      </c>
      <c r="O48" s="3">
        <f t="shared" si="91"/>
        <v>502</v>
      </c>
      <c r="P48" s="3">
        <f t="shared" si="91"/>
        <v>502</v>
      </c>
      <c r="Q48" s="3">
        <f t="shared" si="91"/>
        <v>502</v>
      </c>
      <c r="R48" s="3">
        <f t="shared" si="91"/>
        <v>502</v>
      </c>
      <c r="S48" s="3">
        <f t="shared" si="91"/>
        <v>502</v>
      </c>
      <c r="T48" s="3">
        <f t="shared" si="91"/>
        <v>502</v>
      </c>
      <c r="U48" s="3">
        <f t="shared" si="91"/>
        <v>502</v>
      </c>
      <c r="V48" s="3">
        <f t="shared" si="91"/>
        <v>502</v>
      </c>
      <c r="W48" s="3">
        <f t="shared" si="91"/>
        <v>502</v>
      </c>
      <c r="X48" s="3">
        <f t="shared" si="91"/>
        <v>502</v>
      </c>
      <c r="Y48" s="3">
        <f t="shared" si="91"/>
        <v>502</v>
      </c>
      <c r="Z48" s="3">
        <f t="shared" si="91"/>
        <v>502</v>
      </c>
      <c r="AA48" s="3">
        <f t="shared" si="91"/>
        <v>502</v>
      </c>
      <c r="AB48" s="3">
        <f t="shared" si="91"/>
        <v>502</v>
      </c>
      <c r="AC48" s="3">
        <f t="shared" si="91"/>
        <v>502</v>
      </c>
      <c r="AE48" s="3"/>
    </row>
    <row r="49" spans="2:32" x14ac:dyDescent="0.3">
      <c r="B49" s="8" t="s">
        <v>88</v>
      </c>
      <c r="C49" s="3">
        <v>2890</v>
      </c>
      <c r="D49" s="3">
        <f t="shared" si="87"/>
        <v>3184</v>
      </c>
      <c r="E49" s="3">
        <v>3184</v>
      </c>
      <c r="F49" s="3">
        <v>4019</v>
      </c>
      <c r="G49" s="3">
        <f t="shared" si="88"/>
        <v>3550</v>
      </c>
      <c r="H49" s="3">
        <v>3550</v>
      </c>
      <c r="I49" s="3">
        <v>6722</v>
      </c>
      <c r="J49" s="3">
        <f t="shared" si="89"/>
        <v>3898</v>
      </c>
      <c r="K49" s="3">
        <v>3898</v>
      </c>
      <c r="L49" s="3">
        <v>6693</v>
      </c>
      <c r="M49" s="3">
        <f>L49+'Income Statement '!M23</f>
        <v>8954.6277520000003</v>
      </c>
      <c r="N49" s="3">
        <f>M49</f>
        <v>8954.6277520000003</v>
      </c>
      <c r="O49" s="3">
        <f>N49+'Income Statement '!O23</f>
        <v>12374.744414000001</v>
      </c>
      <c r="P49" s="3">
        <f>O49+'Income Statement '!P23</f>
        <v>14408.604044600001</v>
      </c>
      <c r="Q49" s="3">
        <f>P49</f>
        <v>14408.604044600001</v>
      </c>
      <c r="R49" s="3">
        <f>Q49+'Income Statement '!R23</f>
        <v>18141.289648870003</v>
      </c>
      <c r="S49" s="3">
        <f>R49+'Income Statement '!S23</f>
        <v>20472.170206460003</v>
      </c>
      <c r="T49" s="3">
        <f>S49</f>
        <v>20472.170206460003</v>
      </c>
      <c r="U49" s="3">
        <f>T49+'Income Statement '!U23</f>
        <v>24546.713113092952</v>
      </c>
      <c r="V49" s="3">
        <f>U49+'Income Statement '!V23</f>
        <v>27212.685224506004</v>
      </c>
      <c r="W49" s="3">
        <f>V49</f>
        <v>27212.685224506004</v>
      </c>
      <c r="X49" s="3">
        <f>W49+'Income Statement '!X23</f>
        <v>31660.863304202754</v>
      </c>
      <c r="Y49" s="3">
        <f>X49+'Income Statement '!Y23</f>
        <v>34704.243984356603</v>
      </c>
      <c r="Z49" s="3">
        <f>Y49</f>
        <v>34704.243984356603</v>
      </c>
      <c r="AA49" s="3">
        <f>Z49+'Income Statement '!AA23</f>
        <v>39560.536226827579</v>
      </c>
      <c r="AB49" s="3">
        <f>AA49+'Income Statement '!AB23</f>
        <v>43028.350860192266</v>
      </c>
      <c r="AC49" s="3">
        <f>AB49</f>
        <v>43028.350860192266</v>
      </c>
      <c r="AE49" s="3"/>
      <c r="AF49" s="3"/>
    </row>
    <row r="50" spans="2:32" x14ac:dyDescent="0.3">
      <c r="B50" s="1" t="s">
        <v>89</v>
      </c>
      <c r="C50" s="4">
        <f t="shared" ref="C50:F50" si="92">SUM(C46:C49)</f>
        <v>6818</v>
      </c>
      <c r="D50" s="4">
        <f t="shared" ref="D50" si="93">SUM(D46:D49)</f>
        <v>6897</v>
      </c>
      <c r="E50" s="4">
        <f t="shared" ref="E50" si="94">SUM(E46:E49)</f>
        <v>6897</v>
      </c>
      <c r="F50" s="4">
        <f t="shared" si="92"/>
        <v>7658</v>
      </c>
      <c r="G50" s="4">
        <f t="shared" ref="G50" si="95">SUM(G46:G49)</f>
        <v>7798</v>
      </c>
      <c r="H50" s="4">
        <f t="shared" ref="H50" si="96">SUM(H46:H49)</f>
        <v>7798</v>
      </c>
      <c r="I50" s="4">
        <f>SUM(I46:I49)</f>
        <v>9766</v>
      </c>
      <c r="J50" s="4">
        <f t="shared" ref="J50:U50" si="97">SUM(J46:J49)</f>
        <v>7822</v>
      </c>
      <c r="K50" s="4">
        <f t="shared" si="97"/>
        <v>7822</v>
      </c>
      <c r="L50" s="4">
        <f t="shared" si="97"/>
        <v>9791</v>
      </c>
      <c r="M50" s="4">
        <f t="shared" si="97"/>
        <v>12052.627752</v>
      </c>
      <c r="N50" s="4">
        <f t="shared" si="97"/>
        <v>12052.627752</v>
      </c>
      <c r="O50" s="4">
        <f t="shared" si="97"/>
        <v>15472.744414000001</v>
      </c>
      <c r="P50" s="4">
        <f t="shared" si="97"/>
        <v>17506.604044600001</v>
      </c>
      <c r="Q50" s="4">
        <f t="shared" si="97"/>
        <v>17506.604044600001</v>
      </c>
      <c r="R50" s="4">
        <f t="shared" si="97"/>
        <v>21239.289648870003</v>
      </c>
      <c r="S50" s="4">
        <f t="shared" si="97"/>
        <v>23570.170206460003</v>
      </c>
      <c r="T50" s="4">
        <f t="shared" ref="T50" si="98">SUM(T46:T49)</f>
        <v>23570.170206460003</v>
      </c>
      <c r="U50" s="4">
        <f t="shared" si="97"/>
        <v>27644.713113092952</v>
      </c>
      <c r="V50" s="4">
        <f t="shared" ref="V50" si="99">SUM(V46:V49)</f>
        <v>30310.685224506004</v>
      </c>
      <c r="W50" s="4">
        <f t="shared" ref="W50:X50" si="100">SUM(W46:W49)</f>
        <v>30310.685224506004</v>
      </c>
      <c r="X50" s="4">
        <f t="shared" si="100"/>
        <v>34758.86330420275</v>
      </c>
      <c r="Y50" s="4">
        <f t="shared" ref="Y50" si="101">SUM(Y46:Y49)</f>
        <v>37802.243984356603</v>
      </c>
      <c r="Z50" s="4">
        <f t="shared" ref="Z50:AA50" si="102">SUM(Z46:Z49)</f>
        <v>37802.243984356603</v>
      </c>
      <c r="AA50" s="4">
        <f t="shared" si="102"/>
        <v>42658.536226827579</v>
      </c>
      <c r="AB50" s="4">
        <f t="shared" ref="AB50" si="103">SUM(AB46:AB49)</f>
        <v>46126.350860192266</v>
      </c>
      <c r="AC50" s="4">
        <f t="shared" ref="AC50" si="104">SUM(AC46:AC49)</f>
        <v>46126.350860192266</v>
      </c>
    </row>
    <row r="51" spans="2:32" x14ac:dyDescent="0.3">
      <c r="B51" s="8" t="s">
        <v>23</v>
      </c>
      <c r="C51" s="3">
        <v>1560</v>
      </c>
      <c r="D51" s="3">
        <f>E51</f>
        <v>1534</v>
      </c>
      <c r="E51" s="3">
        <v>1534</v>
      </c>
      <c r="F51" s="3">
        <v>1673</v>
      </c>
      <c r="G51" s="3">
        <f>H51</f>
        <v>1716</v>
      </c>
      <c r="H51" s="3">
        <v>1716</v>
      </c>
      <c r="I51" s="3">
        <v>2073</v>
      </c>
      <c r="J51" s="3">
        <f>K51</f>
        <v>1470</v>
      </c>
      <c r="K51" s="3">
        <v>1470</v>
      </c>
      <c r="L51" s="3">
        <v>1933</v>
      </c>
      <c r="M51" s="3">
        <f>L51+'Income Statement '!M25</f>
        <v>2065</v>
      </c>
      <c r="N51" s="3">
        <f>M51</f>
        <v>2065</v>
      </c>
      <c r="O51" s="3">
        <f>N51+'Income Statement '!O25</f>
        <v>2065</v>
      </c>
      <c r="P51" s="3">
        <f>O51+'Income Statement '!P25</f>
        <v>2065</v>
      </c>
      <c r="Q51" s="3">
        <f>P51+'Income Statement '!Q25</f>
        <v>2065</v>
      </c>
      <c r="R51" s="3">
        <f>Q51+'Income Statement '!R25</f>
        <v>2065</v>
      </c>
      <c r="S51" s="3">
        <f>R51+'Income Statement '!S25</f>
        <v>2065</v>
      </c>
      <c r="T51" s="3">
        <f>S51+'Income Statement '!T25</f>
        <v>2065</v>
      </c>
      <c r="U51" s="3">
        <f>T51+'Income Statement '!U25</f>
        <v>2065</v>
      </c>
      <c r="V51" s="3">
        <f>U51+'Income Statement '!V25</f>
        <v>2065</v>
      </c>
      <c r="W51" s="3">
        <f>V51+'Income Statement '!W25</f>
        <v>2065</v>
      </c>
      <c r="X51" s="3">
        <f>W51+'Income Statement '!X25</f>
        <v>2065</v>
      </c>
      <c r="Y51" s="3">
        <f>X51+'Income Statement '!Y25</f>
        <v>2065</v>
      </c>
      <c r="Z51" s="3">
        <f>Y51+'Income Statement '!Z25</f>
        <v>2065</v>
      </c>
      <c r="AA51" s="3">
        <f>Z51+'Income Statement '!AA25</f>
        <v>2065</v>
      </c>
      <c r="AB51" s="3">
        <f>AA51+'Income Statement '!AB25</f>
        <v>2065</v>
      </c>
      <c r="AC51" s="3">
        <f>AB51+'Income Statement '!AC25</f>
        <v>2065</v>
      </c>
      <c r="AE51" s="3"/>
    </row>
    <row r="52" spans="2:32" x14ac:dyDescent="0.3">
      <c r="B52" s="9" t="s">
        <v>90</v>
      </c>
      <c r="C52" s="4">
        <f t="shared" ref="C52:F52" si="105">C50+C51</f>
        <v>8378</v>
      </c>
      <c r="D52" s="4">
        <f t="shared" ref="D52" si="106">D50+D51</f>
        <v>8431</v>
      </c>
      <c r="E52" s="4">
        <f t="shared" ref="E52" si="107">E50+E51</f>
        <v>8431</v>
      </c>
      <c r="F52" s="4">
        <f t="shared" si="105"/>
        <v>9331</v>
      </c>
      <c r="G52" s="4">
        <f t="shared" ref="G52" si="108">G50+G51</f>
        <v>9514</v>
      </c>
      <c r="H52" s="4">
        <f t="shared" ref="H52" si="109">H50+H51</f>
        <v>9514</v>
      </c>
      <c r="I52" s="4">
        <f>I50+I51</f>
        <v>11839</v>
      </c>
      <c r="J52" s="4">
        <f t="shared" ref="J52:U52" si="110">J50+J51</f>
        <v>9292</v>
      </c>
      <c r="K52" s="4">
        <f t="shared" si="110"/>
        <v>9292</v>
      </c>
      <c r="L52" s="4">
        <f t="shared" si="110"/>
        <v>11724</v>
      </c>
      <c r="M52" s="4">
        <f t="shared" si="110"/>
        <v>14117.627752</v>
      </c>
      <c r="N52" s="4">
        <f t="shared" si="110"/>
        <v>14117.627752</v>
      </c>
      <c r="O52" s="4">
        <f t="shared" si="110"/>
        <v>17537.744414000001</v>
      </c>
      <c r="P52" s="4">
        <f t="shared" si="110"/>
        <v>19571.604044600001</v>
      </c>
      <c r="Q52" s="4">
        <f t="shared" si="110"/>
        <v>19571.604044600001</v>
      </c>
      <c r="R52" s="4">
        <f t="shared" si="110"/>
        <v>23304.289648870003</v>
      </c>
      <c r="S52" s="4">
        <f t="shared" si="110"/>
        <v>25635.170206460003</v>
      </c>
      <c r="T52" s="4">
        <f t="shared" ref="T52" si="111">T50+T51</f>
        <v>25635.170206460003</v>
      </c>
      <c r="U52" s="4">
        <f t="shared" si="110"/>
        <v>29709.713113092952</v>
      </c>
      <c r="V52" s="4">
        <f t="shared" ref="V52" si="112">V50+V51</f>
        <v>32375.685224506004</v>
      </c>
      <c r="W52" s="4">
        <f t="shared" ref="W52:X52" si="113">W50+W51</f>
        <v>32375.685224506004</v>
      </c>
      <c r="X52" s="4">
        <f t="shared" si="113"/>
        <v>36823.86330420275</v>
      </c>
      <c r="Y52" s="4">
        <f t="shared" ref="Y52" si="114">Y50+Y51</f>
        <v>39867.243984356603</v>
      </c>
      <c r="Z52" s="4">
        <f t="shared" ref="Z52:AA52" si="115">Z50+Z51</f>
        <v>39867.243984356603</v>
      </c>
      <c r="AA52" s="4">
        <f t="shared" si="115"/>
        <v>44723.536226827579</v>
      </c>
      <c r="AB52" s="4">
        <f t="shared" ref="AB52" si="116">AB50+AB51</f>
        <v>48191.350860192266</v>
      </c>
      <c r="AC52" s="4">
        <f t="shared" ref="AC52" si="117">AC50+AC51</f>
        <v>48191.350860192266</v>
      </c>
    </row>
    <row r="54" spans="2:32" s="12" customFormat="1" x14ac:dyDescent="0.3">
      <c r="B54" s="11" t="s">
        <v>138</v>
      </c>
      <c r="C54" s="13">
        <f>C24-C34-C43-C52</f>
        <v>0</v>
      </c>
      <c r="D54" s="13">
        <f t="shared" ref="D54:E54" si="118">D24-D34-D43-D52</f>
        <v>0</v>
      </c>
      <c r="E54" s="13">
        <f t="shared" si="118"/>
        <v>0</v>
      </c>
      <c r="F54" s="13">
        <f t="shared" ref="F54:AC54" si="119">F24-F34-F43-F52</f>
        <v>0</v>
      </c>
      <c r="G54" s="13">
        <f t="shared" si="119"/>
        <v>0</v>
      </c>
      <c r="H54" s="13">
        <f t="shared" si="119"/>
        <v>0</v>
      </c>
      <c r="I54" s="13">
        <f t="shared" si="119"/>
        <v>0</v>
      </c>
      <c r="J54" s="13">
        <f t="shared" si="119"/>
        <v>0</v>
      </c>
      <c r="K54" s="13">
        <f t="shared" si="119"/>
        <v>0</v>
      </c>
      <c r="L54" s="13">
        <f t="shared" si="119"/>
        <v>0</v>
      </c>
      <c r="M54" s="13">
        <f t="shared" ref="M54" si="120">M24-M34-M43-M52</f>
        <v>0</v>
      </c>
      <c r="N54" s="13">
        <f t="shared" si="119"/>
        <v>0</v>
      </c>
      <c r="O54" s="13">
        <f t="shared" si="119"/>
        <v>0</v>
      </c>
      <c r="P54" s="13">
        <f t="shared" ref="P54" si="121">P24-P34-P43-P52</f>
        <v>0</v>
      </c>
      <c r="Q54" s="13">
        <f t="shared" si="119"/>
        <v>0</v>
      </c>
      <c r="R54" s="13">
        <f t="shared" si="119"/>
        <v>0</v>
      </c>
      <c r="S54" s="13">
        <f t="shared" ref="S54" si="122">S24-S34-S43-S52</f>
        <v>0</v>
      </c>
      <c r="T54" s="13">
        <f t="shared" si="119"/>
        <v>0</v>
      </c>
      <c r="U54" s="13">
        <f t="shared" si="119"/>
        <v>0</v>
      </c>
      <c r="V54" s="13">
        <f t="shared" ref="V54" si="123">V24-V34-V43-V52</f>
        <v>0</v>
      </c>
      <c r="W54" s="13">
        <f t="shared" si="119"/>
        <v>0</v>
      </c>
      <c r="X54" s="13">
        <f t="shared" si="119"/>
        <v>0</v>
      </c>
      <c r="Y54" s="13">
        <f t="shared" ref="Y54" si="124">Y24-Y34-Y43-Y52</f>
        <v>0</v>
      </c>
      <c r="Z54" s="13">
        <f t="shared" si="119"/>
        <v>0</v>
      </c>
      <c r="AA54" s="13">
        <f t="shared" si="119"/>
        <v>0</v>
      </c>
      <c r="AB54" s="13">
        <f t="shared" ref="AB54" si="125">AB24-AB34-AB43-AB52</f>
        <v>0</v>
      </c>
      <c r="AC54" s="13">
        <f t="shared" si="119"/>
        <v>0</v>
      </c>
    </row>
    <row r="55" spans="2:32" x14ac:dyDescent="0.3">
      <c r="N55" s="3"/>
    </row>
    <row r="56" spans="2:32" x14ac:dyDescent="0.3">
      <c r="B56" s="1" t="s">
        <v>55</v>
      </c>
      <c r="M56" s="3"/>
    </row>
    <row r="58" spans="2:32" x14ac:dyDescent="0.3">
      <c r="B58" t="s">
        <v>158</v>
      </c>
      <c r="F58" s="3"/>
      <c r="G58" s="3"/>
      <c r="H58" s="3"/>
      <c r="I58" s="3"/>
      <c r="J58" s="3"/>
      <c r="K58" s="3">
        <f>9569-K59-K61</f>
        <v>8402</v>
      </c>
      <c r="L58" s="3">
        <f>L65+L62-L59</f>
        <v>8041</v>
      </c>
      <c r="M58" s="3">
        <f>L65</f>
        <v>8212</v>
      </c>
      <c r="N58" s="3">
        <f>L58</f>
        <v>8041</v>
      </c>
      <c r="O58" s="3">
        <f>N65</f>
        <v>8195.6813949999996</v>
      </c>
      <c r="P58" s="3">
        <f>O65</f>
        <v>8407.7876388549994</v>
      </c>
      <c r="Q58" s="3">
        <f>N65</f>
        <v>8195.6813949999996</v>
      </c>
      <c r="R58" s="3">
        <f>Q65</f>
        <v>8430.0216087733952</v>
      </c>
      <c r="S58" s="3">
        <f>R65</f>
        <v>8683.4499963009512</v>
      </c>
      <c r="T58" s="3">
        <f>Q65</f>
        <v>8430.0216087733952</v>
      </c>
      <c r="U58" s="3">
        <f>T65</f>
        <v>8745.7532048646044</v>
      </c>
      <c r="V58" s="3">
        <f>U65</f>
        <v>9040.8810226053847</v>
      </c>
      <c r="W58" s="3">
        <f>T65</f>
        <v>8745.7532048646044</v>
      </c>
      <c r="X58" s="3">
        <f>W65</f>
        <v>9145.2951720086348</v>
      </c>
      <c r="Y58" s="3">
        <f>X65</f>
        <v>9482.7612390761242</v>
      </c>
      <c r="Z58" s="3">
        <f>W65</f>
        <v>9145.2951720086348</v>
      </c>
      <c r="AA58" s="3">
        <f>Z65</f>
        <v>9631.880439062812</v>
      </c>
      <c r="AB58" s="3">
        <f>AA65</f>
        <v>10012.576312781932</v>
      </c>
      <c r="AC58" s="3">
        <f>Z65</f>
        <v>9631.880439062812</v>
      </c>
    </row>
    <row r="59" spans="2:32" x14ac:dyDescent="0.3">
      <c r="B59" t="s">
        <v>114</v>
      </c>
      <c r="C59" s="3">
        <f>-'Cash Flow'!C26</f>
        <v>250</v>
      </c>
      <c r="D59" s="3">
        <f>-'Cash Flow'!D26</f>
        <v>376</v>
      </c>
      <c r="E59" s="3">
        <f>-'Cash Flow'!E26</f>
        <v>626</v>
      </c>
      <c r="F59" s="3">
        <f>-'Cash Flow'!F26</f>
        <v>382</v>
      </c>
      <c r="G59" s="3">
        <f>-'Cash Flow'!G26</f>
        <v>715</v>
      </c>
      <c r="H59" s="3">
        <f>-'Cash Flow'!H26</f>
        <v>1097</v>
      </c>
      <c r="I59" s="3">
        <f>-'Cash Flow'!I26</f>
        <v>514</v>
      </c>
      <c r="J59" s="3">
        <f>-'Cash Flow'!J26</f>
        <v>666</v>
      </c>
      <c r="K59" s="3">
        <f>-'Cash Flow'!K26</f>
        <v>1180</v>
      </c>
      <c r="L59" s="3">
        <f>-'Cash Flow'!L26</f>
        <v>582</v>
      </c>
      <c r="M59" s="14">
        <f>M60*'Income Statement '!M5</f>
        <v>402.49339500000002</v>
      </c>
      <c r="N59" s="3">
        <f>L59+M59</f>
        <v>984.49339499999996</v>
      </c>
      <c r="O59" s="14">
        <f>O60*'Income Statement '!O5</f>
        <v>630.08599500000003</v>
      </c>
      <c r="P59" s="14">
        <f>P60*'Income Statement '!P5</f>
        <v>451.03113949999994</v>
      </c>
      <c r="Q59" s="3">
        <f>O59+P59</f>
        <v>1081.1171345</v>
      </c>
      <c r="R59" s="14">
        <f>R60*'Income Statement '!R5</f>
        <v>683.359489575</v>
      </c>
      <c r="S59" s="14">
        <f>S60*'Income Statement '!S5</f>
        <v>505.159158375</v>
      </c>
      <c r="T59" s="3">
        <f>R59+S59</f>
        <v>1188.5186479500001</v>
      </c>
      <c r="U59" s="14">
        <f>U60*'Income Statement '!U5</f>
        <v>741.16123118887504</v>
      </c>
      <c r="V59" s="14">
        <f>V60*'Income Statement '!V5</f>
        <v>565.49908155612502</v>
      </c>
      <c r="W59" s="3">
        <f>U59+V59</f>
        <v>1306.6603127450001</v>
      </c>
      <c r="X59" s="14">
        <f>X60*'Income Statement '!X5</f>
        <v>803.8761208399294</v>
      </c>
      <c r="Y59" s="14">
        <f>Y60*'Income Statement '!Y5</f>
        <v>632.7400231795707</v>
      </c>
      <c r="Z59" s="3">
        <f>X59+Y59</f>
        <v>1436.6161440195001</v>
      </c>
      <c r="AA59" s="14">
        <f>AA60*'Income Statement '!AA5</f>
        <v>871.92177611132342</v>
      </c>
      <c r="AB59" s="14">
        <f>AB60*'Income Statement '!AB5</f>
        <v>707.64578231012672</v>
      </c>
      <c r="AC59" s="3">
        <f>AA59+AB59</f>
        <v>1579.56755842145</v>
      </c>
    </row>
    <row r="60" spans="2:32" x14ac:dyDescent="0.3">
      <c r="C60" s="3"/>
      <c r="D60" s="3"/>
      <c r="E60" s="3"/>
      <c r="F60" s="3"/>
      <c r="G60" s="3"/>
      <c r="H60" s="3"/>
      <c r="I60" s="3"/>
      <c r="J60" s="3"/>
      <c r="K60" s="3"/>
      <c r="L60" s="20">
        <f>L59/'Income Statement '!L5</f>
        <v>5.3092501368363437E-2</v>
      </c>
      <c r="M60" s="21">
        <v>5.2999999999999999E-2</v>
      </c>
      <c r="N60" s="3"/>
      <c r="O60" s="21">
        <v>5.2999999999999999E-2</v>
      </c>
      <c r="P60" s="21">
        <v>5.2999999999999999E-2</v>
      </c>
      <c r="Q60" s="3"/>
      <c r="R60" s="21">
        <v>5.2999999999999999E-2</v>
      </c>
      <c r="S60" s="21">
        <v>5.2999999999999999E-2</v>
      </c>
      <c r="T60" s="3"/>
      <c r="U60" s="21">
        <v>5.2999999999999999E-2</v>
      </c>
      <c r="V60" s="21">
        <v>5.2999999999999999E-2</v>
      </c>
      <c r="W60" s="3"/>
      <c r="X60" s="21">
        <v>5.2999999999999999E-2</v>
      </c>
      <c r="Y60" s="21">
        <v>5.2999999999999999E-2</v>
      </c>
      <c r="Z60" s="3"/>
      <c r="AA60" s="21">
        <v>5.2999999999999999E-2</v>
      </c>
      <c r="AB60" s="21">
        <v>5.2999999999999999E-2</v>
      </c>
      <c r="AC60" s="3"/>
    </row>
    <row r="61" spans="2:32" x14ac:dyDescent="0.3">
      <c r="B61" t="s">
        <v>157</v>
      </c>
      <c r="C61" s="3">
        <f>-'Cash Flow'!C25</f>
        <v>-8</v>
      </c>
      <c r="D61" s="3">
        <f>-'Cash Flow'!D25</f>
        <v>-5</v>
      </c>
      <c r="E61" s="3">
        <f>-'Cash Flow'!E25</f>
        <v>-13</v>
      </c>
      <c r="F61" s="3">
        <f>-'Cash Flow'!F25</f>
        <v>-7</v>
      </c>
      <c r="G61" s="3">
        <f>-'Cash Flow'!G25</f>
        <v>-10</v>
      </c>
      <c r="H61" s="3">
        <f>-'Cash Flow'!H25</f>
        <v>-17</v>
      </c>
      <c r="I61" s="3">
        <f>-'Cash Flow'!I25</f>
        <v>-8</v>
      </c>
      <c r="J61" s="3">
        <f>-'Cash Flow'!J25</f>
        <v>-5</v>
      </c>
      <c r="K61" s="3">
        <f>-'Cash Flow'!K25</f>
        <v>-13</v>
      </c>
      <c r="L61" s="3">
        <f>-'Cash Flow'!L25</f>
        <v>-7</v>
      </c>
    </row>
    <row r="62" spans="2:32" x14ac:dyDescent="0.3">
      <c r="B62" t="s">
        <v>159</v>
      </c>
      <c r="F62" s="3"/>
      <c r="G62" s="3"/>
      <c r="H62" s="3"/>
      <c r="I62" s="3"/>
      <c r="J62" s="3"/>
      <c r="K62" s="3">
        <v>1066</v>
      </c>
      <c r="L62" s="3">
        <f>'Income Statement '!L13</f>
        <v>411</v>
      </c>
      <c r="M62" s="16">
        <f>M63*M58</f>
        <v>418.81199999999995</v>
      </c>
      <c r="N62" s="16">
        <f>L62+M62</f>
        <v>829.8119999999999</v>
      </c>
      <c r="O62" s="16">
        <f>O63*O58</f>
        <v>417.97975114499997</v>
      </c>
      <c r="P62" s="16">
        <f>P63*P58</f>
        <v>428.79716958160492</v>
      </c>
      <c r="Q62" s="16">
        <f>O62+P62</f>
        <v>846.77692072660489</v>
      </c>
      <c r="R62" s="16">
        <f>R63*R58</f>
        <v>429.93110204744312</v>
      </c>
      <c r="S62" s="16">
        <f>S63*S58</f>
        <v>442.85594981134847</v>
      </c>
      <c r="T62" s="16">
        <f>R62+S62</f>
        <v>872.78705185879153</v>
      </c>
      <c r="U62" s="16">
        <f>U63*U58</f>
        <v>446.03341344809479</v>
      </c>
      <c r="V62" s="16">
        <f>V63*V58</f>
        <v>461.08493215287461</v>
      </c>
      <c r="W62" s="16">
        <f>U62+V62</f>
        <v>907.11834560096941</v>
      </c>
      <c r="X62" s="16">
        <f>X63*X58</f>
        <v>466.41005377244034</v>
      </c>
      <c r="Y62" s="16">
        <f>Y63*Y58</f>
        <v>483.62082319288231</v>
      </c>
      <c r="Z62" s="16">
        <f>X62+Y62</f>
        <v>950.0308769653227</v>
      </c>
      <c r="AA62" s="16">
        <f>AA63*AA58</f>
        <v>491.22590239220341</v>
      </c>
      <c r="AB62" s="16">
        <f>AB63*AB58</f>
        <v>510.64139195187852</v>
      </c>
      <c r="AC62" s="16">
        <f>AA62+AB62</f>
        <v>1001.867294344082</v>
      </c>
    </row>
    <row r="63" spans="2:32" x14ac:dyDescent="0.3">
      <c r="B63" t="s">
        <v>154</v>
      </c>
      <c r="F63" s="6"/>
      <c r="K63" s="6"/>
      <c r="L63" s="19">
        <f>L62/L58</f>
        <v>5.1113045641089414E-2</v>
      </c>
      <c r="M63" s="21">
        <v>5.0999999999999997E-2</v>
      </c>
      <c r="N63" s="19">
        <f>N62/N58</f>
        <v>0.10319761223728391</v>
      </c>
      <c r="O63" s="21">
        <v>5.0999999999999997E-2</v>
      </c>
      <c r="P63" s="21">
        <v>5.0999999999999997E-2</v>
      </c>
      <c r="Q63" s="19">
        <f>Q62/Q58</f>
        <v>0.10331989250377697</v>
      </c>
      <c r="R63" s="21">
        <v>5.0999999999999997E-2</v>
      </c>
      <c r="S63" s="21">
        <v>5.0999999999999997E-2</v>
      </c>
      <c r="T63" s="19">
        <f>T62/T58</f>
        <v>0.10353319272046159</v>
      </c>
      <c r="U63" s="21">
        <v>5.0999999999999997E-2</v>
      </c>
      <c r="V63" s="21">
        <v>5.0999999999999997E-2</v>
      </c>
      <c r="W63" s="19">
        <f>W62/W58</f>
        <v>0.10372100885449269</v>
      </c>
      <c r="X63" s="21">
        <v>5.0999999999999997E-2</v>
      </c>
      <c r="Y63" s="21">
        <v>5.0999999999999997E-2</v>
      </c>
      <c r="Z63" s="19">
        <f>Z62/Z58</f>
        <v>0.10388192607201129</v>
      </c>
      <c r="AA63" s="21">
        <v>5.0999999999999997E-2</v>
      </c>
      <c r="AB63" s="21">
        <v>5.0999999999999997E-2</v>
      </c>
      <c r="AC63" s="19">
        <f>AC62/AC58</f>
        <v>0.10401575275799045</v>
      </c>
    </row>
    <row r="65" spans="2:29" x14ac:dyDescent="0.3">
      <c r="B65" t="s">
        <v>156</v>
      </c>
      <c r="C65" s="3">
        <f t="shared" ref="C65:K65" si="126">C5</f>
        <v>4757</v>
      </c>
      <c r="D65" s="3">
        <f t="shared" si="126"/>
        <v>4849</v>
      </c>
      <c r="E65" s="3">
        <f t="shared" si="126"/>
        <v>4849</v>
      </c>
      <c r="F65" s="3">
        <f t="shared" si="126"/>
        <v>5091</v>
      </c>
      <c r="G65" s="3">
        <f t="shared" si="126"/>
        <v>5848</v>
      </c>
      <c r="H65" s="3">
        <f t="shared" si="126"/>
        <v>5848</v>
      </c>
      <c r="I65" s="3">
        <f t="shared" si="126"/>
        <v>7168</v>
      </c>
      <c r="J65" s="3">
        <f t="shared" si="126"/>
        <v>6142</v>
      </c>
      <c r="K65" s="3">
        <f t="shared" si="126"/>
        <v>6142</v>
      </c>
      <c r="L65" s="3">
        <f>L5</f>
        <v>8212</v>
      </c>
      <c r="M65" s="3">
        <f t="shared" ref="M65:AC65" si="127">M58+M59-M62</f>
        <v>8195.6813949999996</v>
      </c>
      <c r="N65" s="3">
        <f t="shared" si="127"/>
        <v>8195.6813949999996</v>
      </c>
      <c r="O65" s="3">
        <f t="shared" si="127"/>
        <v>8407.7876388549994</v>
      </c>
      <c r="P65" s="3">
        <f t="shared" si="127"/>
        <v>8430.0216087733952</v>
      </c>
      <c r="Q65" s="3">
        <f t="shared" si="127"/>
        <v>8430.0216087733952</v>
      </c>
      <c r="R65" s="3">
        <f t="shared" si="127"/>
        <v>8683.4499963009512</v>
      </c>
      <c r="S65" s="3">
        <f t="shared" si="127"/>
        <v>8745.7532048646026</v>
      </c>
      <c r="T65" s="3">
        <f t="shared" si="127"/>
        <v>8745.7532048646044</v>
      </c>
      <c r="U65" s="3">
        <f t="shared" si="127"/>
        <v>9040.8810226053847</v>
      </c>
      <c r="V65" s="3">
        <f t="shared" si="127"/>
        <v>9145.2951720086348</v>
      </c>
      <c r="W65" s="3">
        <f t="shared" si="127"/>
        <v>9145.2951720086348</v>
      </c>
      <c r="X65" s="3">
        <f t="shared" si="127"/>
        <v>9482.7612390761242</v>
      </c>
      <c r="Y65" s="3">
        <f t="shared" si="127"/>
        <v>9631.880439062812</v>
      </c>
      <c r="Z65" s="3">
        <f t="shared" si="127"/>
        <v>9631.880439062812</v>
      </c>
      <c r="AA65" s="3">
        <f t="shared" si="127"/>
        <v>10012.576312781932</v>
      </c>
      <c r="AB65" s="3">
        <f t="shared" si="127"/>
        <v>10209.58070314018</v>
      </c>
      <c r="AC65" s="3">
        <f t="shared" si="127"/>
        <v>10209.58070314018</v>
      </c>
    </row>
    <row r="67" spans="2:29" x14ac:dyDescent="0.3">
      <c r="K67" s="3"/>
      <c r="N67" s="17"/>
    </row>
    <row r="68" spans="2:29" x14ac:dyDescent="0.3">
      <c r="B68" s="1" t="s">
        <v>160</v>
      </c>
    </row>
    <row r="69" spans="2:29" x14ac:dyDescent="0.3">
      <c r="C69">
        <f>91.25*2</f>
        <v>182.5</v>
      </c>
      <c r="D69">
        <f>91.25*2</f>
        <v>182.5</v>
      </c>
      <c r="E69">
        <v>365</v>
      </c>
      <c r="F69">
        <f>91.25*2</f>
        <v>182.5</v>
      </c>
      <c r="G69">
        <f>91.25*2</f>
        <v>182.5</v>
      </c>
      <c r="H69">
        <v>365</v>
      </c>
      <c r="I69">
        <f>91.25*2</f>
        <v>182.5</v>
      </c>
      <c r="J69">
        <f>91.25*2</f>
        <v>182.5</v>
      </c>
      <c r="K69">
        <v>365</v>
      </c>
      <c r="L69">
        <v>183</v>
      </c>
      <c r="M69">
        <v>183</v>
      </c>
      <c r="N69">
        <v>366</v>
      </c>
      <c r="O69">
        <f>91.25*2</f>
        <v>182.5</v>
      </c>
      <c r="P69">
        <f>91.25*2</f>
        <v>182.5</v>
      </c>
      <c r="Q69">
        <v>365</v>
      </c>
      <c r="R69">
        <f>91.25*2</f>
        <v>182.5</v>
      </c>
      <c r="S69">
        <f>91.25*2</f>
        <v>182.5</v>
      </c>
      <c r="T69">
        <v>365</v>
      </c>
      <c r="U69">
        <f>91.25*2</f>
        <v>182.5</v>
      </c>
      <c r="V69">
        <f>91.25*2</f>
        <v>182.5</v>
      </c>
      <c r="W69">
        <v>365</v>
      </c>
      <c r="X69">
        <v>183</v>
      </c>
      <c r="Y69">
        <v>183</v>
      </c>
      <c r="Z69">
        <v>366</v>
      </c>
      <c r="AA69">
        <f>91.25*2</f>
        <v>182.5</v>
      </c>
      <c r="AB69">
        <f>91.25*2</f>
        <v>182.5</v>
      </c>
      <c r="AC69">
        <v>365</v>
      </c>
    </row>
    <row r="70" spans="2:29" x14ac:dyDescent="0.3">
      <c r="B70" t="s">
        <v>65</v>
      </c>
      <c r="C70" s="3">
        <f>C16</f>
        <v>5750</v>
      </c>
      <c r="D70" s="3">
        <f t="shared" ref="D70:L70" si="128">D16</f>
        <v>6045</v>
      </c>
      <c r="E70" s="3">
        <f t="shared" si="128"/>
        <v>6045</v>
      </c>
      <c r="F70" s="3">
        <f t="shared" si="128"/>
        <v>6235</v>
      </c>
      <c r="G70" s="3">
        <f t="shared" si="128"/>
        <v>7094</v>
      </c>
      <c r="H70" s="3">
        <f t="shared" si="128"/>
        <v>7094</v>
      </c>
      <c r="I70" s="3">
        <f t="shared" si="128"/>
        <v>9062</v>
      </c>
      <c r="J70" s="3">
        <f t="shared" si="128"/>
        <v>7661</v>
      </c>
      <c r="K70" s="3">
        <f t="shared" si="128"/>
        <v>7661</v>
      </c>
      <c r="L70" s="3">
        <f t="shared" si="128"/>
        <v>9840</v>
      </c>
      <c r="M70" s="3">
        <f>N70</f>
        <v>10140.008196721314</v>
      </c>
      <c r="N70" s="3">
        <f>'Income Statement '!N6*'Balance Sheet'!N74/'Balance Sheet'!N69</f>
        <v>10140.008196721314</v>
      </c>
      <c r="O70" s="3">
        <f>'Income Statement '!O6*'Balance Sheet'!O74/'Balance Sheet'!O69</f>
        <v>11399.849999999999</v>
      </c>
      <c r="P70" s="3">
        <f>Q70</f>
        <v>9780.0722945205471</v>
      </c>
      <c r="Q70" s="3">
        <f>'Income Statement '!Q6*'Balance Sheet'!Q74/'Balance Sheet'!Q69</f>
        <v>9780.0722945205471</v>
      </c>
      <c r="R70" s="3">
        <f>'Income Statement '!R6*'Balance Sheet'!R74/'Balance Sheet'!R69</f>
        <v>12363.70231849315</v>
      </c>
      <c r="S70" s="3">
        <f>T70</f>
        <v>10751.654866438357</v>
      </c>
      <c r="T70" s="3">
        <f>'Income Statement '!T6*'Balance Sheet'!T74/'Balance Sheet'!T69</f>
        <v>10751.654866438357</v>
      </c>
      <c r="U70" s="3">
        <f>'Income Statement '!U6*'Balance Sheet'!U74/'Balance Sheet'!U69</f>
        <v>13409.48208405822</v>
      </c>
      <c r="V70" s="3">
        <f>W70</f>
        <v>11820.395695547946</v>
      </c>
      <c r="W70" s="3">
        <f>'Income Statement '!W6*'Balance Sheet'!W74/'Balance Sheet'!W69</f>
        <v>11820.395695547946</v>
      </c>
      <c r="X70" s="3">
        <f>'Income Statement '!X6*'Balance Sheet'!X74/'Balance Sheet'!X69</f>
        <v>14504.415006391137</v>
      </c>
      <c r="Y70" s="3">
        <f>Z70</f>
        <v>12960.502381864755</v>
      </c>
      <c r="Z70" s="3">
        <f>'Income Statement '!Z6*'Balance Sheet'!Z74/'Balance Sheet'!Z69</f>
        <v>12960.502381864755</v>
      </c>
      <c r="AA70" s="3">
        <f>'Income Statement '!AA6*'Balance Sheet'!AA74/'Balance Sheet'!AA69</f>
        <v>15775.271214213655</v>
      </c>
      <c r="AB70" s="3">
        <f>AC70</f>
        <v>14289.187010791095</v>
      </c>
      <c r="AC70" s="3">
        <f>'Income Statement '!AC6*'Balance Sheet'!AC74/'Balance Sheet'!AC69</f>
        <v>14289.187010791095</v>
      </c>
    </row>
    <row r="71" spans="2:29" x14ac:dyDescent="0.3">
      <c r="B71" t="s">
        <v>161</v>
      </c>
      <c r="C71" s="3">
        <f>C17</f>
        <v>3075</v>
      </c>
      <c r="D71" s="3">
        <f t="shared" ref="D71:L71" si="129">D17</f>
        <v>2385</v>
      </c>
      <c r="E71" s="3">
        <f t="shared" si="129"/>
        <v>2385</v>
      </c>
      <c r="F71" s="3">
        <f t="shared" si="129"/>
        <v>3328</v>
      </c>
      <c r="G71" s="3">
        <f t="shared" si="129"/>
        <v>2933</v>
      </c>
      <c r="H71" s="3">
        <f t="shared" si="129"/>
        <v>2933</v>
      </c>
      <c r="I71" s="3">
        <f t="shared" si="129"/>
        <v>4648</v>
      </c>
      <c r="J71" s="3">
        <f t="shared" si="129"/>
        <v>2720</v>
      </c>
      <c r="K71" s="3">
        <f t="shared" si="129"/>
        <v>2720</v>
      </c>
      <c r="L71" s="3">
        <f t="shared" si="129"/>
        <v>4580</v>
      </c>
      <c r="M71" s="3">
        <f t="shared" ref="M71:M72" si="130">N71</f>
        <v>3876.457977558839</v>
      </c>
      <c r="N71" s="3">
        <f>N75*'Income Statement '!N5/'Balance Sheet'!N69</f>
        <v>3876.457977558839</v>
      </c>
      <c r="O71" s="3">
        <f>O75*'Income Statement '!O5/'Balance Sheet'!O69</f>
        <v>4950.7920000000004</v>
      </c>
      <c r="P71" s="3">
        <f t="shared" ref="P71:P72" si="131">Q71</f>
        <v>4247.3456821917807</v>
      </c>
      <c r="Q71" s="3">
        <f>Q75*'Income Statement '!Q5/'Balance Sheet'!Q69</f>
        <v>4247.3456821917807</v>
      </c>
      <c r="R71" s="3">
        <f>R75*'Income Statement '!R5/'Balance Sheet'!R69</f>
        <v>5369.37929260274</v>
      </c>
      <c r="S71" s="3">
        <f t="shared" ref="S71:S72" si="132">T71</f>
        <v>4669.2901134246576</v>
      </c>
      <c r="T71" s="3">
        <f>T75*'Income Statement '!T5/'Balance Sheet'!T69</f>
        <v>4669.2901134246576</v>
      </c>
      <c r="U71" s="3">
        <f>U75*'Income Statement '!U5/'Balance Sheet'!U69</f>
        <v>5823.5465050767125</v>
      </c>
      <c r="V71" s="3">
        <f t="shared" ref="V71:V72" si="133">W71</f>
        <v>5133.4289877808224</v>
      </c>
      <c r="W71" s="3">
        <f>W75*'Income Statement '!W5/'Balance Sheet'!W69</f>
        <v>5133.4289877808224</v>
      </c>
      <c r="X71" s="3">
        <f>X75*'Income Statement '!X5/'Balance Sheet'!X69</f>
        <v>6299.0602313470081</v>
      </c>
      <c r="Y71" s="3">
        <f t="shared" ref="Y71:Y72" si="134">Z71</f>
        <v>5628.5610344098359</v>
      </c>
      <c r="Z71" s="3">
        <f>Z75*'Income Statement '!Z5/'Balance Sheet'!Z69</f>
        <v>5628.5610344098359</v>
      </c>
      <c r="AA71" s="3">
        <f>AA75*'Income Statement '!AA5/'Balance Sheet'!AA69</f>
        <v>6850.9749273156458</v>
      </c>
      <c r="AB71" s="3">
        <f t="shared" ref="AB71:AB72" si="135">AC71</f>
        <v>6205.5897875435621</v>
      </c>
      <c r="AC71" s="3">
        <f>AC75*'Income Statement '!AC5/'Balance Sheet'!AC69</f>
        <v>6205.5897875435621</v>
      </c>
    </row>
    <row r="72" spans="2:29" x14ac:dyDescent="0.3">
      <c r="B72" t="s">
        <v>162</v>
      </c>
      <c r="C72" s="3">
        <f>C30</f>
        <v>4624</v>
      </c>
      <c r="D72" s="3">
        <f t="shared" ref="D72:L72" si="136">D30</f>
        <v>4648</v>
      </c>
      <c r="E72" s="3">
        <f t="shared" si="136"/>
        <v>4648</v>
      </c>
      <c r="F72" s="3">
        <f t="shared" si="136"/>
        <v>5327</v>
      </c>
      <c r="G72" s="3">
        <f t="shared" si="136"/>
        <v>5887</v>
      </c>
      <c r="H72" s="3">
        <f t="shared" si="136"/>
        <v>5887</v>
      </c>
      <c r="I72" s="3">
        <f t="shared" si="136"/>
        <v>7332</v>
      </c>
      <c r="J72" s="3">
        <f t="shared" si="136"/>
        <v>5300</v>
      </c>
      <c r="K72" s="3">
        <f t="shared" si="136"/>
        <v>5300</v>
      </c>
      <c r="L72" s="3">
        <f t="shared" si="136"/>
        <v>7292</v>
      </c>
      <c r="M72" s="3">
        <f t="shared" si="130"/>
        <v>6381.1327413345925</v>
      </c>
      <c r="N72" s="3">
        <f>'Income Statement '!N6*'Balance Sheet'!N76/'Balance Sheet'!N69</f>
        <v>6381.1327413345925</v>
      </c>
      <c r="O72" s="3">
        <f>'Income Statement '!O6*'Balance Sheet'!O76/'Balance Sheet'!O69</f>
        <v>7181.9054999999998</v>
      </c>
      <c r="P72" s="3">
        <f t="shared" si="131"/>
        <v>6161.4455455479456</v>
      </c>
      <c r="Q72" s="3">
        <f>'Income Statement '!Q6*'Balance Sheet'!Q76/'Balance Sheet'!Q69</f>
        <v>6161.4455455479456</v>
      </c>
      <c r="R72" s="3">
        <f>'Income Statement '!R6*'Balance Sheet'!R76/'Balance Sheet'!R69</f>
        <v>7789.1324606506832</v>
      </c>
      <c r="S72" s="3">
        <f t="shared" si="132"/>
        <v>6773.5425658561644</v>
      </c>
      <c r="T72" s="3">
        <f>'Income Statement '!T6*'Balance Sheet'!T76/'Balance Sheet'!T69</f>
        <v>6773.5425658561644</v>
      </c>
      <c r="U72" s="3">
        <f>'Income Statement '!U6*'Balance Sheet'!U76/'Balance Sheet'!U69</f>
        <v>8447.9737129566784</v>
      </c>
      <c r="V72" s="3">
        <f t="shared" si="133"/>
        <v>7446.8492881952061</v>
      </c>
      <c r="W72" s="3">
        <f>'Income Statement '!W6*'Balance Sheet'!W76/'Balance Sheet'!W69</f>
        <v>7446.8492881952061</v>
      </c>
      <c r="X72" s="3">
        <f>'Income Statement '!X6*'Balance Sheet'!X76/'Balance Sheet'!X69</f>
        <v>9137.7814540264153</v>
      </c>
      <c r="Y72" s="3">
        <f t="shared" si="134"/>
        <v>8165.1165005747953</v>
      </c>
      <c r="Z72" s="3">
        <f>'Income Statement '!Z6*'Balance Sheet'!Z76/'Balance Sheet'!Z69</f>
        <v>8165.1165005747953</v>
      </c>
      <c r="AA72" s="3">
        <f>'Income Statement '!AA6*'Balance Sheet'!AA76/'Balance Sheet'!AA69</f>
        <v>9938.4208649546035</v>
      </c>
      <c r="AB72" s="3">
        <f t="shared" si="135"/>
        <v>9002.1878167983905</v>
      </c>
      <c r="AC72" s="3">
        <f>'Income Statement '!AC6*'Balance Sheet'!AC76/'Balance Sheet'!AC69</f>
        <v>9002.1878167983905</v>
      </c>
    </row>
    <row r="74" spans="2:29" x14ac:dyDescent="0.3">
      <c r="B74" t="s">
        <v>163</v>
      </c>
      <c r="C74" s="16">
        <f>C70/'Income Statement '!C6*C69</f>
        <v>394.35362645621944</v>
      </c>
      <c r="D74" s="16">
        <f>D70/'Income Statement '!D6*D69</f>
        <v>464.11968868321412</v>
      </c>
      <c r="E74" s="16">
        <f>E70/'Income Statement '!E6*E69</f>
        <v>437.95653036919407</v>
      </c>
      <c r="F74" s="16">
        <f>F70/'Income Statement '!F6*F69</f>
        <v>385.07191201353635</v>
      </c>
      <c r="G74" s="16">
        <f>G70/'Income Statement '!G6*G69</f>
        <v>428.9777998674619</v>
      </c>
      <c r="H74" s="16">
        <f>H70/'Income Statement '!H6*H69</f>
        <v>433.50242759082539</v>
      </c>
      <c r="I74" s="16">
        <f>I70/'Income Statement '!I6*I69</f>
        <v>386.49567655994394</v>
      </c>
      <c r="J74" s="16">
        <f>J70/'Income Statement '!J6*J69</f>
        <v>533.63835877862596</v>
      </c>
      <c r="K74" s="16">
        <f>K70/'Income Statement '!K6*K69</f>
        <v>405.31453833888969</v>
      </c>
      <c r="L74" s="16">
        <f>L70/'Income Statement '!L6*L69</f>
        <v>424.5979721763735</v>
      </c>
      <c r="M74" s="16">
        <f>M70/'Income Statement '!M6*M69</f>
        <v>583.256220520851</v>
      </c>
      <c r="N74" s="16">
        <v>500</v>
      </c>
      <c r="O74" s="16">
        <v>500</v>
      </c>
      <c r="P74" s="16">
        <f>P70/'Income Statement '!P6*P69</f>
        <v>599.24750190114082</v>
      </c>
      <c r="Q74" s="22">
        <v>500</v>
      </c>
      <c r="R74" s="22">
        <v>500</v>
      </c>
      <c r="S74" s="16">
        <f>S70/'Income Statement '!S6*S69</f>
        <v>588.1901912722102</v>
      </c>
      <c r="T74" s="22">
        <v>500</v>
      </c>
      <c r="U74" s="22">
        <v>500</v>
      </c>
      <c r="V74" s="16">
        <f>V70/'Income Statement '!V6*V69</f>
        <v>577.65801721081834</v>
      </c>
      <c r="W74" s="22">
        <v>500</v>
      </c>
      <c r="X74" s="22">
        <v>500</v>
      </c>
      <c r="Y74" s="16">
        <f>Y70/'Income Statement '!Y6*Y69</f>
        <v>567.61706680114276</v>
      </c>
      <c r="Z74" s="22">
        <v>500</v>
      </c>
      <c r="AA74" s="22">
        <v>500</v>
      </c>
      <c r="AB74" s="16">
        <f>AB70/'Income Statement '!AB6*AB69</f>
        <v>558.03609585042466</v>
      </c>
      <c r="AC74" s="22">
        <v>500</v>
      </c>
    </row>
    <row r="75" spans="2:29" x14ac:dyDescent="0.3">
      <c r="B75" t="s">
        <v>164</v>
      </c>
      <c r="C75" s="16">
        <f>C71/'Income Statement '!C5*'Balance Sheet'!C69</f>
        <v>81.63914751236544</v>
      </c>
      <c r="D75" s="16">
        <f>D71/'Income Statement '!D5*'Balance Sheet'!D69</f>
        <v>74.289554531490012</v>
      </c>
      <c r="E75" s="16">
        <f>E71/'Income Statement '!E5*'Balance Sheet'!E69</f>
        <v>68.367627424801697</v>
      </c>
      <c r="F75" s="16">
        <f>F71/'Income Statement '!F5*'Balance Sheet'!F69</f>
        <v>76.330275229357795</v>
      </c>
      <c r="G75" s="16">
        <f>G71/'Income Statement '!G5*'Balance Sheet'!G69</f>
        <v>71.417278185456965</v>
      </c>
      <c r="H75" s="16">
        <f>H71/'Income Statement '!H5*'Balance Sheet'!H69</f>
        <v>69.281969971524717</v>
      </c>
      <c r="I75" s="16">
        <f>I71/'Income Statement '!I5*'Balance Sheet'!I69</f>
        <v>76.282374100719423</v>
      </c>
      <c r="J75" s="16">
        <f>J71/'Income Statement '!J5*'Balance Sheet'!J69</f>
        <v>82.829968296345726</v>
      </c>
      <c r="K75" s="16">
        <f>K71/'Income Statement '!K5*'Balance Sheet'!K69</f>
        <v>58.014375036521947</v>
      </c>
      <c r="L75" s="16">
        <f>L71/'Income Statement '!L5*'Balance Sheet'!L69</f>
        <v>76.458675424192663</v>
      </c>
      <c r="M75" s="16">
        <f>M71/'Income Statement '!M5*'Balance Sheet'!M69</f>
        <v>93.412131457071922</v>
      </c>
      <c r="N75" s="16">
        <f>L75</f>
        <v>76.458675424192663</v>
      </c>
      <c r="O75" s="16">
        <v>76</v>
      </c>
      <c r="P75" s="16">
        <f>P71/'Income Statement '!P5*'Balance Sheet'!P69</f>
        <v>91.085620288973431</v>
      </c>
      <c r="Q75" s="22">
        <v>76</v>
      </c>
      <c r="R75" s="22">
        <v>76</v>
      </c>
      <c r="S75" s="16">
        <f>S71/'Income Statement '!S5*'Balance Sheet'!S69</f>
        <v>89.404909073375961</v>
      </c>
      <c r="T75" s="22">
        <v>76</v>
      </c>
      <c r="U75" s="22">
        <v>76</v>
      </c>
      <c r="V75" s="16">
        <f>V71/'Income Statement '!V5*'Balance Sheet'!V69</f>
        <v>87.804018616044374</v>
      </c>
      <c r="W75" s="22">
        <v>76</v>
      </c>
      <c r="X75" s="22">
        <v>76</v>
      </c>
      <c r="Y75" s="16">
        <f>Y71/'Income Statement '!Y5*'Balance Sheet'!Y69</f>
        <v>86.277794153773698</v>
      </c>
      <c r="Z75" s="22">
        <v>76</v>
      </c>
      <c r="AA75" s="22">
        <v>76</v>
      </c>
      <c r="AB75" s="16">
        <f>AB71/'Income Statement '!AB5*'Balance Sheet'!AB69</f>
        <v>84.821486569264536</v>
      </c>
      <c r="AC75" s="22">
        <v>76</v>
      </c>
    </row>
    <row r="76" spans="2:29" x14ac:dyDescent="0.3">
      <c r="B76" t="s">
        <v>165</v>
      </c>
      <c r="C76" s="16">
        <f>C72/'Income Statement '!C6*C69</f>
        <v>317.12889891018415</v>
      </c>
      <c r="D76" s="16">
        <f>D72/'Income Statement '!D6*D69</f>
        <v>356.86159023979809</v>
      </c>
      <c r="E76" s="16">
        <f>E72/'Income Statement '!E6*E69</f>
        <v>336.74473997618099</v>
      </c>
      <c r="F76" s="16">
        <f>F72/'Income Statement '!F6*F69</f>
        <v>328.99407783417939</v>
      </c>
      <c r="G76" s="16">
        <f>G72/'Income Statement '!G6*G69</f>
        <v>355.98989396951623</v>
      </c>
      <c r="H76" s="16">
        <f>H72/'Income Statement '!H6*H69</f>
        <v>359.74468441319266</v>
      </c>
      <c r="I76" s="16">
        <f>I72/'Income Statement '!I6*I69</f>
        <v>312.71091376489835</v>
      </c>
      <c r="J76" s="16">
        <f>J72/'Income Statement '!J6*J69</f>
        <v>369.17938931297715</v>
      </c>
      <c r="K76" s="16">
        <f>K72/'Income Statement '!K6*K69</f>
        <v>280.40295695028266</v>
      </c>
      <c r="L76" s="16">
        <f>L72/'Income Statement '!L6*L69</f>
        <v>314.65126149493045</v>
      </c>
      <c r="M76" s="16">
        <f>M72/'Income Statement '!M6*M69</f>
        <v>367.04461112330216</v>
      </c>
      <c r="N76" s="16">
        <f>L76</f>
        <v>314.65126149493045</v>
      </c>
      <c r="O76" s="16">
        <v>315</v>
      </c>
      <c r="P76" s="16">
        <f>P72/'Income Statement '!P6*P69</f>
        <v>377.52592619771883</v>
      </c>
      <c r="Q76" s="22">
        <v>315</v>
      </c>
      <c r="R76" s="22">
        <v>315</v>
      </c>
      <c r="S76" s="16">
        <f>S72/'Income Statement '!S6*S69</f>
        <v>370.55982050149237</v>
      </c>
      <c r="T76" s="22">
        <v>315</v>
      </c>
      <c r="U76" s="22">
        <v>315</v>
      </c>
      <c r="V76" s="16">
        <f>V72/'Income Statement '!V6*V69</f>
        <v>363.92455084281556</v>
      </c>
      <c r="W76" s="22">
        <v>315</v>
      </c>
      <c r="X76" s="22">
        <v>315</v>
      </c>
      <c r="Y76" s="16">
        <f>Y72/'Income Statement '!Y6*Y69</f>
        <v>357.59875208471993</v>
      </c>
      <c r="Z76" s="22">
        <v>315</v>
      </c>
      <c r="AA76" s="22">
        <v>315</v>
      </c>
      <c r="AB76" s="16">
        <f>AB72/'Income Statement '!AB6*AB69</f>
        <v>351.5627403857676</v>
      </c>
      <c r="AC76" s="22">
        <v>315</v>
      </c>
    </row>
    <row r="78" spans="2:29" x14ac:dyDescent="0.3">
      <c r="B78" s="1" t="s">
        <v>166</v>
      </c>
    </row>
    <row r="79" spans="2:29" x14ac:dyDescent="0.3">
      <c r="B79" s="1" t="s">
        <v>169</v>
      </c>
      <c r="F79">
        <f t="shared" ref="F79:K79" si="137">C81</f>
        <v>14063</v>
      </c>
      <c r="G79">
        <f t="shared" si="137"/>
        <v>12865</v>
      </c>
      <c r="H79">
        <f t="shared" si="137"/>
        <v>12865</v>
      </c>
      <c r="I79">
        <f t="shared" si="137"/>
        <v>12693</v>
      </c>
      <c r="J79">
        <f t="shared" si="137"/>
        <v>14498</v>
      </c>
      <c r="K79">
        <f t="shared" si="137"/>
        <v>14498</v>
      </c>
      <c r="L79">
        <f>K81</f>
        <v>14801</v>
      </c>
      <c r="M79">
        <f>L81</f>
        <v>19476</v>
      </c>
      <c r="N79">
        <f>L79</f>
        <v>14801</v>
      </c>
      <c r="O79">
        <f>N81</f>
        <v>19976</v>
      </c>
      <c r="P79">
        <f>O81</f>
        <v>20476</v>
      </c>
      <c r="Q79">
        <f>O79</f>
        <v>19976</v>
      </c>
      <c r="R79">
        <f>Q81</f>
        <v>20976</v>
      </c>
      <c r="S79">
        <f>R81</f>
        <v>21476</v>
      </c>
      <c r="T79">
        <f>R79</f>
        <v>20976</v>
      </c>
      <c r="U79">
        <f>T81</f>
        <v>21976</v>
      </c>
      <c r="V79">
        <f>U81</f>
        <v>22476</v>
      </c>
      <c r="W79">
        <f>U79</f>
        <v>21976</v>
      </c>
      <c r="X79">
        <f>W81</f>
        <v>22976</v>
      </c>
      <c r="Y79">
        <f>X81</f>
        <v>23476</v>
      </c>
      <c r="Z79">
        <f>X79</f>
        <v>22976</v>
      </c>
      <c r="AA79">
        <f>Z81</f>
        <v>23976</v>
      </c>
      <c r="AB79">
        <f>AA81</f>
        <v>24476</v>
      </c>
      <c r="AC79">
        <f>AA79</f>
        <v>23976</v>
      </c>
    </row>
    <row r="80" spans="2:29" x14ac:dyDescent="0.3">
      <c r="B80" t="s">
        <v>168</v>
      </c>
      <c r="F80">
        <f t="shared" ref="F80:L80" si="138">F81-F79</f>
        <v>-1370</v>
      </c>
      <c r="G80">
        <f t="shared" si="138"/>
        <v>1633</v>
      </c>
      <c r="H80">
        <f t="shared" si="138"/>
        <v>1633</v>
      </c>
      <c r="I80">
        <f t="shared" si="138"/>
        <v>5672</v>
      </c>
      <c r="J80">
        <f t="shared" si="138"/>
        <v>303</v>
      </c>
      <c r="K80">
        <f t="shared" si="138"/>
        <v>303</v>
      </c>
      <c r="L80">
        <f t="shared" si="138"/>
        <v>4675</v>
      </c>
      <c r="M80">
        <v>500</v>
      </c>
      <c r="N80">
        <f>L80+M80</f>
        <v>5175</v>
      </c>
      <c r="O80">
        <v>500</v>
      </c>
      <c r="P80">
        <v>500</v>
      </c>
      <c r="Q80">
        <f>O80+P80</f>
        <v>1000</v>
      </c>
      <c r="R80">
        <v>500</v>
      </c>
      <c r="S80">
        <v>500</v>
      </c>
      <c r="T80">
        <f>R80+S80</f>
        <v>1000</v>
      </c>
      <c r="U80">
        <v>500</v>
      </c>
      <c r="V80">
        <v>500</v>
      </c>
      <c r="W80">
        <f>U80+V80</f>
        <v>1000</v>
      </c>
      <c r="X80">
        <v>500</v>
      </c>
      <c r="Y80">
        <v>500</v>
      </c>
      <c r="Z80">
        <f>X80+Y80</f>
        <v>1000</v>
      </c>
      <c r="AA80">
        <v>500</v>
      </c>
      <c r="AB80">
        <v>500</v>
      </c>
      <c r="AC80">
        <f>AA80+AB80</f>
        <v>1000</v>
      </c>
    </row>
    <row r="81" spans="2:29" x14ac:dyDescent="0.3">
      <c r="B81" s="1" t="str">
        <f t="shared" ref="B81:L81" si="139">B37</f>
        <v xml:space="preserve">Borrowings </v>
      </c>
      <c r="C81">
        <f t="shared" si="139"/>
        <v>14063</v>
      </c>
      <c r="D81">
        <f t="shared" si="139"/>
        <v>12865</v>
      </c>
      <c r="E81">
        <f t="shared" si="139"/>
        <v>12865</v>
      </c>
      <c r="F81">
        <f t="shared" si="139"/>
        <v>12693</v>
      </c>
      <c r="G81">
        <f t="shared" si="139"/>
        <v>14498</v>
      </c>
      <c r="H81">
        <f t="shared" si="139"/>
        <v>14498</v>
      </c>
      <c r="I81">
        <f t="shared" si="139"/>
        <v>18365</v>
      </c>
      <c r="J81">
        <f t="shared" si="139"/>
        <v>14801</v>
      </c>
      <c r="K81">
        <f t="shared" si="139"/>
        <v>14801</v>
      </c>
      <c r="L81">
        <f t="shared" si="139"/>
        <v>19476</v>
      </c>
      <c r="M81">
        <f t="shared" ref="M81:AC81" si="140">M79+M80</f>
        <v>19976</v>
      </c>
      <c r="N81">
        <f t="shared" si="140"/>
        <v>19976</v>
      </c>
      <c r="O81">
        <f t="shared" si="140"/>
        <v>20476</v>
      </c>
      <c r="P81">
        <f t="shared" si="140"/>
        <v>20976</v>
      </c>
      <c r="Q81">
        <f t="shared" si="140"/>
        <v>20976</v>
      </c>
      <c r="R81">
        <f t="shared" si="140"/>
        <v>21476</v>
      </c>
      <c r="S81">
        <f t="shared" si="140"/>
        <v>21976</v>
      </c>
      <c r="T81">
        <f t="shared" si="140"/>
        <v>21976</v>
      </c>
      <c r="U81">
        <f t="shared" si="140"/>
        <v>22476</v>
      </c>
      <c r="V81">
        <f t="shared" si="140"/>
        <v>22976</v>
      </c>
      <c r="W81">
        <f t="shared" si="140"/>
        <v>22976</v>
      </c>
      <c r="X81">
        <f t="shared" si="140"/>
        <v>23476</v>
      </c>
      <c r="Y81">
        <f t="shared" si="140"/>
        <v>23976</v>
      </c>
      <c r="Z81">
        <f t="shared" si="140"/>
        <v>23976</v>
      </c>
      <c r="AA81">
        <f t="shared" si="140"/>
        <v>24476</v>
      </c>
      <c r="AB81">
        <f t="shared" si="140"/>
        <v>24976</v>
      </c>
      <c r="AC81">
        <f t="shared" si="140"/>
        <v>24976</v>
      </c>
    </row>
    <row r="82" spans="2:29" x14ac:dyDescent="0.3">
      <c r="B82" s="5" t="s">
        <v>167</v>
      </c>
      <c r="C82" s="3">
        <f>-'Income Statement '!C18</f>
        <v>327</v>
      </c>
      <c r="D82" s="3">
        <f>-'Income Statement '!D18</f>
        <v>324</v>
      </c>
      <c r="E82" s="3">
        <f>-'Income Statement '!E18</f>
        <v>651</v>
      </c>
      <c r="F82" s="3">
        <f>-'Income Statement '!F18</f>
        <v>310</v>
      </c>
      <c r="G82" s="3">
        <f>-'Income Statement '!G18</f>
        <v>609</v>
      </c>
      <c r="H82" s="3">
        <f>-'Income Statement '!H18</f>
        <v>919</v>
      </c>
      <c r="I82" s="3">
        <f>-'Income Statement '!I18</f>
        <v>648</v>
      </c>
      <c r="J82" s="3">
        <f>-'Income Statement '!J18</f>
        <v>286</v>
      </c>
      <c r="K82" s="3">
        <f>-'Income Statement '!K18</f>
        <v>934</v>
      </c>
      <c r="L82" s="3">
        <f>-'Income Statement '!L18</f>
        <v>718</v>
      </c>
      <c r="M82">
        <f>M81*M83</f>
        <v>799.04</v>
      </c>
      <c r="N82" s="3">
        <f>L82+M82</f>
        <v>1517.04</v>
      </c>
      <c r="O82">
        <f>O81*O83</f>
        <v>819.04</v>
      </c>
      <c r="P82">
        <f>P81*P83</f>
        <v>839.04</v>
      </c>
      <c r="Q82">
        <f>O82+P82</f>
        <v>1658.08</v>
      </c>
      <c r="R82">
        <f>R81*R83</f>
        <v>859.04</v>
      </c>
      <c r="S82">
        <f>S81*S83</f>
        <v>879.04</v>
      </c>
      <c r="T82">
        <f>R82+S82</f>
        <v>1738.08</v>
      </c>
      <c r="U82">
        <f>U81*U83</f>
        <v>899.04</v>
      </c>
      <c r="V82">
        <f>V81*V83</f>
        <v>919.04</v>
      </c>
      <c r="W82">
        <f>U82+V82</f>
        <v>1818.08</v>
      </c>
      <c r="X82">
        <f>X81*X83</f>
        <v>939.04</v>
      </c>
      <c r="Y82">
        <f>Y81*Y83</f>
        <v>959.04</v>
      </c>
      <c r="Z82">
        <f>X82+Y82</f>
        <v>1898.08</v>
      </c>
      <c r="AA82">
        <f>AA81*AA83</f>
        <v>979.04</v>
      </c>
      <c r="AB82">
        <f>AB81*AB83</f>
        <v>999.04000000000008</v>
      </c>
      <c r="AC82">
        <f>AA82+AB82</f>
        <v>1978.08</v>
      </c>
    </row>
    <row r="83" spans="2:29" x14ac:dyDescent="0.3">
      <c r="C83" s="7">
        <f t="shared" ref="C83:L83" si="141">C82/C81</f>
        <v>2.3252506577543911E-2</v>
      </c>
      <c r="D83" s="7">
        <f t="shared" si="141"/>
        <v>2.5184609405363389E-2</v>
      </c>
      <c r="E83" s="7">
        <f t="shared" si="141"/>
        <v>5.0602409638554217E-2</v>
      </c>
      <c r="F83" s="7">
        <f t="shared" si="141"/>
        <v>2.4422910265500669E-2</v>
      </c>
      <c r="G83" s="7">
        <f t="shared" si="141"/>
        <v>4.2005793902607259E-2</v>
      </c>
      <c r="H83" s="7">
        <f t="shared" si="141"/>
        <v>6.338805352462408E-2</v>
      </c>
      <c r="I83" s="7">
        <f t="shared" si="141"/>
        <v>3.5284508576095837E-2</v>
      </c>
      <c r="J83" s="7">
        <f t="shared" si="141"/>
        <v>1.9323018714951692E-2</v>
      </c>
      <c r="K83" s="7">
        <f t="shared" si="141"/>
        <v>6.3103844334842243E-2</v>
      </c>
      <c r="L83" s="7">
        <f t="shared" si="141"/>
        <v>3.6865886218936127E-2</v>
      </c>
      <c r="M83" s="49">
        <v>0.04</v>
      </c>
      <c r="N83" s="7">
        <f>N82/N81</f>
        <v>7.5943131758109725E-2</v>
      </c>
      <c r="O83" s="49">
        <v>0.04</v>
      </c>
      <c r="P83" s="49">
        <v>0.04</v>
      </c>
      <c r="Q83" s="7">
        <f>Q82/Q81</f>
        <v>7.904652936689549E-2</v>
      </c>
      <c r="R83" s="49">
        <v>0.04</v>
      </c>
      <c r="S83" s="49">
        <v>0.04</v>
      </c>
      <c r="T83" s="7">
        <f>T82/T81</f>
        <v>7.9089916272297042E-2</v>
      </c>
      <c r="U83" s="49">
        <v>0.04</v>
      </c>
      <c r="V83" s="49">
        <v>0.04</v>
      </c>
      <c r="W83" s="7">
        <f>W82/W81</f>
        <v>7.9129526462395544E-2</v>
      </c>
      <c r="X83" s="49">
        <v>0.04</v>
      </c>
      <c r="Y83" s="49">
        <v>0.04</v>
      </c>
      <c r="Z83" s="7">
        <f>Z82/Z81</f>
        <v>7.9165832499165825E-2</v>
      </c>
      <c r="AA83" s="49">
        <v>0.04</v>
      </c>
      <c r="AB83" s="49">
        <v>0.04</v>
      </c>
      <c r="AC83" s="7">
        <f>AC82/AC81</f>
        <v>7.9199231262011532E-2</v>
      </c>
    </row>
    <row r="85" spans="2:29" ht="15" thickBot="1" x14ac:dyDescent="0.35">
      <c r="B85" s="1"/>
    </row>
    <row r="86" spans="2:29" x14ac:dyDescent="0.3">
      <c r="B86" s="23" t="s">
        <v>170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2:29" x14ac:dyDescent="0.3">
      <c r="B87" s="26" t="s">
        <v>169</v>
      </c>
      <c r="E87" s="27"/>
      <c r="F87" s="1">
        <f>E91</f>
        <v>3184</v>
      </c>
      <c r="G87" s="1">
        <f>F91</f>
        <v>4019</v>
      </c>
      <c r="H87" s="28">
        <f>E91</f>
        <v>3184</v>
      </c>
      <c r="I87" s="1">
        <f>H91</f>
        <v>3550</v>
      </c>
      <c r="J87" s="1">
        <f>I91</f>
        <v>6722</v>
      </c>
      <c r="K87" s="28">
        <f>H91</f>
        <v>3550</v>
      </c>
      <c r="L87" s="1">
        <f>K91</f>
        <v>3898</v>
      </c>
      <c r="M87" s="1">
        <f>L91</f>
        <v>6693</v>
      </c>
      <c r="N87" s="28">
        <f>K91</f>
        <v>3898</v>
      </c>
      <c r="O87" s="4">
        <f>N91</f>
        <v>8369.6277520000003</v>
      </c>
      <c r="P87" s="4">
        <f>O91</f>
        <v>11789.744414000001</v>
      </c>
      <c r="Q87" s="44">
        <f>O87</f>
        <v>8369.6277520000003</v>
      </c>
      <c r="R87" s="4">
        <f>Q91</f>
        <v>13823.604044600001</v>
      </c>
      <c r="S87" s="4">
        <f>R91</f>
        <v>17556.289648870003</v>
      </c>
      <c r="T87" s="44">
        <f>Q91</f>
        <v>13823.604044600001</v>
      </c>
      <c r="U87" s="4">
        <f>T91</f>
        <v>19887.170206460003</v>
      </c>
      <c r="V87" s="4">
        <f>U91</f>
        <v>23961.713113092952</v>
      </c>
      <c r="W87" s="44">
        <f>T91</f>
        <v>19887.170206460003</v>
      </c>
      <c r="X87" s="4">
        <f>W91</f>
        <v>26627.685224506004</v>
      </c>
      <c r="Y87" s="4">
        <f>X91</f>
        <v>31075.863304202754</v>
      </c>
      <c r="Z87" s="44">
        <f>W91</f>
        <v>26627.685224506004</v>
      </c>
      <c r="AA87" s="4">
        <f>Z91</f>
        <v>34119.243984356603</v>
      </c>
      <c r="AB87" s="4">
        <f>AA91</f>
        <v>38975.536226827579</v>
      </c>
      <c r="AC87" s="44">
        <f>Z91</f>
        <v>34119.243984356603</v>
      </c>
    </row>
    <row r="88" spans="2:29" x14ac:dyDescent="0.3">
      <c r="B88" s="29" t="s">
        <v>171</v>
      </c>
      <c r="E88" s="30"/>
      <c r="F88" s="3">
        <f>'Income Statement '!F23</f>
        <v>2088</v>
      </c>
      <c r="G88">
        <f>'Income Statement '!G23</f>
        <v>1896</v>
      </c>
      <c r="H88" s="31">
        <f>'Income Statement '!H23</f>
        <v>3984</v>
      </c>
      <c r="I88">
        <f>'Income Statement '!I23</f>
        <v>2841</v>
      </c>
      <c r="J88">
        <f>'Income Statement '!J23</f>
        <v>1991</v>
      </c>
      <c r="K88" s="30">
        <f>'Income Statement '!K23</f>
        <v>4832</v>
      </c>
      <c r="L88">
        <f>'Income Statement '!L23</f>
        <v>2342</v>
      </c>
      <c r="M88" s="3">
        <f>'Income Statement '!M26</f>
        <v>2129.6277519999994</v>
      </c>
      <c r="N88" s="43">
        <f>L88+M88</f>
        <v>4471.6277519999994</v>
      </c>
      <c r="O88" s="3">
        <f>'Income Statement '!O23</f>
        <v>3420.1166620000013</v>
      </c>
      <c r="P88" s="3">
        <f>'Income Statement '!P23</f>
        <v>2033.8596305999997</v>
      </c>
      <c r="Q88" s="43">
        <f>O88+P88</f>
        <v>5453.9762926000012</v>
      </c>
      <c r="R88" s="3">
        <f>'Income Statement '!R23</f>
        <v>3732.685604270001</v>
      </c>
      <c r="S88" s="3">
        <f>'Income Statement '!S23</f>
        <v>2330.8805575899992</v>
      </c>
      <c r="T88" s="43">
        <f>R88+S88</f>
        <v>6063.5661618600006</v>
      </c>
      <c r="U88" s="3">
        <f>'Income Statement '!U23</f>
        <v>4074.5429066329502</v>
      </c>
      <c r="V88" s="3">
        <f>'Income Statement '!V23</f>
        <v>2665.9721114130507</v>
      </c>
      <c r="W88" s="43">
        <f>U88+V88</f>
        <v>6740.5150180460005</v>
      </c>
      <c r="X88" s="3">
        <f>'Income Statement '!X23</f>
        <v>4448.1780796967514</v>
      </c>
      <c r="Y88" s="3">
        <f>'Income Statement '!Y23</f>
        <v>3043.3806801538494</v>
      </c>
      <c r="Z88" s="43">
        <f>X88+Y88</f>
        <v>7491.5587598506008</v>
      </c>
      <c r="AA88" s="3">
        <f>'Income Statement '!AA23</f>
        <v>4856.292242470975</v>
      </c>
      <c r="AB88" s="3">
        <f>'Income Statement '!AB23</f>
        <v>3467.8146333646873</v>
      </c>
      <c r="AC88" s="43">
        <f>AA88+AB88</f>
        <v>8324.1068758356632</v>
      </c>
    </row>
    <row r="89" spans="2:29" x14ac:dyDescent="0.3">
      <c r="B89" s="32" t="s">
        <v>172</v>
      </c>
      <c r="C89" s="6"/>
      <c r="D89" s="6"/>
      <c r="E89" s="33"/>
      <c r="F89" s="2">
        <f>'Cash Flow'!F43</f>
        <v>-1040</v>
      </c>
      <c r="G89" s="2">
        <f>'[1]Financial Statements'!G188</f>
        <v>0</v>
      </c>
      <c r="H89" s="34">
        <f>'[1]Financial Statements'!H188</f>
        <v>0</v>
      </c>
      <c r="I89" s="2">
        <f>'[1]Financial Statements'!I188</f>
        <v>0</v>
      </c>
      <c r="J89" s="2">
        <f>'[1]Financial Statements'!J188</f>
        <v>0</v>
      </c>
      <c r="K89" s="34">
        <f>'[1]Financial Statements'!K188</f>
        <v>0</v>
      </c>
      <c r="L89" s="2">
        <f>'[1]Financial Statements'!L188</f>
        <v>0</v>
      </c>
      <c r="M89" s="2">
        <f>N89-L89</f>
        <v>0</v>
      </c>
      <c r="N89" s="35">
        <f>'[1]Financial Statements'!N188</f>
        <v>0</v>
      </c>
      <c r="O89" s="45"/>
      <c r="P89" s="45"/>
      <c r="Q89" s="46"/>
      <c r="R89" s="45"/>
      <c r="S89" s="45"/>
      <c r="T89" s="46"/>
      <c r="U89" s="45"/>
      <c r="V89" s="45"/>
      <c r="W89" s="46"/>
      <c r="X89" s="45"/>
      <c r="Y89" s="45"/>
      <c r="Z89" s="46"/>
      <c r="AA89" s="45"/>
      <c r="AB89" s="45"/>
      <c r="AC89" s="46"/>
    </row>
    <row r="90" spans="2:29" x14ac:dyDescent="0.3">
      <c r="B90" s="36" t="s">
        <v>173</v>
      </c>
      <c r="E90" s="30"/>
      <c r="F90" s="2">
        <f>-(+F87+F88+F89-F91)</f>
        <v>-213</v>
      </c>
      <c r="G90">
        <f t="shared" ref="G90:L90" si="142">-(+G87+G88+G89-G91)</f>
        <v>-2365</v>
      </c>
      <c r="H90" s="30">
        <f t="shared" si="142"/>
        <v>-3618</v>
      </c>
      <c r="I90">
        <f t="shared" si="142"/>
        <v>331</v>
      </c>
      <c r="J90">
        <f t="shared" si="142"/>
        <v>-4815</v>
      </c>
      <c r="K90" s="30">
        <f t="shared" si="142"/>
        <v>-4484</v>
      </c>
      <c r="L90">
        <f t="shared" si="142"/>
        <v>453</v>
      </c>
      <c r="M90" s="15">
        <f>L90</f>
        <v>453</v>
      </c>
      <c r="N90" s="34"/>
      <c r="O90" s="47"/>
      <c r="P90" s="3"/>
      <c r="Q90" s="43"/>
      <c r="R90" s="3"/>
      <c r="S90" s="3"/>
      <c r="T90" s="43"/>
      <c r="U90" s="3"/>
      <c r="V90" s="3"/>
      <c r="W90" s="43"/>
      <c r="X90" s="3"/>
      <c r="Y90" s="3"/>
      <c r="Z90" s="43"/>
      <c r="AA90" s="3"/>
      <c r="AB90" s="3"/>
      <c r="AC90" s="43"/>
    </row>
    <row r="91" spans="2:29" ht="15" thickBot="1" x14ac:dyDescent="0.35">
      <c r="B91" s="37" t="s">
        <v>156</v>
      </c>
      <c r="C91" s="42">
        <f>C49</f>
        <v>2890</v>
      </c>
      <c r="D91" s="38">
        <f t="shared" ref="D91:L91" si="143">D49</f>
        <v>3184</v>
      </c>
      <c r="E91" s="39">
        <f t="shared" si="143"/>
        <v>3184</v>
      </c>
      <c r="F91" s="38">
        <f t="shared" si="143"/>
        <v>4019</v>
      </c>
      <c r="G91" s="38">
        <f t="shared" si="143"/>
        <v>3550</v>
      </c>
      <c r="H91" s="40">
        <f t="shared" si="143"/>
        <v>3550</v>
      </c>
      <c r="I91" s="38">
        <f t="shared" si="143"/>
        <v>6722</v>
      </c>
      <c r="J91" s="38">
        <f t="shared" si="143"/>
        <v>3898</v>
      </c>
      <c r="K91" s="39">
        <f t="shared" si="143"/>
        <v>3898</v>
      </c>
      <c r="L91" s="38">
        <f t="shared" si="143"/>
        <v>6693</v>
      </c>
      <c r="M91" s="41">
        <f>M87+M88-M90</f>
        <v>8369.6277520000003</v>
      </c>
      <c r="N91" s="40">
        <f>M91</f>
        <v>8369.6277520000003</v>
      </c>
      <c r="O91" s="42">
        <f>O87+O88+O89+O90</f>
        <v>11789.744414000001</v>
      </c>
      <c r="P91" s="42">
        <f>P87+P88+P89+P90</f>
        <v>13823.604044600001</v>
      </c>
      <c r="Q91" s="48">
        <f t="shared" ref="Q91:AC91" si="144">Q87+Q88+Q89+Q90</f>
        <v>13823.604044600001</v>
      </c>
      <c r="R91" s="42">
        <f t="shared" si="144"/>
        <v>17556.289648870003</v>
      </c>
      <c r="S91" s="42">
        <f t="shared" si="144"/>
        <v>19887.170206460003</v>
      </c>
      <c r="T91" s="48">
        <f t="shared" si="144"/>
        <v>19887.170206460003</v>
      </c>
      <c r="U91" s="42">
        <f t="shared" si="144"/>
        <v>23961.713113092952</v>
      </c>
      <c r="V91" s="42">
        <f t="shared" si="144"/>
        <v>26627.685224506004</v>
      </c>
      <c r="W91" s="48">
        <f t="shared" si="144"/>
        <v>26627.685224506004</v>
      </c>
      <c r="X91" s="42">
        <f t="shared" si="144"/>
        <v>31075.863304202754</v>
      </c>
      <c r="Y91" s="42">
        <f t="shared" si="144"/>
        <v>34119.243984356603</v>
      </c>
      <c r="Z91" s="48">
        <f t="shared" si="144"/>
        <v>34119.243984356603</v>
      </c>
      <c r="AA91" s="42">
        <f t="shared" si="144"/>
        <v>38975.536226827579</v>
      </c>
      <c r="AB91" s="42">
        <f t="shared" si="144"/>
        <v>42443.350860192266</v>
      </c>
      <c r="AC91" s="48">
        <f t="shared" si="144"/>
        <v>42443.350860192266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DCBA-3616-41E0-AC5A-BFAF89AA98C0}">
  <dimension ref="A2:K1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M7" sqref="M7"/>
    </sheetView>
  </sheetViews>
  <sheetFormatPr defaultColWidth="14.44140625" defaultRowHeight="15" customHeight="1" x14ac:dyDescent="0.3"/>
  <cols>
    <col min="1" max="1" width="35.6640625" style="52" customWidth="1"/>
    <col min="2" max="2" width="0.5546875" style="52" customWidth="1"/>
    <col min="3" max="3" width="10.6640625" style="52" customWidth="1"/>
    <col min="4" max="4" width="10.88671875" style="52" customWidth="1"/>
    <col min="5" max="6" width="9.88671875" style="52" customWidth="1"/>
    <col min="7" max="7" width="10.44140625" style="52" customWidth="1"/>
    <col min="8" max="11" width="8.6640625" style="52" customWidth="1"/>
    <col min="12" max="16384" width="14.44140625" style="52"/>
  </cols>
  <sheetData>
    <row r="2" spans="1:11" ht="14.4" x14ac:dyDescent="0.3">
      <c r="A2" s="51"/>
    </row>
    <row r="3" spans="1:11" ht="14.4" x14ac:dyDescent="0.3">
      <c r="A3" s="51" t="s">
        <v>174</v>
      </c>
    </row>
    <row r="4" spans="1:11" ht="14.4" x14ac:dyDescent="0.3">
      <c r="A4" s="53" t="s">
        <v>175</v>
      </c>
      <c r="B4" s="54"/>
      <c r="C4" s="55" t="s">
        <v>176</v>
      </c>
      <c r="D4" s="55" t="s">
        <v>177</v>
      </c>
      <c r="E4" s="55" t="s">
        <v>178</v>
      </c>
      <c r="F4" s="55" t="s">
        <v>179</v>
      </c>
      <c r="G4" s="56" t="s">
        <v>180</v>
      </c>
    </row>
    <row r="5" spans="1:11" ht="14.4" x14ac:dyDescent="0.3">
      <c r="A5" s="57" t="s">
        <v>181</v>
      </c>
      <c r="B5" s="51"/>
      <c r="C5" s="58">
        <v>0.5</v>
      </c>
      <c r="D5" s="58">
        <f>+C5+1</f>
        <v>1.5</v>
      </c>
      <c r="E5" s="58">
        <f>+D5+1</f>
        <v>2.5</v>
      </c>
      <c r="F5" s="58">
        <f>+E5+1</f>
        <v>3.5</v>
      </c>
      <c r="G5" s="59">
        <f>+F5+1</f>
        <v>4.5</v>
      </c>
    </row>
    <row r="6" spans="1:11" ht="14.4" x14ac:dyDescent="0.3">
      <c r="A6" s="52" t="s">
        <v>182</v>
      </c>
      <c r="C6" s="60">
        <f>'Income Statement '!N5</f>
        <v>18556.215</v>
      </c>
      <c r="D6" s="60">
        <f>'Income Statement '!Q5</f>
        <v>20398.4365</v>
      </c>
      <c r="E6" s="60">
        <f>'Income Statement '!T5</f>
        <v>22424.880150000001</v>
      </c>
      <c r="F6" s="60">
        <f>'Income Statement '!W5</f>
        <v>24653.968165000002</v>
      </c>
      <c r="G6" s="60">
        <f>'Income Statement '!Z5</f>
        <v>27105.964981500001</v>
      </c>
    </row>
    <row r="7" spans="1:11" ht="14.4" x14ac:dyDescent="0.3">
      <c r="A7" s="62" t="s">
        <v>183</v>
      </c>
      <c r="C7" s="60">
        <f>'Income Statement '!N14</f>
        <v>6791.5746899999995</v>
      </c>
      <c r="D7" s="60">
        <f>'Income Statement '!Q14</f>
        <v>8475.5503657499994</v>
      </c>
      <c r="E7" s="60">
        <f>'Income Statement '!T14</f>
        <v>9317.5377023250003</v>
      </c>
      <c r="F7" s="60">
        <f>'Income Statement '!W14</f>
        <v>10243.723772557503</v>
      </c>
      <c r="G7" s="61">
        <f>'Income Statement '!Z14</f>
        <v>11262.52844981325</v>
      </c>
    </row>
    <row r="8" spans="1:11" ht="14.4" x14ac:dyDescent="0.3">
      <c r="A8" s="63" t="s">
        <v>184</v>
      </c>
      <c r="B8" s="64"/>
      <c r="C8" s="65">
        <f>'Income Statement '!N22</f>
        <v>0.2</v>
      </c>
      <c r="D8" s="65">
        <f>'Income Statement '!Q22</f>
        <v>0.2</v>
      </c>
      <c r="E8" s="65">
        <f>'Income Statement '!T22</f>
        <v>0.2</v>
      </c>
      <c r="F8" s="65">
        <f>'Income Statement '!W22</f>
        <v>0.2</v>
      </c>
      <c r="G8" s="66">
        <f>'Income Statement '!Z22</f>
        <v>0.2</v>
      </c>
      <c r="H8" s="64"/>
      <c r="I8" s="64"/>
      <c r="J8" s="64"/>
      <c r="K8" s="64"/>
    </row>
    <row r="9" spans="1:11" ht="14.4" x14ac:dyDescent="0.3">
      <c r="A9" s="62" t="s">
        <v>185</v>
      </c>
      <c r="C9" s="60">
        <f t="shared" ref="C9:G9" si="0">+C7*(1-C8)</f>
        <v>5433.2597519999999</v>
      </c>
      <c r="D9" s="60">
        <f t="shared" si="0"/>
        <v>6780.4402926000002</v>
      </c>
      <c r="E9" s="60">
        <f t="shared" si="0"/>
        <v>7454.0301618600006</v>
      </c>
      <c r="F9" s="60">
        <f t="shared" si="0"/>
        <v>8194.9790180460022</v>
      </c>
      <c r="G9" s="61">
        <f t="shared" si="0"/>
        <v>9010.0227598506008</v>
      </c>
    </row>
    <row r="10" spans="1:11" ht="14.4" x14ac:dyDescent="0.3">
      <c r="A10" s="62" t="s">
        <v>103</v>
      </c>
      <c r="C10" s="60">
        <f>'Income Statement '!N13</f>
        <v>829.8119999999999</v>
      </c>
      <c r="D10" s="60">
        <f>'Income Statement '!Q13</f>
        <v>846.77692072660489</v>
      </c>
      <c r="E10" s="60">
        <f>'Income Statement '!T13</f>
        <v>872.78705185879153</v>
      </c>
      <c r="F10" s="60">
        <f>'Income Statement '!W13</f>
        <v>907.11834560096941</v>
      </c>
      <c r="G10" s="61">
        <f>'Income Statement '!Z13</f>
        <v>950.0308769653227</v>
      </c>
    </row>
    <row r="11" spans="1:11" ht="14.4" x14ac:dyDescent="0.3">
      <c r="A11" s="62" t="s">
        <v>186</v>
      </c>
      <c r="C11" s="60">
        <f>'Cash Flow'!N13</f>
        <v>-1226.3334329455602</v>
      </c>
      <c r="D11" s="60">
        <f>'Cash Flow'!O13</f>
        <v>-1533.4030670544389</v>
      </c>
      <c r="E11" s="60">
        <f>'Cash Flow'!P13</f>
        <v>1302.7640688356169</v>
      </c>
      <c r="F11" s="60">
        <f>'Cash Flow'!Q13</f>
        <v>-230.63899821882205</v>
      </c>
      <c r="G11" s="61">
        <f>'Cash Flow'!R13</f>
        <v>-2077.976719280824</v>
      </c>
    </row>
    <row r="12" spans="1:11" ht="14.4" x14ac:dyDescent="0.3">
      <c r="A12" s="62" t="s">
        <v>187</v>
      </c>
      <c r="C12" s="60">
        <f>'[1]Financial Statements'!Q103</f>
        <v>0</v>
      </c>
      <c r="D12" s="60">
        <f>'[1]Financial Statements'!T103</f>
        <v>0</v>
      </c>
      <c r="E12" s="60">
        <f>'[1]Financial Statements'!W103</f>
        <v>0</v>
      </c>
      <c r="F12" s="60">
        <f>'[1]Financial Statements'!Z103</f>
        <v>0</v>
      </c>
      <c r="G12" s="61">
        <f>'[1]Financial Statements'!AC103</f>
        <v>0</v>
      </c>
    </row>
    <row r="13" spans="1:11" ht="14.4" x14ac:dyDescent="0.3">
      <c r="A13" s="67" t="s">
        <v>188</v>
      </c>
      <c r="B13" s="68"/>
      <c r="C13" s="69">
        <f t="shared" ref="C13:G13" si="1">+C9+C10+C11+C12</f>
        <v>5036.7383190544397</v>
      </c>
      <c r="D13" s="69">
        <f t="shared" si="1"/>
        <v>6093.814146272166</v>
      </c>
      <c r="E13" s="69">
        <f t="shared" si="1"/>
        <v>9629.581282554409</v>
      </c>
      <c r="F13" s="69">
        <f t="shared" si="1"/>
        <v>8871.4583654281487</v>
      </c>
      <c r="G13" s="70">
        <f t="shared" si="1"/>
        <v>7882.0769175350988</v>
      </c>
    </row>
    <row r="14" spans="1:11" ht="14.4" x14ac:dyDescent="0.3">
      <c r="A14" s="62" t="s">
        <v>189</v>
      </c>
      <c r="C14" s="71">
        <f t="shared" ref="C14:G14" si="2">1/(1+$C$30)^C5</f>
        <v>0.96225044864937614</v>
      </c>
      <c r="D14" s="71">
        <f t="shared" si="2"/>
        <v>0.89097263763831136</v>
      </c>
      <c r="E14" s="71">
        <f t="shared" si="2"/>
        <v>0.82497466447991774</v>
      </c>
      <c r="F14" s="71">
        <f t="shared" si="2"/>
        <v>0.76386543007399788</v>
      </c>
      <c r="G14" s="72">
        <f t="shared" si="2"/>
        <v>0.70728280562407209</v>
      </c>
    </row>
    <row r="15" spans="1:11" ht="14.4" x14ac:dyDescent="0.3">
      <c r="A15" s="62" t="s">
        <v>190</v>
      </c>
      <c r="C15" s="60">
        <f t="shared" ref="C15:G15" si="3">+C14*C13</f>
        <v>4846.6037072396393</v>
      </c>
      <c r="D15" s="60">
        <f t="shared" si="3"/>
        <v>5429.4216631817662</v>
      </c>
      <c r="E15" s="60">
        <f t="shared" si="3"/>
        <v>7944.1605876574195</v>
      </c>
      <c r="F15" s="60">
        <f t="shared" si="3"/>
        <v>6776.6003596913388</v>
      </c>
      <c r="G15" s="61">
        <f t="shared" si="3"/>
        <v>5574.8574763789629</v>
      </c>
    </row>
    <row r="16" spans="1:11" ht="14.4" x14ac:dyDescent="0.3">
      <c r="A16" s="62" t="s">
        <v>191</v>
      </c>
      <c r="D16" s="73"/>
      <c r="E16" s="73"/>
      <c r="F16" s="73"/>
      <c r="G16" s="74">
        <f>+(G13*(1+C33))/(C30-C33)</f>
        <v>99195.194415017177</v>
      </c>
    </row>
    <row r="17" spans="1:11" ht="14.4" x14ac:dyDescent="0.3">
      <c r="A17" s="75" t="s">
        <v>192</v>
      </c>
      <c r="B17" s="76"/>
      <c r="C17" s="77">
        <f>+SUM(C15:G15)+G16</f>
        <v>129766.83820916631</v>
      </c>
    </row>
    <row r="18" spans="1:11" ht="14.4" x14ac:dyDescent="0.3">
      <c r="A18" s="62" t="s">
        <v>193</v>
      </c>
      <c r="C18" s="61">
        <f>'Balance Sheet'!L81-'Balance Sheet'!L21</f>
        <v>17947</v>
      </c>
    </row>
    <row r="19" spans="1:11" ht="14.4" x14ac:dyDescent="0.3">
      <c r="A19" s="62" t="s">
        <v>194</v>
      </c>
      <c r="C19" s="61">
        <f>'[1]Financial Statements'!Q23</f>
        <v>0.17905089599732049</v>
      </c>
    </row>
    <row r="20" spans="1:11" ht="14.4" x14ac:dyDescent="0.3">
      <c r="A20" s="78" t="s">
        <v>195</v>
      </c>
      <c r="C20" s="61">
        <f>+C17+C18+C19</f>
        <v>147714.0172600623</v>
      </c>
    </row>
    <row r="21" spans="1:11" ht="15.75" customHeight="1" x14ac:dyDescent="0.3">
      <c r="A21" s="62" t="s">
        <v>196</v>
      </c>
      <c r="C21" s="61">
        <f>'Income Statement '!L31</f>
        <v>2247</v>
      </c>
    </row>
    <row r="22" spans="1:11" ht="15.75" customHeight="1" x14ac:dyDescent="0.3">
      <c r="A22" s="79" t="s">
        <v>197</v>
      </c>
      <c r="B22" s="80"/>
      <c r="C22" s="70">
        <f>+C20/C21</f>
        <v>65.738325438389992</v>
      </c>
    </row>
    <row r="23" spans="1:11" ht="15.75" customHeight="1" x14ac:dyDescent="0.3">
      <c r="A23" s="62" t="s">
        <v>198</v>
      </c>
      <c r="C23" s="61">
        <v>22.74</v>
      </c>
    </row>
    <row r="24" spans="1:11" ht="15.75" customHeight="1" x14ac:dyDescent="0.3">
      <c r="A24" s="81" t="s">
        <v>199</v>
      </c>
      <c r="B24" s="82"/>
      <c r="C24" s="83">
        <f>+C22/C23-1</f>
        <v>1.8908674335263851</v>
      </c>
    </row>
    <row r="25" spans="1:11" ht="15.75" customHeight="1" x14ac:dyDescent="0.3"/>
    <row r="26" spans="1:11" ht="15.75" customHeight="1" x14ac:dyDescent="0.3">
      <c r="A26" s="84" t="s">
        <v>200</v>
      </c>
      <c r="B26" s="85"/>
      <c r="C26" s="86"/>
      <c r="F26" s="108" t="s">
        <v>201</v>
      </c>
      <c r="G26" s="109"/>
    </row>
    <row r="27" spans="1:11" ht="15.75" customHeight="1" x14ac:dyDescent="0.3">
      <c r="A27" s="87" t="s">
        <v>202</v>
      </c>
      <c r="C27" s="88">
        <v>0.05</v>
      </c>
      <c r="F27" s="89">
        <f>+C22</f>
        <v>65.738325438389992</v>
      </c>
      <c r="G27" s="90">
        <v>8.5000000000000006E-2</v>
      </c>
      <c r="H27" s="90">
        <v>9.5000000000000001E-2</v>
      </c>
      <c r="I27" s="91">
        <v>0.105</v>
      </c>
      <c r="J27" s="90">
        <v>0.115</v>
      </c>
      <c r="K27" s="92">
        <v>0.125</v>
      </c>
    </row>
    <row r="28" spans="1:11" ht="15.75" customHeight="1" x14ac:dyDescent="0.3">
      <c r="A28" s="87" t="s">
        <v>203</v>
      </c>
      <c r="C28" s="88">
        <v>2.3599999999999999E-2</v>
      </c>
      <c r="F28" s="93">
        <v>1.4999999999999999E-2</v>
      </c>
      <c r="G28" s="94">
        <f t="dataTable" ref="G28:K32" dt2D="1" dtr="1" r1="C32" r2="C31"/>
        <v>65.738325438389992</v>
      </c>
      <c r="H28" s="94">
        <v>65.738325438389992</v>
      </c>
      <c r="I28" s="95">
        <v>65.738325438389992</v>
      </c>
      <c r="J28" s="94">
        <v>65.738325438389992</v>
      </c>
      <c r="K28" s="96">
        <v>65.738325438389992</v>
      </c>
    </row>
    <row r="29" spans="1:11" ht="15.75" customHeight="1" x14ac:dyDescent="0.3">
      <c r="A29" s="87" t="s">
        <v>204</v>
      </c>
      <c r="C29" s="97">
        <v>1.62</v>
      </c>
      <c r="F29" s="93">
        <v>2.5000000000000001E-2</v>
      </c>
      <c r="G29" s="94">
        <v>65.738325438389992</v>
      </c>
      <c r="H29" s="94">
        <v>65.738325438389992</v>
      </c>
      <c r="I29" s="95">
        <v>65.738325438389992</v>
      </c>
      <c r="J29" s="94">
        <v>65.738325438389992</v>
      </c>
      <c r="K29" s="96">
        <v>65.738325438389992</v>
      </c>
    </row>
    <row r="30" spans="1:11" ht="15.75" customHeight="1" x14ac:dyDescent="0.3">
      <c r="A30" s="87" t="s">
        <v>205</v>
      </c>
      <c r="C30" s="98">
        <v>0.08</v>
      </c>
      <c r="F30" s="99">
        <v>3.5000000000000003E-2</v>
      </c>
      <c r="G30" s="95">
        <v>65.738325438389992</v>
      </c>
      <c r="H30" s="95">
        <v>65.738325438389992</v>
      </c>
      <c r="I30" s="95">
        <v>65.738325438389992</v>
      </c>
      <c r="J30" s="95">
        <v>65.738325438389992</v>
      </c>
      <c r="K30" s="100">
        <v>65.738325438389992</v>
      </c>
    </row>
    <row r="31" spans="1:11" ht="15.75" customHeight="1" x14ac:dyDescent="0.3">
      <c r="A31" s="87" t="s">
        <v>206</v>
      </c>
      <c r="C31" s="98">
        <f>+C28+(C29*C27)</f>
        <v>0.10460000000000001</v>
      </c>
      <c r="F31" s="93">
        <v>4.4999999999999998E-2</v>
      </c>
      <c r="G31" s="94">
        <v>65.738325438389992</v>
      </c>
      <c r="H31" s="94">
        <v>65.738325438389992</v>
      </c>
      <c r="I31" s="95">
        <v>65.738325438389992</v>
      </c>
      <c r="J31" s="94">
        <v>65.738325438389992</v>
      </c>
      <c r="K31" s="96">
        <v>65.738325438389992</v>
      </c>
    </row>
    <row r="32" spans="1:11" ht="15.75" customHeight="1" x14ac:dyDescent="0.3">
      <c r="A32" s="87" t="s">
        <v>207</v>
      </c>
      <c r="C32" s="98">
        <f>[1]Schedules!Q39</f>
        <v>3.4782059380922298E-2</v>
      </c>
      <c r="F32" s="101">
        <v>5.5E-2</v>
      </c>
      <c r="G32" s="102">
        <v>65.738325438389992</v>
      </c>
      <c r="H32" s="102">
        <v>65.738325438389992</v>
      </c>
      <c r="I32" s="103">
        <v>65.738325438389992</v>
      </c>
      <c r="J32" s="102">
        <v>65.738325438389992</v>
      </c>
      <c r="K32" s="104">
        <v>65.738325438389992</v>
      </c>
    </row>
    <row r="33" spans="1:3" ht="15.75" customHeight="1" x14ac:dyDescent="0.3">
      <c r="A33" s="105" t="s">
        <v>208</v>
      </c>
      <c r="B33" s="106"/>
      <c r="C33" s="107">
        <v>5.0000000000000001E-4</v>
      </c>
    </row>
    <row r="34" spans="1:3" ht="15.75" customHeight="1" x14ac:dyDescent="0.3"/>
    <row r="35" spans="1:3" ht="15.75" customHeight="1" x14ac:dyDescent="0.3"/>
    <row r="36" spans="1:3" ht="15.75" customHeight="1" x14ac:dyDescent="0.3">
      <c r="A36" s="51"/>
    </row>
    <row r="37" spans="1:3" ht="15.75" customHeight="1" x14ac:dyDescent="0.3"/>
    <row r="38" spans="1:3" ht="15.75" customHeight="1" x14ac:dyDescent="0.3"/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">
    <mergeCell ref="F26:G26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Revenue Drivers</vt:lpstr>
      <vt:lpstr>North America</vt:lpstr>
      <vt:lpstr>Europe</vt:lpstr>
      <vt:lpstr>Asia Pacific</vt:lpstr>
      <vt:lpstr>LATAM</vt:lpstr>
      <vt:lpstr>Africa</vt:lpstr>
      <vt:lpstr>Corporate</vt:lpstr>
      <vt:lpstr>Income Statement </vt:lpstr>
      <vt:lpstr>Cash Flow</vt:lpstr>
      <vt:lpstr>Balance Sheet</vt:lpstr>
      <vt:lpstr>DCF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2024-05-21T19:42:12Z</dcterms:created>
  <dcterms:modified xsi:type="dcterms:W3CDTF">2025-06-06T04:55:44Z</dcterms:modified>
</cp:coreProperties>
</file>