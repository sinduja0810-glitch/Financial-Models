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7898a606eaba048/Documents/"/>
    </mc:Choice>
  </mc:AlternateContent>
  <xr:revisionPtr revIDLastSave="1512" documentId="8_{A264FAF5-0C74-455C-9D14-94D593E9178D}" xr6:coauthVersionLast="47" xr6:coauthVersionMax="47" xr10:uidLastSave="{39920FBC-97F1-4D16-A8BF-2D92FC9489A8}"/>
  <bookViews>
    <workbookView xWindow="-108" yWindow="-108" windowWidth="23256" windowHeight="12456" activeTab="3" xr2:uid="{625DD94E-6A06-4C64-BFD1-4691544970D8}"/>
  </bookViews>
  <sheets>
    <sheet name="Profit and Loss Statement " sheetId="1" r:id="rId1"/>
    <sheet name="Balance Sheet" sheetId="2" r:id="rId2"/>
    <sheet name="Cash Flow Statement" sheetId="3" r:id="rId3"/>
    <sheet name="Ratio Analysis" sheetId="7" r:id="rId4"/>
    <sheet name="Africa &amp; Middle East" sheetId="4" r:id="rId5"/>
    <sheet name="Americas" sheetId="8" r:id="rId6"/>
    <sheet name="Asia Pacific" sheetId="9" r:id="rId7"/>
    <sheet name="Europe" sheetId="10" r:id="rId8"/>
    <sheet name="Total" sheetId="11" r:id="rId9"/>
    <sheet name="DCF " sheetId="12" r:id="rId10"/>
    <sheet name="Sheet1" sheetId="5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62" i="7" l="1"/>
  <c r="AI61" i="7"/>
  <c r="AJ62" i="7"/>
  <c r="AJ61" i="7"/>
  <c r="AO59" i="7"/>
  <c r="AN59" i="7"/>
  <c r="AM59" i="7"/>
  <c r="AL59" i="7"/>
  <c r="AK59" i="7"/>
  <c r="AJ59" i="7"/>
  <c r="AI59" i="7"/>
  <c r="AH59" i="7"/>
  <c r="AG59" i="7"/>
  <c r="AF59" i="7"/>
  <c r="C21" i="12"/>
  <c r="C19" i="12"/>
  <c r="C18" i="12"/>
  <c r="N88" i="2"/>
  <c r="N87" i="2"/>
  <c r="Z70" i="2"/>
  <c r="Z3" i="2" s="1"/>
  <c r="Z69" i="2"/>
  <c r="Z68" i="2"/>
  <c r="Z66" i="2"/>
  <c r="Z65" i="2"/>
  <c r="Z64" i="2"/>
  <c r="Z63" i="2"/>
  <c r="Z62" i="2"/>
  <c r="Z59" i="2"/>
  <c r="Z58" i="2"/>
  <c r="Z55" i="2"/>
  <c r="Z54" i="2"/>
  <c r="X70" i="2"/>
  <c r="X3" i="2" s="1"/>
  <c r="X69" i="2"/>
  <c r="X68" i="2"/>
  <c r="X66" i="2"/>
  <c r="X65" i="2"/>
  <c r="X64" i="2"/>
  <c r="X63" i="2"/>
  <c r="X62" i="2"/>
  <c r="X59" i="2"/>
  <c r="X58" i="2"/>
  <c r="X55" i="2"/>
  <c r="X54" i="2"/>
  <c r="V70" i="2"/>
  <c r="V3" i="2" s="1"/>
  <c r="V69" i="2"/>
  <c r="V68" i="2"/>
  <c r="V66" i="2"/>
  <c r="V65" i="2"/>
  <c r="V64" i="2"/>
  <c r="V63" i="2"/>
  <c r="V62" i="2"/>
  <c r="V59" i="2"/>
  <c r="V58" i="2"/>
  <c r="V55" i="2"/>
  <c r="V54" i="2"/>
  <c r="T70" i="2"/>
  <c r="T69" i="2"/>
  <c r="T68" i="2"/>
  <c r="T66" i="2"/>
  <c r="T65" i="2"/>
  <c r="T64" i="2"/>
  <c r="T63" i="2"/>
  <c r="U63" i="2" s="1"/>
  <c r="T62" i="2"/>
  <c r="T59" i="2"/>
  <c r="T58" i="2"/>
  <c r="T55" i="2"/>
  <c r="T54" i="2"/>
  <c r="R70" i="2"/>
  <c r="R69" i="2"/>
  <c r="R68" i="2"/>
  <c r="R66" i="2"/>
  <c r="R65" i="2"/>
  <c r="R64" i="2"/>
  <c r="R63" i="2"/>
  <c r="R62" i="2"/>
  <c r="R59" i="2"/>
  <c r="R58" i="2"/>
  <c r="R55" i="2"/>
  <c r="R54" i="2"/>
  <c r="Q70" i="2"/>
  <c r="Y66" i="2"/>
  <c r="Y64" i="2"/>
  <c r="Y63" i="2"/>
  <c r="Z61" i="2"/>
  <c r="Y54" i="2"/>
  <c r="W66" i="2"/>
  <c r="W64" i="2"/>
  <c r="W63" i="2"/>
  <c r="X61" i="2"/>
  <c r="W54" i="2"/>
  <c r="U66" i="2"/>
  <c r="U64" i="2"/>
  <c r="V61" i="2"/>
  <c r="U54" i="2"/>
  <c r="S67" i="2"/>
  <c r="S66" i="2"/>
  <c r="S64" i="2"/>
  <c r="S63" i="2"/>
  <c r="T61" i="2"/>
  <c r="S57" i="2"/>
  <c r="S54" i="2"/>
  <c r="S53" i="2"/>
  <c r="Q67" i="2"/>
  <c r="Q66" i="2"/>
  <c r="Q64" i="2"/>
  <c r="Q63" i="2"/>
  <c r="R61" i="2"/>
  <c r="Q58" i="2"/>
  <c r="R57" i="2"/>
  <c r="Q57" i="2"/>
  <c r="Q54" i="2"/>
  <c r="Q53" i="2"/>
  <c r="R53" i="2" s="1"/>
  <c r="Z44" i="2"/>
  <c r="Z43" i="2"/>
  <c r="Z42" i="2"/>
  <c r="Z41" i="2"/>
  <c r="Z40" i="2"/>
  <c r="Z39" i="2"/>
  <c r="Z45" i="2" s="1"/>
  <c r="Z38" i="2"/>
  <c r="Z35" i="2"/>
  <c r="Z34" i="2"/>
  <c r="Z33" i="2"/>
  <c r="Z32" i="2"/>
  <c r="Z31" i="2"/>
  <c r="Z36" i="2" s="1"/>
  <c r="Z28" i="2"/>
  <c r="Z27" i="2"/>
  <c r="Z26" i="2"/>
  <c r="Z25" i="2"/>
  <c r="Z24" i="2"/>
  <c r="Z29" i="2" s="1"/>
  <c r="Z19" i="2"/>
  <c r="Z18" i="2"/>
  <c r="Z17" i="2"/>
  <c r="Z16" i="2"/>
  <c r="Z15" i="2"/>
  <c r="Z20" i="2" s="1"/>
  <c r="Z14" i="2"/>
  <c r="Z13" i="2"/>
  <c r="Z10" i="2"/>
  <c r="Z9" i="2"/>
  <c r="Z8" i="2"/>
  <c r="Z7" i="2"/>
  <c r="Z6" i="2"/>
  <c r="X44" i="2"/>
  <c r="X43" i="2"/>
  <c r="X42" i="2"/>
  <c r="X41" i="2"/>
  <c r="X40" i="2"/>
  <c r="X39" i="2"/>
  <c r="X38" i="2"/>
  <c r="X35" i="2"/>
  <c r="Y35" i="2" s="1"/>
  <c r="X34" i="2"/>
  <c r="X33" i="2"/>
  <c r="X32" i="2"/>
  <c r="X31" i="2"/>
  <c r="X28" i="2"/>
  <c r="X27" i="2"/>
  <c r="X26" i="2"/>
  <c r="X25" i="2"/>
  <c r="Y25" i="2" s="1"/>
  <c r="X24" i="2"/>
  <c r="X19" i="2"/>
  <c r="X18" i="2"/>
  <c r="X17" i="2"/>
  <c r="X16" i="2"/>
  <c r="X15" i="2"/>
  <c r="X14" i="2"/>
  <c r="X13" i="2"/>
  <c r="X20" i="2" s="1"/>
  <c r="X10" i="2"/>
  <c r="X9" i="2"/>
  <c r="X8" i="2"/>
  <c r="X7" i="2"/>
  <c r="X6" i="2"/>
  <c r="V44" i="2"/>
  <c r="W44" i="2" s="1"/>
  <c r="V43" i="2"/>
  <c r="V42" i="2"/>
  <c r="V41" i="2"/>
  <c r="V40" i="2"/>
  <c r="V39" i="2"/>
  <c r="V38" i="2"/>
  <c r="V35" i="2"/>
  <c r="V34" i="2"/>
  <c r="V33" i="2"/>
  <c r="V32" i="2"/>
  <c r="V31" i="2"/>
  <c r="V36" i="2" s="1"/>
  <c r="V28" i="2"/>
  <c r="V27" i="2"/>
  <c r="V26" i="2"/>
  <c r="V25" i="2"/>
  <c r="V24" i="2"/>
  <c r="V29" i="2" s="1"/>
  <c r="V19" i="2"/>
  <c r="V18" i="2"/>
  <c r="V17" i="2"/>
  <c r="V16" i="2"/>
  <c r="V15" i="2"/>
  <c r="V14" i="2"/>
  <c r="V13" i="2"/>
  <c r="V10" i="2"/>
  <c r="W10" i="2" s="1"/>
  <c r="V9" i="2"/>
  <c r="V8" i="2"/>
  <c r="V7" i="2"/>
  <c r="V6" i="2"/>
  <c r="T44" i="2"/>
  <c r="U44" i="2" s="1"/>
  <c r="T43" i="2"/>
  <c r="U43" i="2" s="1"/>
  <c r="T42" i="2"/>
  <c r="T41" i="2"/>
  <c r="U41" i="2" s="1"/>
  <c r="T40" i="2"/>
  <c r="U40" i="2" s="1"/>
  <c r="T39" i="2"/>
  <c r="T45" i="2" s="1"/>
  <c r="T38" i="2"/>
  <c r="T35" i="2"/>
  <c r="T34" i="2"/>
  <c r="U34" i="2" s="1"/>
  <c r="T33" i="2"/>
  <c r="U33" i="2" s="1"/>
  <c r="T32" i="2"/>
  <c r="T31" i="2"/>
  <c r="T36" i="2" s="1"/>
  <c r="T28" i="2"/>
  <c r="T27" i="2"/>
  <c r="T26" i="2"/>
  <c r="T25" i="2"/>
  <c r="U25" i="2" s="1"/>
  <c r="T24" i="2"/>
  <c r="T29" i="2" s="1"/>
  <c r="T19" i="2"/>
  <c r="U19" i="2" s="1"/>
  <c r="T18" i="2"/>
  <c r="T17" i="2"/>
  <c r="T16" i="2"/>
  <c r="T15" i="2"/>
  <c r="U15" i="2" s="1"/>
  <c r="T14" i="2"/>
  <c r="T13" i="2"/>
  <c r="T10" i="2"/>
  <c r="T9" i="2"/>
  <c r="U9" i="2" s="1"/>
  <c r="T8" i="2"/>
  <c r="T7" i="2"/>
  <c r="T6" i="2"/>
  <c r="R44" i="2"/>
  <c r="R43" i="2"/>
  <c r="R42" i="2"/>
  <c r="R41" i="2"/>
  <c r="R40" i="2"/>
  <c r="R39" i="2"/>
  <c r="R38" i="2"/>
  <c r="R45" i="2" s="1"/>
  <c r="R35" i="2"/>
  <c r="R34" i="2"/>
  <c r="R33" i="2"/>
  <c r="R32" i="2"/>
  <c r="R31" i="2"/>
  <c r="R28" i="2"/>
  <c r="R27" i="2"/>
  <c r="R26" i="2"/>
  <c r="R29" i="2" s="1"/>
  <c r="R25" i="2"/>
  <c r="R24" i="2"/>
  <c r="R19" i="2"/>
  <c r="R18" i="2"/>
  <c r="R17" i="2"/>
  <c r="R16" i="2"/>
  <c r="R15" i="2"/>
  <c r="R14" i="2"/>
  <c r="R20" i="2" s="1"/>
  <c r="R13" i="2"/>
  <c r="R10" i="2"/>
  <c r="R9" i="2"/>
  <c r="R8" i="2"/>
  <c r="R7" i="2"/>
  <c r="R6" i="2"/>
  <c r="X45" i="2"/>
  <c r="Y19" i="2"/>
  <c r="W42" i="2"/>
  <c r="V45" i="2"/>
  <c r="W33" i="2"/>
  <c r="V20" i="2"/>
  <c r="U32" i="2"/>
  <c r="T3" i="2"/>
  <c r="S43" i="2"/>
  <c r="S35" i="2"/>
  <c r="S34" i="2"/>
  <c r="S18" i="2"/>
  <c r="S16" i="2"/>
  <c r="S9" i="2"/>
  <c r="S8" i="2"/>
  <c r="S7" i="2"/>
  <c r="S6" i="2"/>
  <c r="R3" i="2"/>
  <c r="Y44" i="2"/>
  <c r="Y43" i="2"/>
  <c r="Y42" i="2"/>
  <c r="Y41" i="2"/>
  <c r="Y40" i="2"/>
  <c r="Y39" i="2"/>
  <c r="Y38" i="2"/>
  <c r="Y34" i="2"/>
  <c r="Y33" i="2"/>
  <c r="Y32" i="2"/>
  <c r="Y31" i="2"/>
  <c r="Y26" i="2"/>
  <c r="Y24" i="2"/>
  <c r="Y18" i="2"/>
  <c r="Y16" i="2"/>
  <c r="Y15" i="2"/>
  <c r="Y14" i="2"/>
  <c r="Y13" i="2"/>
  <c r="Y10" i="2"/>
  <c r="Y9" i="2"/>
  <c r="Y8" i="2"/>
  <c r="Y7" i="2"/>
  <c r="Y6" i="2"/>
  <c r="W43" i="2"/>
  <c r="W41" i="2"/>
  <c r="W40" i="2"/>
  <c r="W39" i="2"/>
  <c r="W38" i="2"/>
  <c r="W35" i="2"/>
  <c r="W34" i="2"/>
  <c r="W32" i="2"/>
  <c r="W31" i="2"/>
  <c r="W26" i="2"/>
  <c r="W25" i="2"/>
  <c r="W19" i="2"/>
  <c r="W18" i="2"/>
  <c r="W16" i="2"/>
  <c r="W15" i="2"/>
  <c r="W14" i="2"/>
  <c r="W13" i="2"/>
  <c r="W9" i="2"/>
  <c r="W8" i="2"/>
  <c r="W7" i="2"/>
  <c r="W6" i="2"/>
  <c r="U42" i="2"/>
  <c r="U39" i="2"/>
  <c r="U38" i="2"/>
  <c r="U35" i="2"/>
  <c r="U31" i="2"/>
  <c r="U26" i="2"/>
  <c r="U18" i="2"/>
  <c r="U16" i="2"/>
  <c r="U14" i="2"/>
  <c r="U13" i="2"/>
  <c r="U8" i="2"/>
  <c r="U7" i="2"/>
  <c r="U6" i="2"/>
  <c r="S42" i="2"/>
  <c r="S41" i="2"/>
  <c r="S40" i="2"/>
  <c r="S39" i="2"/>
  <c r="S38" i="2"/>
  <c r="S33" i="2"/>
  <c r="S32" i="2"/>
  <c r="S31" i="2"/>
  <c r="S25" i="2"/>
  <c r="S24" i="2"/>
  <c r="S19" i="2"/>
  <c r="S15" i="2"/>
  <c r="S14" i="2"/>
  <c r="S13" i="2"/>
  <c r="S10" i="2"/>
  <c r="Q44" i="2"/>
  <c r="Q43" i="2"/>
  <c r="Q42" i="2"/>
  <c r="AU42" i="2" s="1"/>
  <c r="Q41" i="2"/>
  <c r="Q40" i="2"/>
  <c r="Q39" i="2"/>
  <c r="AU39" i="2" s="1"/>
  <c r="Q38" i="2"/>
  <c r="Q45" i="2" s="1"/>
  <c r="Q35" i="2"/>
  <c r="Q34" i="2"/>
  <c r="AU34" i="2" s="1"/>
  <c r="Q33" i="2"/>
  <c r="Q36" i="2" s="1"/>
  <c r="Q32" i="2"/>
  <c r="Q31" i="2"/>
  <c r="Q26" i="2"/>
  <c r="Q25" i="2"/>
  <c r="AU25" i="2" s="1"/>
  <c r="Q24" i="2"/>
  <c r="AU24" i="2" s="1"/>
  <c r="Q19" i="2"/>
  <c r="Q18" i="2"/>
  <c r="Q16" i="2"/>
  <c r="Q15" i="2"/>
  <c r="Q14" i="2"/>
  <c r="Q13" i="2"/>
  <c r="Q10" i="2"/>
  <c r="AU10" i="2" s="1"/>
  <c r="Q9" i="2"/>
  <c r="Q8" i="2"/>
  <c r="Q7" i="2"/>
  <c r="Q6" i="2"/>
  <c r="AU6" i="2" s="1"/>
  <c r="AU44" i="2"/>
  <c r="AU43" i="2"/>
  <c r="AU41" i="2"/>
  <c r="AU40" i="2"/>
  <c r="AU38" i="2"/>
  <c r="AU35" i="2"/>
  <c r="AU33" i="2"/>
  <c r="AU32" i="2"/>
  <c r="AU31" i="2"/>
  <c r="AU26" i="2"/>
  <c r="AU19" i="2"/>
  <c r="AU18" i="2"/>
  <c r="AU16" i="2"/>
  <c r="AU15" i="2"/>
  <c r="AU14" i="2"/>
  <c r="AU13" i="2"/>
  <c r="AU9" i="2"/>
  <c r="AU8" i="2"/>
  <c r="AU7" i="2"/>
  <c r="P63" i="2"/>
  <c r="P67" i="2"/>
  <c r="P4" i="2"/>
  <c r="P61" i="2"/>
  <c r="O60" i="2"/>
  <c r="P57" i="2"/>
  <c r="AJ60" i="2"/>
  <c r="AJ53" i="2"/>
  <c r="P53" i="2"/>
  <c r="P54" i="2"/>
  <c r="P55" i="2"/>
  <c r="P59" i="2"/>
  <c r="P62" i="2"/>
  <c r="P64" i="2"/>
  <c r="P65" i="2"/>
  <c r="P66" i="2"/>
  <c r="P68" i="2"/>
  <c r="P69" i="2"/>
  <c r="P70" i="2"/>
  <c r="Q82" i="2"/>
  <c r="Q83" i="2"/>
  <c r="Q84" i="2"/>
  <c r="Q88" i="2" s="1"/>
  <c r="Q103" i="2"/>
  <c r="Q99" i="2" s="1"/>
  <c r="Q104" i="2"/>
  <c r="Q100" i="2" s="1"/>
  <c r="Q105" i="2"/>
  <c r="Q101" i="2" s="1"/>
  <c r="S82" i="2"/>
  <c r="S83" i="2"/>
  <c r="S84" i="2"/>
  <c r="S88" i="2" s="1"/>
  <c r="S99" i="2"/>
  <c r="S100" i="2"/>
  <c r="S103" i="2"/>
  <c r="S104" i="2"/>
  <c r="S105" i="2"/>
  <c r="S101" i="2" s="1"/>
  <c r="U82" i="2"/>
  <c r="U83" i="2"/>
  <c r="U84" i="2"/>
  <c r="U88" i="2" s="1"/>
  <c r="U90" i="2"/>
  <c r="U99" i="2"/>
  <c r="U103" i="2"/>
  <c r="U104" i="2"/>
  <c r="U100" i="2" s="1"/>
  <c r="U13" i="3" s="1"/>
  <c r="U105" i="2"/>
  <c r="U101" i="2" s="1"/>
  <c r="W82" i="2"/>
  <c r="W83" i="2"/>
  <c r="W103" i="2"/>
  <c r="W99" i="2" s="1"/>
  <c r="W104" i="2"/>
  <c r="W100" i="2" s="1"/>
  <c r="W13" i="3" s="1"/>
  <c r="W105" i="2"/>
  <c r="W101" i="2" s="1"/>
  <c r="W14" i="3" s="1"/>
  <c r="Y82" i="2"/>
  <c r="Y83" i="2"/>
  <c r="Y103" i="2"/>
  <c r="Y99" i="2" s="1"/>
  <c r="Y104" i="2"/>
  <c r="Y100" i="2" s="1"/>
  <c r="Y105" i="2"/>
  <c r="Y101" i="2" s="1"/>
  <c r="O17" i="2"/>
  <c r="O82" i="2"/>
  <c r="O70" i="2"/>
  <c r="O53" i="2"/>
  <c r="Y68" i="2" l="1"/>
  <c r="W68" i="2"/>
  <c r="U68" i="2"/>
  <c r="S70" i="2"/>
  <c r="S58" i="2"/>
  <c r="S68" i="2"/>
  <c r="T53" i="2"/>
  <c r="U53" i="2" s="1"/>
  <c r="V53" i="2" s="1"/>
  <c r="W53" i="2" s="1"/>
  <c r="R60" i="2"/>
  <c r="R4" i="2" s="1"/>
  <c r="Q3" i="2"/>
  <c r="Q68" i="2"/>
  <c r="Q60" i="2"/>
  <c r="Q4" i="2" s="1"/>
  <c r="AU4" i="2" s="1"/>
  <c r="R11" i="2"/>
  <c r="R22" i="2" s="1"/>
  <c r="X29" i="2"/>
  <c r="X47" i="2" s="1"/>
  <c r="X36" i="2"/>
  <c r="Y45" i="2"/>
  <c r="W24" i="2"/>
  <c r="U14" i="3"/>
  <c r="U24" i="2"/>
  <c r="S14" i="3"/>
  <c r="S26" i="2"/>
  <c r="Z47" i="2"/>
  <c r="Y36" i="2"/>
  <c r="V47" i="2"/>
  <c r="W45" i="2"/>
  <c r="W36" i="2"/>
  <c r="T47" i="2"/>
  <c r="U45" i="2"/>
  <c r="T20" i="2"/>
  <c r="U10" i="2"/>
  <c r="U36" i="2"/>
  <c r="R36" i="2"/>
  <c r="R47" i="2" s="1"/>
  <c r="S36" i="2"/>
  <c r="S44" i="2"/>
  <c r="S45" i="2"/>
  <c r="Y14" i="3"/>
  <c r="Q90" i="2"/>
  <c r="S12" i="3"/>
  <c r="S90" i="2"/>
  <c r="U12" i="3"/>
  <c r="W84" i="2"/>
  <c r="Y12" i="3"/>
  <c r="Y84" i="2"/>
  <c r="P3" i="2"/>
  <c r="Y13" i="3"/>
  <c r="W12" i="3"/>
  <c r="S13" i="3"/>
  <c r="Q13" i="3"/>
  <c r="Q14" i="3"/>
  <c r="Q12" i="3"/>
  <c r="O66" i="2"/>
  <c r="O57" i="2"/>
  <c r="O58" i="2"/>
  <c r="O10" i="3"/>
  <c r="O13" i="3"/>
  <c r="O12" i="3"/>
  <c r="P82" i="2"/>
  <c r="P31" i="2"/>
  <c r="P36" i="2" s="1"/>
  <c r="Y25" i="3"/>
  <c r="W25" i="3"/>
  <c r="U25" i="3"/>
  <c r="S25" i="3"/>
  <c r="Q25" i="3"/>
  <c r="O25" i="3"/>
  <c r="O14" i="3"/>
  <c r="O68" i="2"/>
  <c r="P44" i="2"/>
  <c r="P43" i="2"/>
  <c r="P42" i="2"/>
  <c r="P41" i="2"/>
  <c r="P40" i="2"/>
  <c r="P39" i="2"/>
  <c r="P38" i="2"/>
  <c r="P45" i="2" s="1"/>
  <c r="P35" i="2"/>
  <c r="P34" i="2"/>
  <c r="P33" i="2"/>
  <c r="P32" i="2"/>
  <c r="P26" i="2"/>
  <c r="P25" i="2"/>
  <c r="P24" i="2"/>
  <c r="P19" i="2"/>
  <c r="P18" i="2"/>
  <c r="P16" i="2"/>
  <c r="P15" i="2"/>
  <c r="P14" i="2"/>
  <c r="P13" i="2"/>
  <c r="P10" i="2"/>
  <c r="P9" i="2"/>
  <c r="P8" i="2"/>
  <c r="P7" i="2"/>
  <c r="P6" i="2"/>
  <c r="N61" i="2"/>
  <c r="N60" i="2"/>
  <c r="N56" i="2"/>
  <c r="N53" i="2"/>
  <c r="O67" i="2"/>
  <c r="O64" i="2"/>
  <c r="O63" i="2"/>
  <c r="O54" i="2"/>
  <c r="AJ25" i="3"/>
  <c r="AL66" i="2"/>
  <c r="AM66" i="2" s="1"/>
  <c r="AN66" i="2" s="1"/>
  <c r="AO66" i="2" s="1"/>
  <c r="AO64" i="2"/>
  <c r="AN64" i="2"/>
  <c r="AM64" i="2"/>
  <c r="AL64" i="2"/>
  <c r="AL63" i="2"/>
  <c r="AO54" i="2"/>
  <c r="AN54" i="2"/>
  <c r="AM54" i="2"/>
  <c r="AL54" i="2"/>
  <c r="AK67" i="2"/>
  <c r="AK66" i="2"/>
  <c r="AK64" i="2"/>
  <c r="AK63" i="2"/>
  <c r="AK56" i="2"/>
  <c r="AK54" i="2"/>
  <c r="AK53" i="2"/>
  <c r="AL53" i="2" s="1"/>
  <c r="AM53" i="2" s="1"/>
  <c r="AO14" i="3"/>
  <c r="AN14" i="3"/>
  <c r="AM14" i="3"/>
  <c r="AL14" i="3"/>
  <c r="AK14" i="3"/>
  <c r="AO13" i="3"/>
  <c r="AN13" i="3"/>
  <c r="AM13" i="3"/>
  <c r="AL13" i="3"/>
  <c r="AK13" i="3"/>
  <c r="AO12" i="3"/>
  <c r="AN12" i="3"/>
  <c r="AM12" i="3"/>
  <c r="AL12" i="3"/>
  <c r="AK12" i="3"/>
  <c r="AJ14" i="3"/>
  <c r="AJ13" i="3"/>
  <c r="AJ12" i="3"/>
  <c r="AJ66" i="2"/>
  <c r="AJ63" i="2"/>
  <c r="AI71" i="2"/>
  <c r="N54" i="2"/>
  <c r="N57" i="2"/>
  <c r="N58" i="2"/>
  <c r="AH66" i="2"/>
  <c r="AI56" i="2"/>
  <c r="AI67" i="2"/>
  <c r="AI66" i="2"/>
  <c r="AI57" i="2"/>
  <c r="AI76" i="2"/>
  <c r="AI68" i="2"/>
  <c r="AI69" i="2" s="1"/>
  <c r="AI65" i="2"/>
  <c r="AI58" i="2"/>
  <c r="AI55" i="2"/>
  <c r="AI48" i="3"/>
  <c r="AI45" i="3"/>
  <c r="AI35" i="3"/>
  <c r="AI29" i="3"/>
  <c r="AI15" i="3"/>
  <c r="AI11" i="3"/>
  <c r="N44" i="2"/>
  <c r="N43" i="2"/>
  <c r="N42" i="2"/>
  <c r="N41" i="2"/>
  <c r="N40" i="2"/>
  <c r="N39" i="2"/>
  <c r="N38" i="2"/>
  <c r="N35" i="2"/>
  <c r="N34" i="2"/>
  <c r="N33" i="2"/>
  <c r="N32" i="2"/>
  <c r="N31" i="2"/>
  <c r="N28" i="2"/>
  <c r="N27" i="2"/>
  <c r="N26" i="2"/>
  <c r="N25" i="2"/>
  <c r="N24" i="2"/>
  <c r="N29" i="2" s="1"/>
  <c r="N47" i="2" s="1"/>
  <c r="N19" i="2"/>
  <c r="N18" i="2"/>
  <c r="N17" i="2"/>
  <c r="N16" i="2"/>
  <c r="N15" i="2"/>
  <c r="N14" i="2"/>
  <c r="N13" i="2"/>
  <c r="N20" i="2" s="1"/>
  <c r="N10" i="2"/>
  <c r="N9" i="2"/>
  <c r="N8" i="2"/>
  <c r="N7" i="2"/>
  <c r="N6" i="2"/>
  <c r="N4" i="2"/>
  <c r="N3" i="2"/>
  <c r="N11" i="2" s="1"/>
  <c r="N45" i="2"/>
  <c r="N36" i="2"/>
  <c r="AI26" i="2"/>
  <c r="AI42" i="1"/>
  <c r="AI34" i="1"/>
  <c r="AI46" i="7" s="1"/>
  <c r="AI47" i="7" s="1"/>
  <c r="AI33" i="1"/>
  <c r="AI19" i="1"/>
  <c r="AI5" i="1"/>
  <c r="AI14" i="1" s="1"/>
  <c r="AH94" i="2"/>
  <c r="AG94" i="2"/>
  <c r="AG58" i="7" s="1"/>
  <c r="AF94" i="2"/>
  <c r="AF58" i="7" s="1"/>
  <c r="AE94" i="2"/>
  <c r="AD94" i="2"/>
  <c r="AH58" i="7"/>
  <c r="AH57" i="7"/>
  <c r="AG57" i="7"/>
  <c r="AF57" i="7"/>
  <c r="AH56" i="7"/>
  <c r="AG56" i="7"/>
  <c r="AF56" i="7"/>
  <c r="AF51" i="7"/>
  <c r="AG50" i="7"/>
  <c r="AG51" i="7" s="1"/>
  <c r="AF50" i="7"/>
  <c r="AE50" i="7"/>
  <c r="AE51" i="7" s="1"/>
  <c r="AH49" i="7"/>
  <c r="AF49" i="7"/>
  <c r="AI48" i="7"/>
  <c r="AI49" i="7" s="1"/>
  <c r="AH48" i="7"/>
  <c r="AG48" i="7"/>
  <c r="AG49" i="7" s="1"/>
  <c r="AF48" i="7"/>
  <c r="AE48" i="7"/>
  <c r="AE49" i="7" s="1"/>
  <c r="AH47" i="7"/>
  <c r="AF47" i="7"/>
  <c r="AH46" i="7"/>
  <c r="AG46" i="7"/>
  <c r="AG47" i="7" s="1"/>
  <c r="AF46" i="7"/>
  <c r="AE46" i="7"/>
  <c r="AE47" i="7" s="1"/>
  <c r="M42" i="7"/>
  <c r="L42" i="7"/>
  <c r="K42" i="7"/>
  <c r="J42" i="7"/>
  <c r="I42" i="7"/>
  <c r="M41" i="7"/>
  <c r="L41" i="7"/>
  <c r="K41" i="7"/>
  <c r="J41" i="7"/>
  <c r="I41" i="7"/>
  <c r="M40" i="7"/>
  <c r="L40" i="7"/>
  <c r="K40" i="7"/>
  <c r="J40" i="7"/>
  <c r="I40" i="7"/>
  <c r="M39" i="7"/>
  <c r="L39" i="7"/>
  <c r="K39" i="7"/>
  <c r="J39" i="7"/>
  <c r="I39" i="7"/>
  <c r="M38" i="7"/>
  <c r="L38" i="7"/>
  <c r="K38" i="7"/>
  <c r="J38" i="7"/>
  <c r="I38" i="7"/>
  <c r="M37" i="7"/>
  <c r="L37" i="7"/>
  <c r="K37" i="7"/>
  <c r="J37" i="7"/>
  <c r="I37" i="7"/>
  <c r="M36" i="7"/>
  <c r="L36" i="7"/>
  <c r="K36" i="7"/>
  <c r="J36" i="7"/>
  <c r="I36" i="7"/>
  <c r="AH42" i="7"/>
  <c r="AG42" i="7"/>
  <c r="AF42" i="7"/>
  <c r="AH41" i="7"/>
  <c r="AG41" i="7"/>
  <c r="AF41" i="7"/>
  <c r="AH40" i="7"/>
  <c r="AG40" i="7"/>
  <c r="AF40" i="7"/>
  <c r="AH39" i="7"/>
  <c r="AG39" i="7"/>
  <c r="AF39" i="7"/>
  <c r="AH38" i="7"/>
  <c r="AG38" i="7"/>
  <c r="AF38" i="7"/>
  <c r="AH37" i="7"/>
  <c r="AG37" i="7"/>
  <c r="AF37" i="7"/>
  <c r="AH36" i="7"/>
  <c r="AG36" i="7"/>
  <c r="AF36" i="7"/>
  <c r="M31" i="7"/>
  <c r="L31" i="7"/>
  <c r="K31" i="7"/>
  <c r="J31" i="7"/>
  <c r="M30" i="7"/>
  <c r="L30" i="7"/>
  <c r="K30" i="7"/>
  <c r="J30" i="7"/>
  <c r="M29" i="7"/>
  <c r="L29" i="7"/>
  <c r="K29" i="7"/>
  <c r="J29" i="7"/>
  <c r="M28" i="7"/>
  <c r="L28" i="7"/>
  <c r="K28" i="7"/>
  <c r="J28" i="7"/>
  <c r="M27" i="7"/>
  <c r="L27" i="7"/>
  <c r="K27" i="7"/>
  <c r="J27" i="7"/>
  <c r="I31" i="7"/>
  <c r="I30" i="7"/>
  <c r="I29" i="7"/>
  <c r="I28" i="7"/>
  <c r="I27" i="7"/>
  <c r="AH31" i="7"/>
  <c r="AG31" i="7"/>
  <c r="AF31" i="7"/>
  <c r="AE31" i="7"/>
  <c r="AH30" i="7"/>
  <c r="AG30" i="7"/>
  <c r="AF30" i="7"/>
  <c r="AE30" i="7"/>
  <c r="AH29" i="7"/>
  <c r="AG29" i="7"/>
  <c r="AF29" i="7"/>
  <c r="AE29" i="7"/>
  <c r="AH28" i="7"/>
  <c r="AG28" i="7"/>
  <c r="AF28" i="7"/>
  <c r="AE28" i="7"/>
  <c r="AH27" i="7"/>
  <c r="AG27" i="7"/>
  <c r="AF27" i="7"/>
  <c r="AE27" i="7"/>
  <c r="M23" i="7"/>
  <c r="L23" i="7"/>
  <c r="K23" i="7"/>
  <c r="J23" i="7"/>
  <c r="I23" i="7"/>
  <c r="M22" i="7"/>
  <c r="L22" i="7"/>
  <c r="K22" i="7"/>
  <c r="J22" i="7"/>
  <c r="I22" i="7"/>
  <c r="M21" i="7"/>
  <c r="L21" i="7"/>
  <c r="K21" i="7"/>
  <c r="J21" i="7"/>
  <c r="I21" i="7"/>
  <c r="M20" i="7"/>
  <c r="L20" i="7"/>
  <c r="K20" i="7"/>
  <c r="J20" i="7"/>
  <c r="I20" i="7"/>
  <c r="AH23" i="7"/>
  <c r="AG23" i="7"/>
  <c r="AF23" i="7"/>
  <c r="AE23" i="7"/>
  <c r="AH22" i="7"/>
  <c r="AG22" i="7"/>
  <c r="AF22" i="7"/>
  <c r="AE22" i="7"/>
  <c r="AH21" i="7"/>
  <c r="AG21" i="7"/>
  <c r="AF21" i="7"/>
  <c r="AE21" i="7"/>
  <c r="AH20" i="7"/>
  <c r="AG20" i="7"/>
  <c r="AF20" i="7"/>
  <c r="AE20" i="7"/>
  <c r="AE15" i="7"/>
  <c r="M15" i="7"/>
  <c r="L15" i="7"/>
  <c r="K15" i="7"/>
  <c r="J15" i="7"/>
  <c r="I15" i="7"/>
  <c r="AH15" i="7"/>
  <c r="AG15" i="7"/>
  <c r="AF15" i="7"/>
  <c r="M14" i="7"/>
  <c r="L14" i="7"/>
  <c r="K14" i="7"/>
  <c r="J14" i="7"/>
  <c r="M13" i="7"/>
  <c r="L13" i="7"/>
  <c r="K13" i="7"/>
  <c r="J13" i="7"/>
  <c r="M12" i="7"/>
  <c r="L12" i="7"/>
  <c r="K12" i="7"/>
  <c r="J12" i="7"/>
  <c r="Z10" i="7"/>
  <c r="Y10" i="7"/>
  <c r="X10" i="7"/>
  <c r="W10" i="7"/>
  <c r="V10" i="7"/>
  <c r="U10" i="7"/>
  <c r="T10" i="7"/>
  <c r="S10" i="7"/>
  <c r="R10" i="7"/>
  <c r="Q10" i="7"/>
  <c r="P10" i="7"/>
  <c r="M10" i="7"/>
  <c r="L10" i="7"/>
  <c r="K10" i="7"/>
  <c r="J10" i="7"/>
  <c r="Z8" i="7"/>
  <c r="Y8" i="7"/>
  <c r="X8" i="7"/>
  <c r="W8" i="7"/>
  <c r="V8" i="7"/>
  <c r="U8" i="7"/>
  <c r="T8" i="7"/>
  <c r="S8" i="7"/>
  <c r="R8" i="7"/>
  <c r="Q8" i="7"/>
  <c r="P8" i="7"/>
  <c r="M8" i="7"/>
  <c r="L8" i="7"/>
  <c r="K8" i="7"/>
  <c r="J8" i="7"/>
  <c r="Z6" i="7"/>
  <c r="Y6" i="7"/>
  <c r="X6" i="7"/>
  <c r="W6" i="7"/>
  <c r="V6" i="7"/>
  <c r="U6" i="7"/>
  <c r="T6" i="7"/>
  <c r="S6" i="7"/>
  <c r="R6" i="7"/>
  <c r="Q6" i="7"/>
  <c r="P6" i="7"/>
  <c r="M6" i="7"/>
  <c r="L6" i="7"/>
  <c r="K6" i="7"/>
  <c r="J6" i="7"/>
  <c r="I14" i="7"/>
  <c r="I13" i="7"/>
  <c r="I12" i="7"/>
  <c r="I10" i="7"/>
  <c r="I8" i="7"/>
  <c r="I6" i="7"/>
  <c r="AH14" i="7"/>
  <c r="AG14" i="7"/>
  <c r="AF14" i="7"/>
  <c r="AE14" i="7"/>
  <c r="AH13" i="7"/>
  <c r="AG13" i="7"/>
  <c r="AF13" i="7"/>
  <c r="AE13" i="7"/>
  <c r="AH12" i="7"/>
  <c r="AG12" i="7"/>
  <c r="AF12" i="7"/>
  <c r="AE12" i="7"/>
  <c r="AN10" i="7"/>
  <c r="AM10" i="7"/>
  <c r="AL10" i="7"/>
  <c r="AK10" i="7"/>
  <c r="AJ10" i="7"/>
  <c r="AI10" i="7"/>
  <c r="AH10" i="7"/>
  <c r="AG10" i="7"/>
  <c r="AF10" i="7"/>
  <c r="AE10" i="7"/>
  <c r="AN8" i="7"/>
  <c r="AM8" i="7"/>
  <c r="AL8" i="7"/>
  <c r="AK8" i="7"/>
  <c r="AJ8" i="7"/>
  <c r="AI8" i="7"/>
  <c r="AH8" i="7"/>
  <c r="AG8" i="7"/>
  <c r="AF8" i="7"/>
  <c r="AE8" i="7"/>
  <c r="AN6" i="7"/>
  <c r="AM6" i="7"/>
  <c r="AL6" i="7"/>
  <c r="AK6" i="7"/>
  <c r="AJ6" i="7"/>
  <c r="AI6" i="7"/>
  <c r="AH6" i="7"/>
  <c r="AG6" i="7"/>
  <c r="AF6" i="7"/>
  <c r="AE6" i="7"/>
  <c r="AO10" i="7"/>
  <c r="AO8" i="7"/>
  <c r="AO6" i="7"/>
  <c r="U58" i="2" l="1"/>
  <c r="X53" i="2"/>
  <c r="Y53" i="2" s="1"/>
  <c r="W58" i="2"/>
  <c r="T67" i="2"/>
  <c r="U67" i="2" s="1"/>
  <c r="U70" i="2" s="1"/>
  <c r="T57" i="2"/>
  <c r="S60" i="2"/>
  <c r="S4" i="2" s="1"/>
  <c r="R67" i="2"/>
  <c r="Q11" i="2"/>
  <c r="AU3" i="2"/>
  <c r="AK58" i="2"/>
  <c r="AL56" i="2"/>
  <c r="AM56" i="2" s="1"/>
  <c r="AN56" i="2" s="1"/>
  <c r="AO56" i="2" s="1"/>
  <c r="W88" i="2"/>
  <c r="W90" i="2"/>
  <c r="Y90" i="2"/>
  <c r="Y88" i="2"/>
  <c r="AM58" i="2"/>
  <c r="AN53" i="2"/>
  <c r="AL58" i="2"/>
  <c r="AL68" i="2"/>
  <c r="AM63" i="2"/>
  <c r="AK68" i="2"/>
  <c r="AI60" i="2"/>
  <c r="AI61" i="2" s="1"/>
  <c r="AI70" i="2"/>
  <c r="AI59" i="2"/>
  <c r="AI36" i="3"/>
  <c r="AI17" i="3"/>
  <c r="AI22" i="3" s="1"/>
  <c r="N22" i="2"/>
  <c r="AI41" i="1"/>
  <c r="AI15" i="1"/>
  <c r="AI37" i="7" s="1"/>
  <c r="AI36" i="7"/>
  <c r="AI21" i="1"/>
  <c r="AI31" i="7"/>
  <c r="AI8" i="1"/>
  <c r="AI10" i="1"/>
  <c r="AI12" i="1"/>
  <c r="AF11" i="7"/>
  <c r="X11" i="7"/>
  <c r="J11" i="7"/>
  <c r="R11" i="7"/>
  <c r="AO11" i="7"/>
  <c r="W11" i="7"/>
  <c r="AE11" i="7"/>
  <c r="K11" i="7"/>
  <c r="S11" i="7"/>
  <c r="AI11" i="7"/>
  <c r="AJ11" i="7"/>
  <c r="L11" i="7"/>
  <c r="T11" i="7"/>
  <c r="AL11" i="7"/>
  <c r="AK11" i="7"/>
  <c r="AG11" i="7"/>
  <c r="I11" i="7"/>
  <c r="AN11" i="7"/>
  <c r="V11" i="7"/>
  <c r="U11" i="7"/>
  <c r="M11" i="7"/>
  <c r="AM11" i="7"/>
  <c r="AH11" i="7"/>
  <c r="Q11" i="7"/>
  <c r="Y11" i="7"/>
  <c r="P11" i="7"/>
  <c r="Z11" i="7"/>
  <c r="V67" i="2" l="1"/>
  <c r="W67" i="2" s="1"/>
  <c r="X67" i="2" s="1"/>
  <c r="Y67" i="2" s="1"/>
  <c r="Y70" i="2" s="1"/>
  <c r="Y58" i="2"/>
  <c r="Z53" i="2"/>
  <c r="T60" i="2"/>
  <c r="T4" i="2" s="1"/>
  <c r="T11" i="2" s="1"/>
  <c r="T22" i="2" s="1"/>
  <c r="U57" i="2"/>
  <c r="S3" i="2"/>
  <c r="S11" i="2" s="1"/>
  <c r="O3" i="2"/>
  <c r="O4" i="2"/>
  <c r="AN63" i="2"/>
  <c r="AM68" i="2"/>
  <c r="AK70" i="2"/>
  <c r="AL67" i="2"/>
  <c r="AO53" i="2"/>
  <c r="AN58" i="2"/>
  <c r="AI47" i="3"/>
  <c r="AI50" i="3" s="1"/>
  <c r="AI38" i="7"/>
  <c r="AI24" i="1"/>
  <c r="AI23" i="1"/>
  <c r="AO1" i="7"/>
  <c r="AN1" i="7"/>
  <c r="AM1" i="7"/>
  <c r="AL1" i="7"/>
  <c r="AK1" i="7"/>
  <c r="AJ1" i="7"/>
  <c r="AH1" i="7"/>
  <c r="AG1" i="7"/>
  <c r="AF1" i="7"/>
  <c r="AE1" i="7"/>
  <c r="Z1" i="7"/>
  <c r="Y1" i="7"/>
  <c r="X1" i="7"/>
  <c r="W1" i="7"/>
  <c r="V1" i="7"/>
  <c r="U1" i="7"/>
  <c r="T1" i="7"/>
  <c r="S1" i="7"/>
  <c r="R1" i="7"/>
  <c r="Q1" i="7"/>
  <c r="P1" i="7"/>
  <c r="O1" i="7"/>
  <c r="N1" i="7"/>
  <c r="M1" i="7"/>
  <c r="L1" i="7"/>
  <c r="K1" i="7"/>
  <c r="J1" i="7"/>
  <c r="I1" i="7"/>
  <c r="Z67" i="2" l="1"/>
  <c r="W70" i="2"/>
  <c r="U60" i="2"/>
  <c r="V57" i="2"/>
  <c r="AM67" i="2"/>
  <c r="AL70" i="2"/>
  <c r="AO58" i="2"/>
  <c r="AO63" i="2"/>
  <c r="AN68" i="2"/>
  <c r="AH50" i="7"/>
  <c r="AH51" i="7" s="1"/>
  <c r="AI39" i="7"/>
  <c r="C14" i="12"/>
  <c r="D5" i="12"/>
  <c r="E5" i="12" s="1"/>
  <c r="V60" i="2" l="1"/>
  <c r="W57" i="2"/>
  <c r="AN67" i="2"/>
  <c r="AM70" i="2"/>
  <c r="AO68" i="2"/>
  <c r="D14" i="12"/>
  <c r="F5" i="12"/>
  <c r="E14" i="12"/>
  <c r="X57" i="2" l="1"/>
  <c r="W60" i="2"/>
  <c r="AO67" i="2"/>
  <c r="AO70" i="2" s="1"/>
  <c r="AN70" i="2"/>
  <c r="G5" i="12"/>
  <c r="G14" i="12" s="1"/>
  <c r="F14" i="12"/>
  <c r="Y57" i="2" l="1"/>
  <c r="X60" i="2"/>
  <c r="O35" i="3"/>
  <c r="N48" i="3"/>
  <c r="N9" i="3"/>
  <c r="AO35" i="3"/>
  <c r="AN35" i="3"/>
  <c r="AM35" i="3"/>
  <c r="AL35" i="3"/>
  <c r="AK35" i="3"/>
  <c r="AJ35" i="3"/>
  <c r="AO1" i="3"/>
  <c r="AN1" i="3"/>
  <c r="AM1" i="3"/>
  <c r="AL1" i="3"/>
  <c r="AK1" i="3"/>
  <c r="AJ1" i="3"/>
  <c r="N83" i="2"/>
  <c r="AI83" i="2"/>
  <c r="AI44" i="2"/>
  <c r="AI25" i="2"/>
  <c r="AI19" i="2"/>
  <c r="N20" i="1"/>
  <c r="AH101" i="2"/>
  <c r="AG101" i="2"/>
  <c r="M101" i="2"/>
  <c r="K101" i="2"/>
  <c r="I101" i="2"/>
  <c r="AH100" i="2"/>
  <c r="AH99" i="2"/>
  <c r="AG100" i="2"/>
  <c r="AG99" i="2"/>
  <c r="M100" i="2"/>
  <c r="K100" i="2"/>
  <c r="I100" i="2"/>
  <c r="M99" i="2"/>
  <c r="K99" i="2"/>
  <c r="I99" i="2"/>
  <c r="A100" i="2"/>
  <c r="A99" i="2"/>
  <c r="AJ82" i="2"/>
  <c r="AH90" i="2"/>
  <c r="AG90" i="2"/>
  <c r="K90" i="2"/>
  <c r="I90" i="2"/>
  <c r="M90" i="2"/>
  <c r="Z57" i="2" l="1"/>
  <c r="Z60" i="2" s="1"/>
  <c r="Y60" i="2"/>
  <c r="AJ31" i="2"/>
  <c r="AJ38" i="3"/>
  <c r="O83" i="2"/>
  <c r="O38" i="2" s="1"/>
  <c r="AI36" i="2"/>
  <c r="AK82" i="2"/>
  <c r="AJ83" i="2"/>
  <c r="N82" i="2"/>
  <c r="AI84" i="2"/>
  <c r="AK31" i="2" l="1"/>
  <c r="AK38" i="3"/>
  <c r="AI90" i="2"/>
  <c r="N90" i="2" s="1"/>
  <c r="N17" i="1" s="1"/>
  <c r="AJ84" i="2"/>
  <c r="AJ38" i="2"/>
  <c r="AL82" i="2"/>
  <c r="R82" i="2"/>
  <c r="AK83" i="2"/>
  <c r="P83" i="2"/>
  <c r="AL31" i="2" l="1"/>
  <c r="AL38" i="3"/>
  <c r="AJ90" i="2"/>
  <c r="AJ17" i="1" s="1"/>
  <c r="AJ88" i="2"/>
  <c r="AK84" i="2"/>
  <c r="AK38" i="2"/>
  <c r="AM82" i="2"/>
  <c r="T82" i="2"/>
  <c r="AL83" i="2"/>
  <c r="AL38" i="2" s="1"/>
  <c r="R83" i="2"/>
  <c r="AM31" i="2" l="1"/>
  <c r="AM38" i="3"/>
  <c r="AK90" i="2"/>
  <c r="AK17" i="1" s="1"/>
  <c r="AK88" i="2"/>
  <c r="AN82" i="2"/>
  <c r="V82" i="2"/>
  <c r="AM83" i="2"/>
  <c r="AM38" i="2" s="1"/>
  <c r="T83" i="2"/>
  <c r="AL84" i="2"/>
  <c r="AN31" i="2" l="1"/>
  <c r="AN38" i="3"/>
  <c r="AL90" i="2"/>
  <c r="AL17" i="1" s="1"/>
  <c r="AL88" i="2"/>
  <c r="AO82" i="2"/>
  <c r="X82" i="2"/>
  <c r="AN83" i="2"/>
  <c r="AN38" i="2" s="1"/>
  <c r="V83" i="2"/>
  <c r="AM84" i="2"/>
  <c r="AM90" i="2" l="1"/>
  <c r="AM17" i="1" s="1"/>
  <c r="AM88" i="2"/>
  <c r="AO31" i="2"/>
  <c r="AO38" i="3"/>
  <c r="AO83" i="2"/>
  <c r="X83" i="2"/>
  <c r="AN84" i="2"/>
  <c r="Z82" i="2"/>
  <c r="AN90" i="2" l="1"/>
  <c r="AN17" i="1" s="1"/>
  <c r="AN88" i="2"/>
  <c r="Z83" i="2"/>
  <c r="AO38" i="2"/>
  <c r="AO84" i="2"/>
  <c r="AO90" i="2" l="1"/>
  <c r="AO17" i="1" s="1"/>
  <c r="AO88" i="2"/>
  <c r="Z84" i="2"/>
  <c r="Z88" i="2" s="1"/>
  <c r="X84" i="2"/>
  <c r="X88" i="2" s="1"/>
  <c r="V84" i="2"/>
  <c r="V88" i="2" s="1"/>
  <c r="T84" i="2"/>
  <c r="T88" i="2" s="1"/>
  <c r="R84" i="2"/>
  <c r="R88" i="2" s="1"/>
  <c r="P84" i="2"/>
  <c r="P88" i="2" s="1"/>
  <c r="N84" i="2"/>
  <c r="M83" i="2"/>
  <c r="K83" i="2"/>
  <c r="M82" i="2"/>
  <c r="K82" i="2"/>
  <c r="I83" i="2"/>
  <c r="I82" i="2"/>
  <c r="O44" i="2"/>
  <c r="AJ19" i="2"/>
  <c r="AK19" i="2" s="1"/>
  <c r="AL19" i="2" s="1"/>
  <c r="AM19" i="2" s="1"/>
  <c r="AN19" i="2" s="1"/>
  <c r="AO19" i="2" s="1"/>
  <c r="O18" i="2"/>
  <c r="AJ44" i="2"/>
  <c r="AK44" i="2" s="1"/>
  <c r="AL44" i="2" s="1"/>
  <c r="AM44" i="2" s="1"/>
  <c r="AN44" i="2" s="1"/>
  <c r="AO44" i="2" s="1"/>
  <c r="O43" i="2"/>
  <c r="AJ42" i="2"/>
  <c r="O41" i="2"/>
  <c r="O40" i="2"/>
  <c r="AJ35" i="2"/>
  <c r="AJ34" i="2"/>
  <c r="AJ33" i="2"/>
  <c r="O25" i="2"/>
  <c r="AJ24" i="2"/>
  <c r="AJ10" i="2"/>
  <c r="AJ9" i="2"/>
  <c r="AJ8" i="2"/>
  <c r="AK8" i="2" s="1"/>
  <c r="AJ7" i="2"/>
  <c r="AJ6" i="2"/>
  <c r="AG66" i="2"/>
  <c r="AH56" i="2"/>
  <c r="AG56" i="2"/>
  <c r="AH68" i="2"/>
  <c r="AH67" i="2" s="1"/>
  <c r="AG68" i="2"/>
  <c r="AG67" i="2" s="1"/>
  <c r="AH58" i="2"/>
  <c r="AH59" i="2" s="1"/>
  <c r="AG58" i="2"/>
  <c r="AG59" i="2" s="1"/>
  <c r="AH76" i="2"/>
  <c r="AG76" i="2"/>
  <c r="AH84" i="2"/>
  <c r="AH88" i="2" s="1"/>
  <c r="AG84" i="2"/>
  <c r="AG88" i="2" s="1"/>
  <c r="K42" i="1"/>
  <c r="I42" i="1"/>
  <c r="Q9" i="11"/>
  <c r="O28" i="11"/>
  <c r="O26" i="11"/>
  <c r="O35" i="10"/>
  <c r="O33" i="10"/>
  <c r="O28" i="10"/>
  <c r="O26" i="10"/>
  <c r="O22" i="10" s="1"/>
  <c r="O24" i="10"/>
  <c r="O9" i="10"/>
  <c r="Q9" i="10" s="1"/>
  <c r="S9" i="10" s="1"/>
  <c r="U9" i="10" s="1"/>
  <c r="W9" i="10" s="1"/>
  <c r="Y9" i="10" s="1"/>
  <c r="O7" i="10"/>
  <c r="Q7" i="10" s="1"/>
  <c r="S7" i="10" s="1"/>
  <c r="U7" i="10" s="1"/>
  <c r="W7" i="10" s="1"/>
  <c r="Y7" i="10" s="1"/>
  <c r="O47" i="9"/>
  <c r="O41" i="9" s="1"/>
  <c r="O45" i="9"/>
  <c r="O43" i="9"/>
  <c r="O37" i="9"/>
  <c r="O35" i="9"/>
  <c r="O35" i="11" s="1"/>
  <c r="O33" i="9"/>
  <c r="O28" i="9"/>
  <c r="O26" i="9"/>
  <c r="O55" i="9" s="1"/>
  <c r="O56" i="9" s="1"/>
  <c r="O24" i="9"/>
  <c r="O53" i="9" s="1"/>
  <c r="O54" i="9" s="1"/>
  <c r="O9" i="9"/>
  <c r="Q9" i="9" s="1"/>
  <c r="S9" i="9" s="1"/>
  <c r="U9" i="9" s="1"/>
  <c r="W9" i="9" s="1"/>
  <c r="Y9" i="9" s="1"/>
  <c r="Q7" i="9"/>
  <c r="S7" i="9" s="1"/>
  <c r="U7" i="9" s="1"/>
  <c r="W7" i="9" s="1"/>
  <c r="Y7" i="9" s="1"/>
  <c r="O7" i="9"/>
  <c r="O47" i="8"/>
  <c r="O45" i="8"/>
  <c r="O43" i="8"/>
  <c r="O41" i="8" s="1"/>
  <c r="O37" i="8"/>
  <c r="O35" i="8"/>
  <c r="O33" i="8"/>
  <c r="O28" i="8"/>
  <c r="O57" i="8" s="1"/>
  <c r="O26" i="8"/>
  <c r="O55" i="8" s="1"/>
  <c r="O56" i="8" s="1"/>
  <c r="O24" i="8"/>
  <c r="O9" i="8"/>
  <c r="Q9" i="8" s="1"/>
  <c r="S9" i="8" s="1"/>
  <c r="U9" i="8" s="1"/>
  <c r="W9" i="8" s="1"/>
  <c r="Y9" i="8" s="1"/>
  <c r="O7" i="8"/>
  <c r="Q7" i="8" s="1"/>
  <c r="S7" i="8" s="1"/>
  <c r="U7" i="8" s="1"/>
  <c r="W7" i="8" s="1"/>
  <c r="Y7" i="8" s="1"/>
  <c r="O6" i="8"/>
  <c r="S7" i="4"/>
  <c r="S7" i="11" s="1"/>
  <c r="O47" i="4"/>
  <c r="O57" i="4" s="1"/>
  <c r="O58" i="4" s="1"/>
  <c r="O45" i="4"/>
  <c r="O55" i="4" s="1"/>
  <c r="O43" i="4"/>
  <c r="O37" i="4"/>
  <c r="O37" i="11" s="1"/>
  <c r="O35" i="4"/>
  <c r="O33" i="4"/>
  <c r="O28" i="4"/>
  <c r="O26" i="4"/>
  <c r="O24" i="4"/>
  <c r="O53" i="4" s="1"/>
  <c r="O54" i="4" s="1"/>
  <c r="O9" i="4"/>
  <c r="Q9" i="4" s="1"/>
  <c r="S9" i="4" s="1"/>
  <c r="O7" i="4"/>
  <c r="Q7" i="4" s="1"/>
  <c r="Q7" i="11" s="1"/>
  <c r="Z20" i="1"/>
  <c r="Z18" i="1"/>
  <c r="Z16" i="1"/>
  <c r="Z4" i="1"/>
  <c r="Z3" i="1"/>
  <c r="X20" i="1"/>
  <c r="X18" i="1"/>
  <c r="X16" i="1"/>
  <c r="X4" i="1"/>
  <c r="X3" i="1"/>
  <c r="V20" i="1"/>
  <c r="V18" i="1"/>
  <c r="V16" i="1"/>
  <c r="V4" i="1"/>
  <c r="V3" i="1"/>
  <c r="T20" i="1"/>
  <c r="T18" i="1"/>
  <c r="T16" i="1"/>
  <c r="T4" i="1"/>
  <c r="T3" i="1"/>
  <c r="R20" i="1"/>
  <c r="R18" i="1"/>
  <c r="R16" i="1"/>
  <c r="R4" i="1"/>
  <c r="R3" i="1"/>
  <c r="P20" i="1"/>
  <c r="P18" i="1"/>
  <c r="P16" i="1"/>
  <c r="P4" i="1"/>
  <c r="P3" i="1"/>
  <c r="Q8" i="1"/>
  <c r="N37" i="1"/>
  <c r="O37" i="1" s="1"/>
  <c r="AK7" i="8"/>
  <c r="AL7" i="8" s="1"/>
  <c r="AM7" i="8" s="1"/>
  <c r="AN7" i="8" s="1"/>
  <c r="AO7" i="8" s="1"/>
  <c r="AK7" i="4"/>
  <c r="AI6" i="11"/>
  <c r="AI47" i="10"/>
  <c r="AI45" i="10"/>
  <c r="AI43" i="10"/>
  <c r="AI41" i="10" s="1"/>
  <c r="AJ47" i="10" s="1"/>
  <c r="AI37" i="10"/>
  <c r="AI35" i="10"/>
  <c r="AI33" i="10"/>
  <c r="AI53" i="10" s="1"/>
  <c r="AI54" i="10" s="1"/>
  <c r="AI28" i="10"/>
  <c r="AI57" i="10" s="1"/>
  <c r="AI58" i="10" s="1"/>
  <c r="AI15" i="10" s="1"/>
  <c r="AI12" i="10" s="1"/>
  <c r="AI11" i="10" s="1"/>
  <c r="AI26" i="10"/>
  <c r="AI55" i="10" s="1"/>
  <c r="AI56" i="10" s="1"/>
  <c r="AI24" i="10"/>
  <c r="AI9" i="10"/>
  <c r="AJ9" i="10" s="1"/>
  <c r="AK9" i="10" s="1"/>
  <c r="AL9" i="10" s="1"/>
  <c r="AM9" i="10" s="1"/>
  <c r="AN9" i="10" s="1"/>
  <c r="AO9" i="10" s="1"/>
  <c r="AI7" i="10"/>
  <c r="AJ7" i="10" s="1"/>
  <c r="AK7" i="10" s="1"/>
  <c r="AL7" i="10" s="1"/>
  <c r="AM7" i="10" s="1"/>
  <c r="AN7" i="10" s="1"/>
  <c r="AO7" i="10" s="1"/>
  <c r="AI47" i="9"/>
  <c r="AI45" i="9"/>
  <c r="AI43" i="9"/>
  <c r="AI37" i="9"/>
  <c r="AI35" i="9"/>
  <c r="AI33" i="9"/>
  <c r="AI31" i="9" s="1"/>
  <c r="AI28" i="9"/>
  <c r="AI26" i="9"/>
  <c r="AI55" i="9" s="1"/>
  <c r="AI56" i="9" s="1"/>
  <c r="AI24" i="9"/>
  <c r="AI9" i="9"/>
  <c r="AJ9" i="9" s="1"/>
  <c r="AK9" i="9" s="1"/>
  <c r="AL9" i="9" s="1"/>
  <c r="AM9" i="9" s="1"/>
  <c r="AN9" i="9" s="1"/>
  <c r="AO9" i="9" s="1"/>
  <c r="AI7" i="9"/>
  <c r="AJ7" i="9" s="1"/>
  <c r="AK7" i="9" s="1"/>
  <c r="AL7" i="9" s="1"/>
  <c r="AM7" i="9" s="1"/>
  <c r="AN7" i="9" s="1"/>
  <c r="AO7" i="9" s="1"/>
  <c r="AI47" i="8"/>
  <c r="AI45" i="8"/>
  <c r="AI43" i="8"/>
  <c r="AI37" i="8"/>
  <c r="AI35" i="8"/>
  <c r="AI33" i="8"/>
  <c r="AI31" i="8" s="1"/>
  <c r="AI28" i="8"/>
  <c r="AI26" i="8"/>
  <c r="AI55" i="8" s="1"/>
  <c r="AI56" i="8" s="1"/>
  <c r="AI24" i="8"/>
  <c r="AI9" i="8"/>
  <c r="AI9" i="11" s="1"/>
  <c r="AI10" i="11" s="1"/>
  <c r="AI7" i="8"/>
  <c r="AJ7" i="8" s="1"/>
  <c r="AJ7" i="4"/>
  <c r="AI7" i="11" s="1"/>
  <c r="AJ9" i="4"/>
  <c r="AK9" i="4" s="1"/>
  <c r="AJ47" i="4"/>
  <c r="AJ45" i="4"/>
  <c r="AI45" i="11" s="1"/>
  <c r="AJ43" i="4"/>
  <c r="AJ37" i="4"/>
  <c r="AI37" i="11" s="1"/>
  <c r="AJ35" i="4"/>
  <c r="AI35" i="11" s="1"/>
  <c r="AJ33" i="4"/>
  <c r="AJ28" i="4"/>
  <c r="AJ26" i="4"/>
  <c r="AJ24" i="4"/>
  <c r="AI24" i="11" s="1"/>
  <c r="AG42" i="1"/>
  <c r="AH5" i="1"/>
  <c r="AG5" i="1"/>
  <c r="AF5" i="1"/>
  <c r="AF14" i="1" s="1"/>
  <c r="AI12" i="4"/>
  <c r="AH58" i="11"/>
  <c r="AH56" i="11"/>
  <c r="AH54" i="11"/>
  <c r="AH48" i="11"/>
  <c r="AH46" i="11"/>
  <c r="AH44" i="11"/>
  <c r="AH38" i="11"/>
  <c r="AH36" i="11"/>
  <c r="AH34" i="11"/>
  <c r="AH29" i="11"/>
  <c r="AH27" i="11"/>
  <c r="AH25" i="11"/>
  <c r="AH12" i="11"/>
  <c r="AH10" i="11"/>
  <c r="AH8" i="11"/>
  <c r="AH6" i="11"/>
  <c r="AH17" i="11" s="1"/>
  <c r="AH42" i="1" s="1"/>
  <c r="AH58" i="10"/>
  <c r="AH56" i="10"/>
  <c r="AH54" i="10"/>
  <c r="AH48" i="10"/>
  <c r="AH46" i="10"/>
  <c r="AH44" i="10"/>
  <c r="AH38" i="10"/>
  <c r="AH36" i="10"/>
  <c r="AH34" i="10"/>
  <c r="AH29" i="10"/>
  <c r="AH27" i="10"/>
  <c r="AH25" i="10"/>
  <c r="AH12" i="10"/>
  <c r="AH10" i="10"/>
  <c r="AH8" i="10"/>
  <c r="AH6" i="10"/>
  <c r="AH17" i="10" s="1"/>
  <c r="AI6" i="10" s="1"/>
  <c r="AH58" i="9"/>
  <c r="AH56" i="9"/>
  <c r="AH54" i="9"/>
  <c r="AH48" i="9"/>
  <c r="AH46" i="9"/>
  <c r="AH44" i="9"/>
  <c r="AH38" i="9"/>
  <c r="AH36" i="9"/>
  <c r="AH34" i="9"/>
  <c r="AH29" i="9"/>
  <c r="AH27" i="9"/>
  <c r="AH25" i="9"/>
  <c r="AH12" i="9"/>
  <c r="AH10" i="9"/>
  <c r="AH8" i="9"/>
  <c r="AH6" i="9"/>
  <c r="AH17" i="9" s="1"/>
  <c r="AI6" i="9" s="1"/>
  <c r="AH54" i="8"/>
  <c r="AH56" i="8"/>
  <c r="AH58" i="8"/>
  <c r="AH48" i="8"/>
  <c r="AH46" i="8"/>
  <c r="AH44" i="8"/>
  <c r="AH38" i="8"/>
  <c r="AH36" i="8"/>
  <c r="AH34" i="8"/>
  <c r="AH29" i="8"/>
  <c r="AH27" i="8"/>
  <c r="AH25" i="8"/>
  <c r="AH17" i="8"/>
  <c r="AI6" i="8" s="1"/>
  <c r="AH12" i="8"/>
  <c r="AH10" i="8"/>
  <c r="AH8" i="8"/>
  <c r="AH6" i="8"/>
  <c r="AI58" i="4"/>
  <c r="AI56" i="4"/>
  <c r="AI54" i="4"/>
  <c r="AI46" i="4"/>
  <c r="AI44" i="4"/>
  <c r="AI38" i="4"/>
  <c r="AI36" i="4"/>
  <c r="AI34" i="4"/>
  <c r="AI29" i="4"/>
  <c r="AI27" i="4"/>
  <c r="AI25" i="4"/>
  <c r="AI10" i="4"/>
  <c r="AI8" i="4"/>
  <c r="AI6" i="4"/>
  <c r="AI17" i="4" s="1"/>
  <c r="AJ6" i="4" s="1"/>
  <c r="J38" i="11"/>
  <c r="I38" i="11"/>
  <c r="H38" i="11"/>
  <c r="G38" i="11"/>
  <c r="I6" i="11"/>
  <c r="H6" i="11"/>
  <c r="G6" i="11"/>
  <c r="J38" i="10"/>
  <c r="I38" i="10"/>
  <c r="H38" i="10"/>
  <c r="G38" i="10"/>
  <c r="I6" i="10"/>
  <c r="I48" i="9"/>
  <c r="G6" i="9"/>
  <c r="I6" i="9"/>
  <c r="I12" i="8"/>
  <c r="I6" i="8"/>
  <c r="I22" i="4"/>
  <c r="K27" i="4" s="1"/>
  <c r="I6" i="4"/>
  <c r="K6" i="4"/>
  <c r="K38" i="11"/>
  <c r="K12" i="11"/>
  <c r="K6" i="11"/>
  <c r="M12" i="11"/>
  <c r="K38" i="10"/>
  <c r="K12" i="10"/>
  <c r="K6" i="10"/>
  <c r="K6" i="9"/>
  <c r="K51" i="8"/>
  <c r="K31" i="8"/>
  <c r="M38" i="8" s="1"/>
  <c r="K22" i="8"/>
  <c r="M29" i="8" s="1"/>
  <c r="K12" i="8"/>
  <c r="K6" i="8"/>
  <c r="I18" i="4"/>
  <c r="K18" i="4"/>
  <c r="M12" i="10"/>
  <c r="L58" i="11"/>
  <c r="K58" i="11"/>
  <c r="J58" i="11"/>
  <c r="I58" i="11"/>
  <c r="H58" i="11"/>
  <c r="G58" i="11"/>
  <c r="L56" i="11"/>
  <c r="K56" i="11"/>
  <c r="J56" i="11"/>
  <c r="I56" i="11"/>
  <c r="H56" i="11"/>
  <c r="G56" i="11"/>
  <c r="L54" i="11"/>
  <c r="K54" i="11"/>
  <c r="J54" i="11"/>
  <c r="I54" i="11"/>
  <c r="H54" i="11"/>
  <c r="G54" i="11"/>
  <c r="L52" i="11"/>
  <c r="J52" i="11"/>
  <c r="I52" i="11"/>
  <c r="H52" i="11"/>
  <c r="G52" i="11"/>
  <c r="L46" i="11"/>
  <c r="K46" i="11"/>
  <c r="J46" i="11"/>
  <c r="I46" i="11"/>
  <c r="H46" i="11"/>
  <c r="G46" i="11"/>
  <c r="L44" i="11"/>
  <c r="K44" i="11"/>
  <c r="J44" i="11"/>
  <c r="I44" i="11"/>
  <c r="H44" i="11"/>
  <c r="G44" i="11"/>
  <c r="L42" i="11"/>
  <c r="K42" i="11"/>
  <c r="J42" i="11"/>
  <c r="I42" i="11"/>
  <c r="H42" i="11"/>
  <c r="G42" i="11"/>
  <c r="L36" i="11"/>
  <c r="K36" i="11"/>
  <c r="J36" i="11"/>
  <c r="I36" i="11"/>
  <c r="H36" i="11"/>
  <c r="G36" i="11"/>
  <c r="L34" i="11"/>
  <c r="K34" i="11"/>
  <c r="J34" i="11"/>
  <c r="I34" i="11"/>
  <c r="H34" i="11"/>
  <c r="G34" i="11"/>
  <c r="L32" i="11"/>
  <c r="K32" i="11"/>
  <c r="J32" i="11"/>
  <c r="I32" i="11"/>
  <c r="H32" i="11"/>
  <c r="G32" i="11"/>
  <c r="L29" i="11"/>
  <c r="K29" i="11"/>
  <c r="J29" i="11"/>
  <c r="I29" i="11"/>
  <c r="H29" i="11"/>
  <c r="G29" i="11"/>
  <c r="L27" i="11"/>
  <c r="K27" i="11"/>
  <c r="J27" i="11"/>
  <c r="I27" i="11"/>
  <c r="H27" i="11"/>
  <c r="G27" i="11"/>
  <c r="L25" i="11"/>
  <c r="K25" i="11"/>
  <c r="J25" i="11"/>
  <c r="I25" i="11"/>
  <c r="H25" i="11"/>
  <c r="G25" i="11"/>
  <c r="L23" i="11"/>
  <c r="K23" i="11"/>
  <c r="J23" i="11"/>
  <c r="I23" i="11"/>
  <c r="H23" i="11"/>
  <c r="G23" i="11"/>
  <c r="M10" i="11"/>
  <c r="L8" i="11"/>
  <c r="I8" i="11"/>
  <c r="H8" i="11"/>
  <c r="L12" i="11"/>
  <c r="J12" i="11"/>
  <c r="I12" i="11"/>
  <c r="H12" i="11"/>
  <c r="G12" i="11"/>
  <c r="L10" i="11"/>
  <c r="K10" i="11"/>
  <c r="J10" i="11"/>
  <c r="I10" i="11"/>
  <c r="G10" i="11"/>
  <c r="K8" i="11"/>
  <c r="J8" i="11"/>
  <c r="G8" i="11"/>
  <c r="L58" i="10"/>
  <c r="K58" i="10"/>
  <c r="J58" i="10"/>
  <c r="I58" i="10"/>
  <c r="H58" i="10"/>
  <c r="G58" i="10"/>
  <c r="L56" i="10"/>
  <c r="K56" i="10"/>
  <c r="J56" i="10"/>
  <c r="I56" i="10"/>
  <c r="H56" i="10"/>
  <c r="G56" i="10"/>
  <c r="L54" i="10"/>
  <c r="K54" i="10"/>
  <c r="J54" i="10"/>
  <c r="I54" i="10"/>
  <c r="H54" i="10"/>
  <c r="G54" i="10"/>
  <c r="L52" i="10"/>
  <c r="J52" i="10"/>
  <c r="I52" i="10"/>
  <c r="H52" i="10"/>
  <c r="G52" i="10"/>
  <c r="L48" i="10"/>
  <c r="K48" i="10"/>
  <c r="J48" i="10"/>
  <c r="I48" i="10"/>
  <c r="H48" i="10"/>
  <c r="G48" i="10"/>
  <c r="L46" i="10"/>
  <c r="K46" i="10"/>
  <c r="J46" i="10"/>
  <c r="I46" i="10"/>
  <c r="H46" i="10"/>
  <c r="G46" i="10"/>
  <c r="K44" i="10"/>
  <c r="J44" i="10"/>
  <c r="I44" i="10"/>
  <c r="H44" i="10"/>
  <c r="G44" i="10"/>
  <c r="L42" i="10"/>
  <c r="K42" i="10"/>
  <c r="J42" i="10"/>
  <c r="I42" i="10"/>
  <c r="H42" i="10"/>
  <c r="G42" i="10"/>
  <c r="L36" i="10"/>
  <c r="K36" i="10"/>
  <c r="J36" i="10"/>
  <c r="I36" i="10"/>
  <c r="H36" i="10"/>
  <c r="G36" i="10"/>
  <c r="L34" i="10"/>
  <c r="K34" i="10"/>
  <c r="J34" i="10"/>
  <c r="I34" i="10"/>
  <c r="H34" i="10"/>
  <c r="G34" i="10"/>
  <c r="L32" i="10"/>
  <c r="K32" i="10"/>
  <c r="J32" i="10"/>
  <c r="I32" i="10"/>
  <c r="H32" i="10"/>
  <c r="G32" i="10"/>
  <c r="L29" i="10"/>
  <c r="K29" i="10"/>
  <c r="J29" i="10"/>
  <c r="I29" i="10"/>
  <c r="H29" i="10"/>
  <c r="G29" i="10"/>
  <c r="L27" i="10"/>
  <c r="K27" i="10"/>
  <c r="J27" i="10"/>
  <c r="I27" i="10"/>
  <c r="H27" i="10"/>
  <c r="G27" i="10"/>
  <c r="L25" i="10"/>
  <c r="K25" i="10"/>
  <c r="J25" i="10"/>
  <c r="I25" i="10"/>
  <c r="H25" i="10"/>
  <c r="G25" i="10"/>
  <c r="L23" i="10"/>
  <c r="K23" i="10"/>
  <c r="J23" i="10"/>
  <c r="I23" i="10"/>
  <c r="H23" i="10"/>
  <c r="G23" i="10"/>
  <c r="L12" i="10"/>
  <c r="J12" i="10"/>
  <c r="I12" i="10"/>
  <c r="H12" i="10"/>
  <c r="G12" i="10"/>
  <c r="L10" i="10"/>
  <c r="K10" i="10"/>
  <c r="J10" i="10"/>
  <c r="I10" i="10"/>
  <c r="H10" i="10"/>
  <c r="G10" i="10"/>
  <c r="L8" i="10"/>
  <c r="K8" i="10"/>
  <c r="J8" i="10"/>
  <c r="I8" i="10"/>
  <c r="H8" i="10"/>
  <c r="G8" i="10"/>
  <c r="L58" i="9"/>
  <c r="K58" i="9"/>
  <c r="J58" i="9"/>
  <c r="I58" i="9"/>
  <c r="H58" i="9"/>
  <c r="G58" i="9"/>
  <c r="L56" i="9"/>
  <c r="K56" i="9"/>
  <c r="J56" i="9"/>
  <c r="I56" i="9"/>
  <c r="H56" i="9"/>
  <c r="G56" i="9"/>
  <c r="L54" i="9"/>
  <c r="K54" i="9"/>
  <c r="J54" i="9"/>
  <c r="I54" i="9"/>
  <c r="H54" i="9"/>
  <c r="G54" i="9"/>
  <c r="L52" i="9"/>
  <c r="J52" i="9"/>
  <c r="I52" i="9"/>
  <c r="H52" i="9"/>
  <c r="G52" i="9"/>
  <c r="L46" i="9"/>
  <c r="K46" i="9"/>
  <c r="J46" i="9"/>
  <c r="I46" i="9"/>
  <c r="H46" i="9"/>
  <c r="G46" i="9"/>
  <c r="L44" i="9"/>
  <c r="K44" i="9"/>
  <c r="J44" i="9"/>
  <c r="I44" i="9"/>
  <c r="H44" i="9"/>
  <c r="G44" i="9"/>
  <c r="L42" i="9"/>
  <c r="K42" i="9"/>
  <c r="J42" i="9"/>
  <c r="I42" i="9"/>
  <c r="H42" i="9"/>
  <c r="G42" i="9"/>
  <c r="L38" i="9"/>
  <c r="J38" i="9"/>
  <c r="I38" i="9"/>
  <c r="H38" i="9"/>
  <c r="G38" i="9"/>
  <c r="L36" i="9"/>
  <c r="K36" i="9"/>
  <c r="J36" i="9"/>
  <c r="I36" i="9"/>
  <c r="H36" i="9"/>
  <c r="G36" i="9"/>
  <c r="L34" i="9"/>
  <c r="K34" i="9"/>
  <c r="J34" i="9"/>
  <c r="I34" i="9"/>
  <c r="H34" i="9"/>
  <c r="G34" i="9"/>
  <c r="L32" i="9"/>
  <c r="K32" i="9"/>
  <c r="J32" i="9"/>
  <c r="I32" i="9"/>
  <c r="H32" i="9"/>
  <c r="G32" i="9"/>
  <c r="L29" i="9"/>
  <c r="K29" i="9"/>
  <c r="J29" i="9"/>
  <c r="I29" i="9"/>
  <c r="H29" i="9"/>
  <c r="G29" i="9"/>
  <c r="L27" i="9"/>
  <c r="K27" i="9"/>
  <c r="J27" i="9"/>
  <c r="I27" i="9"/>
  <c r="H27" i="9"/>
  <c r="G27" i="9"/>
  <c r="L25" i="9"/>
  <c r="K25" i="9"/>
  <c r="J25" i="9"/>
  <c r="I25" i="9"/>
  <c r="H25" i="9"/>
  <c r="G25" i="9"/>
  <c r="L23" i="9"/>
  <c r="K23" i="9"/>
  <c r="J23" i="9"/>
  <c r="I23" i="9"/>
  <c r="H23" i="9"/>
  <c r="G23" i="9"/>
  <c r="L18" i="9"/>
  <c r="K18" i="9"/>
  <c r="J18" i="9"/>
  <c r="I18" i="9"/>
  <c r="H18" i="9"/>
  <c r="G18" i="9"/>
  <c r="L12" i="9"/>
  <c r="K12" i="9"/>
  <c r="J12" i="9"/>
  <c r="I12" i="9"/>
  <c r="H12" i="9"/>
  <c r="G12" i="9"/>
  <c r="L10" i="9"/>
  <c r="K10" i="9"/>
  <c r="J10" i="9"/>
  <c r="I10" i="9"/>
  <c r="H10" i="9"/>
  <c r="G10" i="9"/>
  <c r="L8" i="9"/>
  <c r="K8" i="9"/>
  <c r="J8" i="9"/>
  <c r="I8" i="9"/>
  <c r="H8" i="9"/>
  <c r="G8" i="9"/>
  <c r="L58" i="8"/>
  <c r="K58" i="8"/>
  <c r="J58" i="8"/>
  <c r="I58" i="8"/>
  <c r="H58" i="8"/>
  <c r="G58" i="8"/>
  <c r="L56" i="8"/>
  <c r="K56" i="8"/>
  <c r="J56" i="8"/>
  <c r="I56" i="8"/>
  <c r="H56" i="8"/>
  <c r="G56" i="8"/>
  <c r="L54" i="8"/>
  <c r="K54" i="8"/>
  <c r="J54" i="8"/>
  <c r="I54" i="8"/>
  <c r="H54" i="8"/>
  <c r="G54" i="8"/>
  <c r="L52" i="8"/>
  <c r="J52" i="8"/>
  <c r="I52" i="8"/>
  <c r="H52" i="8"/>
  <c r="G52" i="8"/>
  <c r="L46" i="8"/>
  <c r="K46" i="8"/>
  <c r="J46" i="8"/>
  <c r="I46" i="8"/>
  <c r="H46" i="8"/>
  <c r="G46" i="8"/>
  <c r="L44" i="8"/>
  <c r="K44" i="8"/>
  <c r="J44" i="8"/>
  <c r="I44" i="8"/>
  <c r="H44" i="8"/>
  <c r="G44" i="8"/>
  <c r="L42" i="8"/>
  <c r="K42" i="8"/>
  <c r="J42" i="8"/>
  <c r="I42" i="8"/>
  <c r="H42" i="8"/>
  <c r="G42" i="8"/>
  <c r="L38" i="8"/>
  <c r="K38" i="8"/>
  <c r="J38" i="8"/>
  <c r="I38" i="8"/>
  <c r="H38" i="8"/>
  <c r="G38" i="8"/>
  <c r="L36" i="8"/>
  <c r="K36" i="8"/>
  <c r="J36" i="8"/>
  <c r="I36" i="8"/>
  <c r="H36" i="8"/>
  <c r="G36" i="8"/>
  <c r="L34" i="8"/>
  <c r="K34" i="8"/>
  <c r="J34" i="8"/>
  <c r="I34" i="8"/>
  <c r="H34" i="8"/>
  <c r="G34" i="8"/>
  <c r="L32" i="8"/>
  <c r="J32" i="8"/>
  <c r="I32" i="8"/>
  <c r="H32" i="8"/>
  <c r="G32" i="8"/>
  <c r="L29" i="8"/>
  <c r="K29" i="8"/>
  <c r="J29" i="8"/>
  <c r="I29" i="8"/>
  <c r="H29" i="8"/>
  <c r="G29" i="8"/>
  <c r="L27" i="8"/>
  <c r="K27" i="8"/>
  <c r="J27" i="8"/>
  <c r="I27" i="8"/>
  <c r="H27" i="8"/>
  <c r="G27" i="8"/>
  <c r="L25" i="8"/>
  <c r="K25" i="8"/>
  <c r="J25" i="8"/>
  <c r="I25" i="8"/>
  <c r="H25" i="8"/>
  <c r="G25" i="8"/>
  <c r="L23" i="8"/>
  <c r="J23" i="8"/>
  <c r="I23" i="8"/>
  <c r="H23" i="8"/>
  <c r="G23" i="8"/>
  <c r="L18" i="8"/>
  <c r="K18" i="8"/>
  <c r="J18" i="8"/>
  <c r="I18" i="8"/>
  <c r="H18" i="8"/>
  <c r="G18" i="8"/>
  <c r="L12" i="8"/>
  <c r="J12" i="8"/>
  <c r="H12" i="8"/>
  <c r="G12" i="8"/>
  <c r="L10" i="8"/>
  <c r="K10" i="8"/>
  <c r="J10" i="8"/>
  <c r="I10" i="8"/>
  <c r="H10" i="8"/>
  <c r="G10" i="8"/>
  <c r="L8" i="8"/>
  <c r="K8" i="8"/>
  <c r="J8" i="8"/>
  <c r="I8" i="8"/>
  <c r="H8" i="8"/>
  <c r="G8" i="8"/>
  <c r="L58" i="4"/>
  <c r="K58" i="4"/>
  <c r="J58" i="4"/>
  <c r="I58" i="4"/>
  <c r="H58" i="4"/>
  <c r="G58" i="4"/>
  <c r="L56" i="4"/>
  <c r="K56" i="4"/>
  <c r="J56" i="4"/>
  <c r="I56" i="4"/>
  <c r="H56" i="4"/>
  <c r="G56" i="4"/>
  <c r="L54" i="4"/>
  <c r="K54" i="4"/>
  <c r="J54" i="4"/>
  <c r="I54" i="4"/>
  <c r="H54" i="4"/>
  <c r="G54" i="4"/>
  <c r="L52" i="4"/>
  <c r="J52" i="4"/>
  <c r="I52" i="4"/>
  <c r="H52" i="4"/>
  <c r="G52" i="4"/>
  <c r="L48" i="4"/>
  <c r="K48" i="4"/>
  <c r="J48" i="4"/>
  <c r="I48" i="4"/>
  <c r="H48" i="4"/>
  <c r="G48" i="4"/>
  <c r="L46" i="4"/>
  <c r="K46" i="4"/>
  <c r="J46" i="4"/>
  <c r="I46" i="4"/>
  <c r="H46" i="4"/>
  <c r="G46" i="4"/>
  <c r="L44" i="4"/>
  <c r="K44" i="4"/>
  <c r="J44" i="4"/>
  <c r="I44" i="4"/>
  <c r="H44" i="4"/>
  <c r="G44" i="4"/>
  <c r="L42" i="4"/>
  <c r="K42" i="4"/>
  <c r="J42" i="4"/>
  <c r="I42" i="4"/>
  <c r="H42" i="4"/>
  <c r="G42" i="4"/>
  <c r="L38" i="4"/>
  <c r="K38" i="4"/>
  <c r="J38" i="4"/>
  <c r="I38" i="4"/>
  <c r="H38" i="4"/>
  <c r="G38" i="4"/>
  <c r="L36" i="4"/>
  <c r="K36" i="4"/>
  <c r="J36" i="4"/>
  <c r="I36" i="4"/>
  <c r="H36" i="4"/>
  <c r="G36" i="4"/>
  <c r="L34" i="4"/>
  <c r="K34" i="4"/>
  <c r="J34" i="4"/>
  <c r="I34" i="4"/>
  <c r="H34" i="4"/>
  <c r="G34" i="4"/>
  <c r="L32" i="4"/>
  <c r="K32" i="4"/>
  <c r="J32" i="4"/>
  <c r="I32" i="4"/>
  <c r="H32" i="4"/>
  <c r="G32" i="4"/>
  <c r="L29" i="4"/>
  <c r="J29" i="4"/>
  <c r="I29" i="4"/>
  <c r="H29" i="4"/>
  <c r="G29" i="4"/>
  <c r="L27" i="4"/>
  <c r="J27" i="4"/>
  <c r="I27" i="4"/>
  <c r="H27" i="4"/>
  <c r="G27" i="4"/>
  <c r="L25" i="4"/>
  <c r="J25" i="4"/>
  <c r="I25" i="4"/>
  <c r="H25" i="4"/>
  <c r="G25" i="4"/>
  <c r="L23" i="4"/>
  <c r="J23" i="4"/>
  <c r="H23" i="4"/>
  <c r="G23" i="4"/>
  <c r="L12" i="4"/>
  <c r="K12" i="4"/>
  <c r="J12" i="4"/>
  <c r="I12" i="4"/>
  <c r="H12" i="4"/>
  <c r="G12" i="4"/>
  <c r="F12" i="4"/>
  <c r="E12" i="4"/>
  <c r="L10" i="4"/>
  <c r="K10" i="4"/>
  <c r="J10" i="4"/>
  <c r="I10" i="4"/>
  <c r="H10" i="4"/>
  <c r="G10" i="4"/>
  <c r="F10" i="4"/>
  <c r="L8" i="4"/>
  <c r="K8" i="4"/>
  <c r="J8" i="4"/>
  <c r="I8" i="4"/>
  <c r="H8" i="4"/>
  <c r="G8" i="4"/>
  <c r="F8" i="4"/>
  <c r="M41" i="11"/>
  <c r="M42" i="11" s="1"/>
  <c r="M31" i="11"/>
  <c r="M32" i="11" s="1"/>
  <c r="M22" i="11"/>
  <c r="M23" i="11" s="1"/>
  <c r="M41" i="10"/>
  <c r="M42" i="10" s="1"/>
  <c r="M37" i="10"/>
  <c r="M31" i="10" s="1"/>
  <c r="O37" i="10" s="1"/>
  <c r="M12" i="8"/>
  <c r="M12" i="9"/>
  <c r="M38" i="9"/>
  <c r="M54" i="8"/>
  <c r="K51" i="11"/>
  <c r="M46" i="11"/>
  <c r="M44" i="11"/>
  <c r="M36" i="11"/>
  <c r="M34" i="11"/>
  <c r="M29" i="11"/>
  <c r="M27" i="11"/>
  <c r="M25" i="11"/>
  <c r="M8" i="11"/>
  <c r="M6" i="11"/>
  <c r="M17" i="11" s="1"/>
  <c r="M42" i="1" s="1"/>
  <c r="K51" i="10"/>
  <c r="M56" i="10" s="1"/>
  <c r="M48" i="10"/>
  <c r="M46" i="10"/>
  <c r="M44" i="10"/>
  <c r="M36" i="10"/>
  <c r="M34" i="10"/>
  <c r="M29" i="10"/>
  <c r="M27" i="10"/>
  <c r="M25" i="10"/>
  <c r="M23" i="10"/>
  <c r="M10" i="10"/>
  <c r="M8" i="10"/>
  <c r="M6" i="10"/>
  <c r="M17" i="10" s="1"/>
  <c r="O6" i="10" s="1"/>
  <c r="K51" i="9"/>
  <c r="M46" i="9"/>
  <c r="M44" i="9"/>
  <c r="M42" i="9"/>
  <c r="M36" i="9"/>
  <c r="M34" i="9"/>
  <c r="M32" i="9"/>
  <c r="M29" i="9"/>
  <c r="M27" i="9"/>
  <c r="M25" i="9"/>
  <c r="M23" i="9"/>
  <c r="M10" i="9"/>
  <c r="M8" i="9"/>
  <c r="M6" i="9"/>
  <c r="M17" i="9" s="1"/>
  <c r="O6" i="9" s="1"/>
  <c r="M51" i="8"/>
  <c r="M46" i="8"/>
  <c r="M44" i="8"/>
  <c r="M42" i="8"/>
  <c r="M34" i="8"/>
  <c r="M27" i="8"/>
  <c r="M23" i="8"/>
  <c r="M10" i="8"/>
  <c r="M8" i="8"/>
  <c r="M6" i="8"/>
  <c r="M48" i="4"/>
  <c r="M46" i="4"/>
  <c r="M44" i="4"/>
  <c r="M42" i="4"/>
  <c r="M38" i="4"/>
  <c r="M36" i="4"/>
  <c r="M34" i="4"/>
  <c r="M32" i="4"/>
  <c r="M29" i="4"/>
  <c r="M27" i="4"/>
  <c r="M25" i="4"/>
  <c r="M23" i="4"/>
  <c r="K51" i="4"/>
  <c r="M56" i="4" s="1"/>
  <c r="M51" i="4"/>
  <c r="M12" i="4"/>
  <c r="M10" i="4"/>
  <c r="M8" i="4"/>
  <c r="M6" i="4"/>
  <c r="M17" i="4" s="1"/>
  <c r="M18" i="4" s="1"/>
  <c r="AH1" i="3"/>
  <c r="AH1" i="11" s="1"/>
  <c r="E26" i="2"/>
  <c r="AE26" i="2"/>
  <c r="G26" i="2"/>
  <c r="B1" i="3"/>
  <c r="B1" i="4" s="1"/>
  <c r="C1" i="3"/>
  <c r="C1" i="4" s="1"/>
  <c r="D1" i="3"/>
  <c r="D1" i="4" s="1"/>
  <c r="C3" i="3"/>
  <c r="C5" i="3"/>
  <c r="C6" i="3"/>
  <c r="C7" i="3"/>
  <c r="C8" i="3"/>
  <c r="C9" i="3"/>
  <c r="C10" i="3"/>
  <c r="B11" i="3"/>
  <c r="D11" i="3"/>
  <c r="C12" i="3"/>
  <c r="C13" i="3"/>
  <c r="C14" i="3"/>
  <c r="B15" i="3"/>
  <c r="D15" i="3"/>
  <c r="C16" i="3"/>
  <c r="C18" i="3"/>
  <c r="C19" i="3"/>
  <c r="C20" i="3"/>
  <c r="C21" i="3"/>
  <c r="C24" i="3"/>
  <c r="C25" i="3"/>
  <c r="C26" i="3"/>
  <c r="C27" i="3"/>
  <c r="C28" i="3"/>
  <c r="B29" i="3"/>
  <c r="D29" i="3"/>
  <c r="C31" i="3"/>
  <c r="C32" i="3"/>
  <c r="C33" i="3"/>
  <c r="C34" i="3"/>
  <c r="B35" i="3"/>
  <c r="D35" i="3"/>
  <c r="C38" i="3"/>
  <c r="C39" i="3"/>
  <c r="C40" i="3"/>
  <c r="C41" i="3"/>
  <c r="C42" i="3"/>
  <c r="C43" i="3"/>
  <c r="C44" i="3"/>
  <c r="B45" i="3"/>
  <c r="D45" i="3"/>
  <c r="C49" i="3"/>
  <c r="AF26" i="2"/>
  <c r="I26" i="2"/>
  <c r="J9" i="2"/>
  <c r="K26" i="2"/>
  <c r="AG26" i="2"/>
  <c r="J26" i="2" s="1"/>
  <c r="AH26" i="2"/>
  <c r="M26" i="2"/>
  <c r="D58" i="2"/>
  <c r="B58" i="2"/>
  <c r="AF84" i="2"/>
  <c r="AF88" i="2" s="1"/>
  <c r="H84" i="2"/>
  <c r="H88" i="2" s="1"/>
  <c r="G84" i="2"/>
  <c r="G88" i="2" s="1"/>
  <c r="AE84" i="2"/>
  <c r="AE88" i="2" s="1"/>
  <c r="F84" i="2"/>
  <c r="F88" i="2" s="1"/>
  <c r="E84" i="2"/>
  <c r="E88" i="2" s="1"/>
  <c r="D84" i="2"/>
  <c r="D88" i="2" s="1"/>
  <c r="C84" i="2"/>
  <c r="C88" i="2" s="1"/>
  <c r="B84" i="2"/>
  <c r="B88" i="2" s="1"/>
  <c r="M45" i="2"/>
  <c r="M20" i="2"/>
  <c r="L28" i="2"/>
  <c r="AH45" i="2"/>
  <c r="L44" i="2"/>
  <c r="AH20" i="2"/>
  <c r="L19" i="2"/>
  <c r="L9" i="2"/>
  <c r="I45" i="2"/>
  <c r="K20" i="2"/>
  <c r="F19" i="2"/>
  <c r="D20" i="2"/>
  <c r="C19" i="2"/>
  <c r="B20" i="2"/>
  <c r="G20" i="2"/>
  <c r="AF20" i="2"/>
  <c r="H19" i="2"/>
  <c r="AG20" i="2"/>
  <c r="J19" i="2"/>
  <c r="I20" i="2"/>
  <c r="AG45" i="2"/>
  <c r="J44" i="2"/>
  <c r="K45" i="2"/>
  <c r="K11" i="2"/>
  <c r="AF45" i="2"/>
  <c r="H44" i="2"/>
  <c r="G45" i="2"/>
  <c r="F44" i="2"/>
  <c r="D45" i="2"/>
  <c r="C44" i="2"/>
  <c r="B45" i="2"/>
  <c r="H28" i="2"/>
  <c r="AG36" i="2"/>
  <c r="J28" i="2"/>
  <c r="AG11" i="2"/>
  <c r="Z49" i="3"/>
  <c r="Z43" i="3"/>
  <c r="Z42" i="3"/>
  <c r="Z41" i="3"/>
  <c r="Z40" i="3"/>
  <c r="Z39" i="3"/>
  <c r="Z34" i="3"/>
  <c r="Z33" i="3"/>
  <c r="Z32" i="3"/>
  <c r="Z31" i="3"/>
  <c r="Z28" i="3"/>
  <c r="Z24" i="3"/>
  <c r="Z21" i="3"/>
  <c r="Z20" i="3"/>
  <c r="Z19" i="3"/>
  <c r="Z18" i="3"/>
  <c r="Z16" i="3"/>
  <c r="X49" i="3"/>
  <c r="X43" i="3"/>
  <c r="X42" i="3"/>
  <c r="X41" i="3"/>
  <c r="X40" i="3"/>
  <c r="X39" i="3"/>
  <c r="X34" i="3"/>
  <c r="X33" i="3"/>
  <c r="X32" i="3"/>
  <c r="X31" i="3"/>
  <c r="X28" i="3"/>
  <c r="X24" i="3"/>
  <c r="X21" i="3"/>
  <c r="X20" i="3"/>
  <c r="X19" i="3"/>
  <c r="X18" i="3"/>
  <c r="X16" i="3"/>
  <c r="V49" i="3"/>
  <c r="V43" i="3"/>
  <c r="V42" i="3"/>
  <c r="V41" i="3"/>
  <c r="V40" i="3"/>
  <c r="V39" i="3"/>
  <c r="V34" i="3"/>
  <c r="V33" i="3"/>
  <c r="V32" i="3"/>
  <c r="V31" i="3"/>
  <c r="V28" i="3"/>
  <c r="V24" i="3"/>
  <c r="V21" i="3"/>
  <c r="V20" i="3"/>
  <c r="V19" i="3"/>
  <c r="V18" i="3"/>
  <c r="V16" i="3"/>
  <c r="T49" i="3"/>
  <c r="T43" i="3"/>
  <c r="T42" i="3"/>
  <c r="T41" i="3"/>
  <c r="T40" i="3"/>
  <c r="T39" i="3"/>
  <c r="T34" i="3"/>
  <c r="T33" i="3"/>
  <c r="T32" i="3"/>
  <c r="T31" i="3"/>
  <c r="T28" i="3"/>
  <c r="T24" i="3"/>
  <c r="T21" i="3"/>
  <c r="T20" i="3"/>
  <c r="T19" i="3"/>
  <c r="T18" i="3"/>
  <c r="T16" i="3"/>
  <c r="R49" i="3"/>
  <c r="R43" i="3"/>
  <c r="R42" i="3"/>
  <c r="R41" i="3"/>
  <c r="R40" i="3"/>
  <c r="R39" i="3"/>
  <c r="R34" i="3"/>
  <c r="R33" i="3"/>
  <c r="R32" i="3"/>
  <c r="R31" i="3"/>
  <c r="R28" i="3"/>
  <c r="R24" i="3"/>
  <c r="R21" i="3"/>
  <c r="R20" i="3"/>
  <c r="R19" i="3"/>
  <c r="R18" i="3"/>
  <c r="R16" i="3"/>
  <c r="P49" i="3"/>
  <c r="P43" i="3"/>
  <c r="P42" i="3"/>
  <c r="P41" i="3"/>
  <c r="P40" i="3"/>
  <c r="P39" i="3"/>
  <c r="P34" i="3"/>
  <c r="P33" i="3"/>
  <c r="P32" i="3"/>
  <c r="P31" i="3"/>
  <c r="P28" i="3"/>
  <c r="P24" i="3"/>
  <c r="P21" i="3"/>
  <c r="P20" i="3"/>
  <c r="P19" i="3"/>
  <c r="P18" i="3"/>
  <c r="P16" i="3"/>
  <c r="N49" i="3"/>
  <c r="N43" i="3"/>
  <c r="N42" i="3"/>
  <c r="N41" i="3"/>
  <c r="N40" i="3"/>
  <c r="N39" i="3"/>
  <c r="N38" i="3"/>
  <c r="N34" i="3"/>
  <c r="N33" i="3"/>
  <c r="N32" i="3"/>
  <c r="N31" i="3"/>
  <c r="N28" i="3"/>
  <c r="N27" i="3"/>
  <c r="N24" i="3"/>
  <c r="N21" i="3"/>
  <c r="N20" i="3"/>
  <c r="N19" i="3"/>
  <c r="N18" i="3"/>
  <c r="N16" i="3"/>
  <c r="N10" i="3"/>
  <c r="N8" i="3"/>
  <c r="N7" i="3"/>
  <c r="N6" i="3"/>
  <c r="L49" i="3"/>
  <c r="L44" i="3"/>
  <c r="L43" i="3"/>
  <c r="L42" i="3"/>
  <c r="L41" i="3"/>
  <c r="L40" i="3"/>
  <c r="L39" i="3"/>
  <c r="L38" i="3"/>
  <c r="L34" i="3"/>
  <c r="L33" i="3"/>
  <c r="L32" i="3"/>
  <c r="L31" i="3"/>
  <c r="L28" i="3"/>
  <c r="L27" i="3"/>
  <c r="L26" i="3"/>
  <c r="L25" i="3"/>
  <c r="L24" i="3"/>
  <c r="L21" i="3"/>
  <c r="L20" i="3"/>
  <c r="L19" i="3"/>
  <c r="L18" i="3"/>
  <c r="L16" i="3"/>
  <c r="L14" i="3"/>
  <c r="L13" i="3"/>
  <c r="L12" i="3"/>
  <c r="L10" i="3"/>
  <c r="L9" i="3"/>
  <c r="L8" i="3"/>
  <c r="L7" i="3"/>
  <c r="L6" i="3"/>
  <c r="L5" i="3"/>
  <c r="L3" i="3"/>
  <c r="J49" i="3"/>
  <c r="J44" i="3"/>
  <c r="J43" i="3"/>
  <c r="J42" i="3"/>
  <c r="J41" i="3"/>
  <c r="J40" i="3"/>
  <c r="J39" i="3"/>
  <c r="J38" i="3"/>
  <c r="J34" i="3"/>
  <c r="J33" i="3"/>
  <c r="J32" i="3"/>
  <c r="J31" i="3"/>
  <c r="J28" i="3"/>
  <c r="J27" i="3"/>
  <c r="J26" i="3"/>
  <c r="J25" i="3"/>
  <c r="J24" i="3"/>
  <c r="J21" i="3"/>
  <c r="J20" i="3"/>
  <c r="J19" i="3"/>
  <c r="J18" i="3"/>
  <c r="J16" i="3"/>
  <c r="J14" i="3"/>
  <c r="J13" i="3"/>
  <c r="J12" i="3"/>
  <c r="J10" i="3"/>
  <c r="J9" i="3"/>
  <c r="J8" i="3"/>
  <c r="J7" i="3"/>
  <c r="J6" i="3"/>
  <c r="J5" i="3"/>
  <c r="J3" i="3"/>
  <c r="H49" i="3"/>
  <c r="H44" i="3"/>
  <c r="H43" i="3"/>
  <c r="H42" i="3"/>
  <c r="H41" i="3"/>
  <c r="H40" i="3"/>
  <c r="H39" i="3"/>
  <c r="H38" i="3"/>
  <c r="H34" i="3"/>
  <c r="H33" i="3"/>
  <c r="H32" i="3"/>
  <c r="H31" i="3"/>
  <c r="H28" i="3"/>
  <c r="H27" i="3"/>
  <c r="H26" i="3"/>
  <c r="H25" i="3"/>
  <c r="H24" i="3"/>
  <c r="H21" i="3"/>
  <c r="H20" i="3"/>
  <c r="H19" i="3"/>
  <c r="H18" i="3"/>
  <c r="H16" i="3"/>
  <c r="H14" i="3"/>
  <c r="H13" i="3"/>
  <c r="H12" i="3"/>
  <c r="H10" i="3"/>
  <c r="H9" i="3"/>
  <c r="H8" i="3"/>
  <c r="H7" i="3"/>
  <c r="H6" i="3"/>
  <c r="H5" i="3"/>
  <c r="H3" i="3"/>
  <c r="F49" i="3"/>
  <c r="F44" i="3"/>
  <c r="F43" i="3"/>
  <c r="F42" i="3"/>
  <c r="F41" i="3"/>
  <c r="F40" i="3"/>
  <c r="F39" i="3"/>
  <c r="F38" i="3"/>
  <c r="F34" i="3"/>
  <c r="F33" i="3"/>
  <c r="F32" i="3"/>
  <c r="F31" i="3"/>
  <c r="F28" i="3"/>
  <c r="F27" i="3"/>
  <c r="F26" i="3"/>
  <c r="F25" i="3"/>
  <c r="F24" i="3"/>
  <c r="F21" i="3"/>
  <c r="F20" i="3"/>
  <c r="F19" i="3"/>
  <c r="F18" i="3"/>
  <c r="F16" i="3"/>
  <c r="F14" i="3"/>
  <c r="F13" i="3"/>
  <c r="F12" i="3"/>
  <c r="F10" i="3"/>
  <c r="F9" i="3"/>
  <c r="F8" i="3"/>
  <c r="F7" i="3"/>
  <c r="F6" i="3"/>
  <c r="F5" i="3"/>
  <c r="F3" i="3"/>
  <c r="M45" i="3"/>
  <c r="AH45" i="3"/>
  <c r="K45" i="3"/>
  <c r="AG45" i="3"/>
  <c r="I45" i="3"/>
  <c r="AF45" i="3"/>
  <c r="G45" i="3"/>
  <c r="AE45" i="3"/>
  <c r="E45" i="3"/>
  <c r="F28" i="2"/>
  <c r="O32" i="2"/>
  <c r="O7" i="2"/>
  <c r="L43" i="2"/>
  <c r="L42" i="2"/>
  <c r="L41" i="2"/>
  <c r="L40" i="2"/>
  <c r="L39" i="2"/>
  <c r="L101" i="2" s="1"/>
  <c r="L38" i="2"/>
  <c r="L83" i="2" s="1"/>
  <c r="L35" i="2"/>
  <c r="L34" i="2"/>
  <c r="L33" i="2"/>
  <c r="L32" i="2"/>
  <c r="L31" i="2"/>
  <c r="L82" i="2" s="1"/>
  <c r="L27" i="2"/>
  <c r="L25" i="2"/>
  <c r="L24" i="2"/>
  <c r="L18" i="2"/>
  <c r="L17" i="2"/>
  <c r="L16" i="2"/>
  <c r="L15" i="2"/>
  <c r="L14" i="2"/>
  <c r="L100" i="2" s="1"/>
  <c r="L13" i="2"/>
  <c r="L99" i="2" s="1"/>
  <c r="L10" i="2"/>
  <c r="L8" i="2"/>
  <c r="L7" i="2"/>
  <c r="L6" i="2"/>
  <c r="L4" i="2"/>
  <c r="L3" i="2"/>
  <c r="J43" i="2"/>
  <c r="J42" i="2"/>
  <c r="J41" i="2"/>
  <c r="J40" i="2"/>
  <c r="J39" i="2"/>
  <c r="J101" i="2" s="1"/>
  <c r="J38" i="2"/>
  <c r="J83" i="2" s="1"/>
  <c r="J35" i="2"/>
  <c r="J34" i="2"/>
  <c r="J33" i="2"/>
  <c r="J32" i="2"/>
  <c r="J31" i="2"/>
  <c r="J82" i="2" s="1"/>
  <c r="J27" i="2"/>
  <c r="J25" i="2"/>
  <c r="J24" i="2"/>
  <c r="J18" i="2"/>
  <c r="J17" i="2"/>
  <c r="J16" i="2"/>
  <c r="J15" i="2"/>
  <c r="J14" i="2"/>
  <c r="J100" i="2" s="1"/>
  <c r="J13" i="2"/>
  <c r="J99" i="2" s="1"/>
  <c r="J10" i="2"/>
  <c r="J8" i="2"/>
  <c r="J7" i="2"/>
  <c r="J6" i="2"/>
  <c r="J4" i="2"/>
  <c r="J3" i="2"/>
  <c r="H43" i="2"/>
  <c r="H42" i="2"/>
  <c r="H41" i="2"/>
  <c r="H40" i="2"/>
  <c r="H39" i="2"/>
  <c r="H38" i="2"/>
  <c r="H35" i="2"/>
  <c r="H34" i="2"/>
  <c r="H33" i="2"/>
  <c r="H32" i="2"/>
  <c r="H31" i="2"/>
  <c r="H27" i="2"/>
  <c r="H25" i="2"/>
  <c r="H24" i="2"/>
  <c r="H18" i="2"/>
  <c r="H17" i="2"/>
  <c r="H16" i="2"/>
  <c r="H15" i="2"/>
  <c r="H14" i="2"/>
  <c r="H13" i="2"/>
  <c r="H10" i="2"/>
  <c r="H8" i="2"/>
  <c r="H7" i="2"/>
  <c r="H6" i="2"/>
  <c r="H4" i="2"/>
  <c r="H3" i="2"/>
  <c r="F43" i="2"/>
  <c r="F42" i="2"/>
  <c r="F41" i="2"/>
  <c r="F40" i="2"/>
  <c r="F39" i="2"/>
  <c r="F38" i="2"/>
  <c r="F35" i="2"/>
  <c r="F34" i="2"/>
  <c r="F33" i="2"/>
  <c r="F32" i="2"/>
  <c r="F31" i="2"/>
  <c r="F27" i="2"/>
  <c r="F25" i="2"/>
  <c r="F24" i="2"/>
  <c r="F18" i="2"/>
  <c r="F17" i="2"/>
  <c r="F16" i="2"/>
  <c r="F15" i="2"/>
  <c r="F14" i="2"/>
  <c r="F13" i="2"/>
  <c r="F10" i="2"/>
  <c r="F8" i="2"/>
  <c r="F7" i="2"/>
  <c r="F6" i="2"/>
  <c r="F4" i="2"/>
  <c r="F3" i="2"/>
  <c r="C43" i="2"/>
  <c r="C42" i="2"/>
  <c r="C41" i="2"/>
  <c r="C40" i="2"/>
  <c r="C39" i="2"/>
  <c r="C38" i="2"/>
  <c r="C35" i="2"/>
  <c r="C34" i="2"/>
  <c r="C33" i="2"/>
  <c r="C32" i="2"/>
  <c r="C31" i="2"/>
  <c r="C27" i="2"/>
  <c r="C25" i="2"/>
  <c r="C24" i="2"/>
  <c r="C18" i="2"/>
  <c r="C17" i="2"/>
  <c r="C16" i="2"/>
  <c r="C15" i="2"/>
  <c r="C14" i="2"/>
  <c r="C13" i="2"/>
  <c r="C10" i="2"/>
  <c r="C8" i="2"/>
  <c r="C7" i="2"/>
  <c r="C6" i="2"/>
  <c r="C4" i="2"/>
  <c r="C3" i="2"/>
  <c r="N38" i="1"/>
  <c r="O38" i="1" s="1"/>
  <c r="P38" i="1" s="1"/>
  <c r="Q38" i="1" s="1"/>
  <c r="R38" i="1" s="1"/>
  <c r="S38" i="1" s="1"/>
  <c r="T38" i="1" s="1"/>
  <c r="U38" i="1" s="1"/>
  <c r="V38" i="1" s="1"/>
  <c r="W38" i="1" s="1"/>
  <c r="X38" i="1" s="1"/>
  <c r="Y38" i="1" s="1"/>
  <c r="Z38" i="1" s="1"/>
  <c r="N18" i="1"/>
  <c r="L38" i="1"/>
  <c r="L37" i="1"/>
  <c r="L28" i="1"/>
  <c r="L27" i="1"/>
  <c r="L22" i="1"/>
  <c r="L20" i="1"/>
  <c r="L18" i="1"/>
  <c r="L17" i="1"/>
  <c r="L90" i="2" s="1"/>
  <c r="L16" i="1"/>
  <c r="L13" i="1"/>
  <c r="L11" i="1"/>
  <c r="L9" i="1"/>
  <c r="L7" i="1"/>
  <c r="L4" i="1"/>
  <c r="L3" i="1"/>
  <c r="J38" i="1"/>
  <c r="J37" i="1"/>
  <c r="J28" i="1"/>
  <c r="J27" i="1"/>
  <c r="J22" i="1"/>
  <c r="J20" i="1"/>
  <c r="J18" i="1"/>
  <c r="J17" i="1"/>
  <c r="J90" i="2" s="1"/>
  <c r="J16" i="1"/>
  <c r="J13" i="1"/>
  <c r="J11" i="1"/>
  <c r="J9" i="1"/>
  <c r="J7" i="1"/>
  <c r="J4" i="1"/>
  <c r="J3" i="1"/>
  <c r="H38" i="1"/>
  <c r="H37" i="1"/>
  <c r="H27" i="1"/>
  <c r="H22" i="1"/>
  <c r="H20" i="1"/>
  <c r="H18" i="1"/>
  <c r="H17" i="1"/>
  <c r="H16" i="1"/>
  <c r="H13" i="1"/>
  <c r="H11" i="1"/>
  <c r="H9" i="1"/>
  <c r="H7" i="1"/>
  <c r="H4" i="1"/>
  <c r="H3" i="1"/>
  <c r="F38" i="1"/>
  <c r="F37" i="1"/>
  <c r="F27" i="1"/>
  <c r="F22" i="1"/>
  <c r="F20" i="1"/>
  <c r="F18" i="1"/>
  <c r="F17" i="1"/>
  <c r="F16" i="1"/>
  <c r="F13" i="1"/>
  <c r="F11" i="1"/>
  <c r="F9" i="1"/>
  <c r="F7" i="1"/>
  <c r="F4" i="1"/>
  <c r="F3" i="1"/>
  <c r="C38" i="1"/>
  <c r="C37" i="1"/>
  <c r="C27" i="1"/>
  <c r="C22" i="1"/>
  <c r="C20" i="1"/>
  <c r="C18" i="1"/>
  <c r="C17" i="1"/>
  <c r="C16" i="1"/>
  <c r="C13" i="1"/>
  <c r="C58" i="2" s="1"/>
  <c r="C11" i="1"/>
  <c r="C9" i="1"/>
  <c r="C7" i="1"/>
  <c r="C4" i="1"/>
  <c r="C3" i="1"/>
  <c r="D28" i="1"/>
  <c r="B26" i="2"/>
  <c r="B28" i="2"/>
  <c r="D26" i="2"/>
  <c r="C26" i="2" s="1"/>
  <c r="D36" i="2"/>
  <c r="D28" i="2"/>
  <c r="C28" i="2" s="1"/>
  <c r="D11" i="2"/>
  <c r="Y35" i="3"/>
  <c r="W35" i="3"/>
  <c r="U35" i="3"/>
  <c r="S35" i="3"/>
  <c r="Q35" i="3"/>
  <c r="M35" i="3"/>
  <c r="AH35" i="3"/>
  <c r="K35" i="3"/>
  <c r="AG35" i="3"/>
  <c r="I35" i="3"/>
  <c r="AF35" i="3"/>
  <c r="G35" i="3"/>
  <c r="AE35" i="3"/>
  <c r="E35" i="3"/>
  <c r="M29" i="3"/>
  <c r="AH29" i="3"/>
  <c r="K29" i="3"/>
  <c r="AG29" i="3"/>
  <c r="I29" i="3"/>
  <c r="AF29" i="3"/>
  <c r="G29" i="3"/>
  <c r="AE29" i="3"/>
  <c r="E29" i="3"/>
  <c r="M15" i="3"/>
  <c r="AH15" i="3"/>
  <c r="K15" i="3"/>
  <c r="AG15" i="3"/>
  <c r="I15" i="3"/>
  <c r="AF15" i="3"/>
  <c r="G15" i="3"/>
  <c r="AE15" i="3"/>
  <c r="E15" i="3"/>
  <c r="AH11" i="3"/>
  <c r="K11" i="3"/>
  <c r="AG11" i="3"/>
  <c r="I11" i="3"/>
  <c r="AF11" i="3"/>
  <c r="G11" i="3"/>
  <c r="AE11" i="3"/>
  <c r="E11" i="3"/>
  <c r="AE45" i="2"/>
  <c r="E45" i="2"/>
  <c r="M36" i="2"/>
  <c r="AH36" i="2"/>
  <c r="K36" i="2"/>
  <c r="I36" i="2"/>
  <c r="AF36" i="2"/>
  <c r="G36" i="2"/>
  <c r="AE36" i="2"/>
  <c r="E36" i="2"/>
  <c r="B36" i="2"/>
  <c r="AE20" i="2"/>
  <c r="E20" i="2"/>
  <c r="M11" i="2"/>
  <c r="AH11" i="2"/>
  <c r="I11" i="2"/>
  <c r="AF11" i="2"/>
  <c r="G11" i="2"/>
  <c r="AE11" i="2"/>
  <c r="E11" i="2"/>
  <c r="B11" i="2"/>
  <c r="M34" i="1"/>
  <c r="AH34" i="1"/>
  <c r="K34" i="1"/>
  <c r="AG34" i="1"/>
  <c r="I34" i="1"/>
  <c r="AF34" i="1"/>
  <c r="G34" i="1"/>
  <c r="AE34" i="1"/>
  <c r="E34" i="1"/>
  <c r="D34" i="1"/>
  <c r="M33" i="1"/>
  <c r="AH33" i="1"/>
  <c r="K33" i="1"/>
  <c r="AG33" i="1"/>
  <c r="I33" i="1"/>
  <c r="AF33" i="1"/>
  <c r="G33" i="1"/>
  <c r="AE33" i="1"/>
  <c r="E33" i="1"/>
  <c r="D33" i="1"/>
  <c r="B34" i="1"/>
  <c r="B33" i="1"/>
  <c r="B28" i="1"/>
  <c r="M5" i="1"/>
  <c r="K5" i="1"/>
  <c r="I5" i="1"/>
  <c r="G5" i="1"/>
  <c r="G14" i="1" s="1"/>
  <c r="AE10" i="1"/>
  <c r="E5" i="1"/>
  <c r="E14" i="1" s="1"/>
  <c r="E15" i="1" s="1"/>
  <c r="D5" i="1"/>
  <c r="D14" i="1" s="1"/>
  <c r="D15" i="1" s="1"/>
  <c r="AO19" i="1"/>
  <c r="AN19" i="1"/>
  <c r="AM19" i="1"/>
  <c r="AL19" i="1"/>
  <c r="AK19" i="1"/>
  <c r="AJ19" i="1"/>
  <c r="M19" i="1"/>
  <c r="AH19" i="1"/>
  <c r="K19" i="1"/>
  <c r="AG19" i="1"/>
  <c r="I19" i="1"/>
  <c r="AF19" i="1"/>
  <c r="G19" i="1"/>
  <c r="AE19" i="1"/>
  <c r="E19" i="1"/>
  <c r="D19" i="1"/>
  <c r="B19" i="1"/>
  <c r="B5" i="1"/>
  <c r="B14" i="1" s="1"/>
  <c r="B15" i="1" s="1"/>
  <c r="A1" i="3"/>
  <c r="E1" i="3"/>
  <c r="E1" i="4" s="1"/>
  <c r="F1" i="3"/>
  <c r="F1" i="4" s="1"/>
  <c r="AE1" i="3"/>
  <c r="AF1" i="4" s="1"/>
  <c r="G1" i="3"/>
  <c r="G1" i="4" s="1"/>
  <c r="H1" i="3"/>
  <c r="H1" i="4" s="1"/>
  <c r="AF1" i="3"/>
  <c r="AG1" i="4" s="1"/>
  <c r="I1" i="3"/>
  <c r="I1" i="4" s="1"/>
  <c r="J1" i="3"/>
  <c r="J1" i="4" s="1"/>
  <c r="AG1" i="3"/>
  <c r="AH1" i="4" s="1"/>
  <c r="K1" i="3"/>
  <c r="K1" i="4" s="1"/>
  <c r="L1" i="3"/>
  <c r="L1" i="4" s="1"/>
  <c r="M1" i="3"/>
  <c r="M1" i="4" s="1"/>
  <c r="N1" i="3"/>
  <c r="N1" i="4" s="1"/>
  <c r="AI1" i="3"/>
  <c r="O1" i="3"/>
  <c r="O1" i="4" s="1"/>
  <c r="P1" i="3"/>
  <c r="P1" i="4" s="1"/>
  <c r="AJ1" i="9"/>
  <c r="Q1" i="3"/>
  <c r="Q1" i="10" s="1"/>
  <c r="R1" i="3"/>
  <c r="R1" i="10" s="1"/>
  <c r="AK1" i="11"/>
  <c r="S1" i="3"/>
  <c r="S1" i="10" s="1"/>
  <c r="T1" i="3"/>
  <c r="T1" i="10" s="1"/>
  <c r="AL1" i="11"/>
  <c r="U1" i="3"/>
  <c r="U1" i="9" s="1"/>
  <c r="V1" i="3"/>
  <c r="V1" i="4" s="1"/>
  <c r="AM1" i="8"/>
  <c r="W1" i="3"/>
  <c r="W1" i="11" s="1"/>
  <c r="X1" i="3"/>
  <c r="X1" i="11" s="1"/>
  <c r="AN1" i="8"/>
  <c r="Y1" i="3"/>
  <c r="Y1" i="11" s="1"/>
  <c r="Z1" i="3"/>
  <c r="Z1" i="11" s="1"/>
  <c r="AO1" i="10"/>
  <c r="A1" i="2"/>
  <c r="B1" i="2"/>
  <c r="C1" i="2"/>
  <c r="D1" i="2"/>
  <c r="E1" i="2"/>
  <c r="F1" i="2"/>
  <c r="AE1" i="2"/>
  <c r="G1" i="2"/>
  <c r="H1" i="2"/>
  <c r="AF1" i="2"/>
  <c r="I1" i="2"/>
  <c r="J1" i="2"/>
  <c r="AG1" i="2"/>
  <c r="K1" i="2"/>
  <c r="L1" i="2"/>
  <c r="AH1" i="2"/>
  <c r="M1" i="2"/>
  <c r="N1" i="2"/>
  <c r="AI1" i="2"/>
  <c r="O1" i="2"/>
  <c r="P1" i="2"/>
  <c r="AJ1" i="2"/>
  <c r="Q1" i="2"/>
  <c r="R1" i="2"/>
  <c r="AK1" i="2"/>
  <c r="S1" i="2"/>
  <c r="T1" i="2"/>
  <c r="AL1" i="2"/>
  <c r="U1" i="2"/>
  <c r="V1" i="2"/>
  <c r="AM1" i="2"/>
  <c r="W1" i="2"/>
  <c r="X1" i="2"/>
  <c r="AN1" i="2"/>
  <c r="Y1" i="2"/>
  <c r="Z1" i="2"/>
  <c r="AO1" i="2"/>
  <c r="AJ1" i="4" l="1"/>
  <c r="AI1" i="7"/>
  <c r="Z50" i="7"/>
  <c r="Z51" i="7" s="1"/>
  <c r="Z58" i="7"/>
  <c r="M58" i="9"/>
  <c r="K52" i="9"/>
  <c r="AH8" i="1"/>
  <c r="AJ8" i="1" s="1"/>
  <c r="AK8" i="1" s="1"/>
  <c r="AL8" i="1" s="1"/>
  <c r="AM8" i="1" s="1"/>
  <c r="AN8" i="1" s="1"/>
  <c r="AO8" i="1" s="1"/>
  <c r="AH103" i="2"/>
  <c r="AI103" i="2" s="1"/>
  <c r="AH55" i="2"/>
  <c r="AH104" i="2"/>
  <c r="AI104" i="2" s="1"/>
  <c r="AH105" i="2"/>
  <c r="AI105" i="2" s="1"/>
  <c r="AH65" i="2"/>
  <c r="AH14" i="1"/>
  <c r="O33" i="11"/>
  <c r="Q10" i="11"/>
  <c r="K14" i="1"/>
  <c r="K15" i="1" s="1"/>
  <c r="K104" i="2"/>
  <c r="K105" i="2"/>
  <c r="K103" i="2"/>
  <c r="L104" i="2"/>
  <c r="AI31" i="10"/>
  <c r="L26" i="2"/>
  <c r="AJ37" i="8"/>
  <c r="AJ35" i="8"/>
  <c r="AJ33" i="8"/>
  <c r="AJ9" i="11"/>
  <c r="AJ10" i="11" s="1"/>
  <c r="AJ9" i="8"/>
  <c r="AK9" i="8" s="1"/>
  <c r="AL9" i="8" s="1"/>
  <c r="AM9" i="8" s="1"/>
  <c r="AN9" i="8" s="1"/>
  <c r="AO9" i="8" s="1"/>
  <c r="S8" i="1"/>
  <c r="S9" i="11"/>
  <c r="S10" i="11" s="1"/>
  <c r="U9" i="4"/>
  <c r="O56" i="4"/>
  <c r="O55" i="11"/>
  <c r="O9" i="11"/>
  <c r="O10" i="11" s="1"/>
  <c r="AH41" i="1"/>
  <c r="AJ37" i="9"/>
  <c r="AJ35" i="9"/>
  <c r="AJ33" i="9"/>
  <c r="AG8" i="1"/>
  <c r="AG104" i="2"/>
  <c r="AG103" i="2"/>
  <c r="AG105" i="2"/>
  <c r="AG65" i="2"/>
  <c r="AG55" i="2"/>
  <c r="AG14" i="1"/>
  <c r="AG15" i="1" s="1"/>
  <c r="M56" i="11"/>
  <c r="K52" i="11"/>
  <c r="S8" i="11"/>
  <c r="O31" i="10"/>
  <c r="Q33" i="10" s="1"/>
  <c r="Q31" i="10" s="1"/>
  <c r="J105" i="2"/>
  <c r="AI43" i="11"/>
  <c r="AI53" i="8"/>
  <c r="AI54" i="8" s="1"/>
  <c r="AJ43" i="10"/>
  <c r="U7" i="4"/>
  <c r="O22" i="8"/>
  <c r="O22" i="9"/>
  <c r="Q24" i="9" s="1"/>
  <c r="J103" i="2"/>
  <c r="AI41" i="8"/>
  <c r="AJ45" i="10"/>
  <c r="O43" i="10"/>
  <c r="O53" i="10" s="1"/>
  <c r="O54" i="10" s="1"/>
  <c r="AJ27" i="3"/>
  <c r="P27" i="3" s="1"/>
  <c r="AI47" i="11"/>
  <c r="AI57" i="8"/>
  <c r="AI58" i="8" s="1"/>
  <c r="AI15" i="8" s="1"/>
  <c r="AI12" i="8" s="1"/>
  <c r="AI11" i="8" s="1"/>
  <c r="AJ7" i="11"/>
  <c r="AJ8" i="11" s="1"/>
  <c r="O58" i="8"/>
  <c r="O15" i="8" s="1"/>
  <c r="O12" i="8" s="1"/>
  <c r="O11" i="8" s="1"/>
  <c r="O17" i="8" s="1"/>
  <c r="Q6" i="8" s="1"/>
  <c r="O45" i="10"/>
  <c r="M14" i="1"/>
  <c r="M105" i="2"/>
  <c r="M104" i="2"/>
  <c r="M103" i="2"/>
  <c r="AI1" i="4"/>
  <c r="J104" i="2"/>
  <c r="L105" i="2"/>
  <c r="AG17" i="3"/>
  <c r="AG22" i="3" s="1"/>
  <c r="M25" i="8"/>
  <c r="AI26" i="11"/>
  <c r="AI57" i="9"/>
  <c r="AI58" i="9" s="1"/>
  <c r="AI15" i="9" s="1"/>
  <c r="AI12" i="9" s="1"/>
  <c r="AI11" i="9" s="1"/>
  <c r="AI17" i="9" s="1"/>
  <c r="AJ6" i="9" s="1"/>
  <c r="AI22" i="10"/>
  <c r="O31" i="8"/>
  <c r="O51" i="8" s="1"/>
  <c r="O31" i="9"/>
  <c r="Q35" i="9" s="1"/>
  <c r="O47" i="10"/>
  <c r="O47" i="11" s="1"/>
  <c r="O6" i="11"/>
  <c r="AI28" i="11"/>
  <c r="AI41" i="9"/>
  <c r="O55" i="10"/>
  <c r="O56" i="10" s="1"/>
  <c r="K52" i="10"/>
  <c r="I14" i="1"/>
  <c r="I104" i="2"/>
  <c r="I105" i="2"/>
  <c r="I103" i="2"/>
  <c r="AJ53" i="4"/>
  <c r="AI53" i="11" s="1"/>
  <c r="AI22" i="9"/>
  <c r="AJ38" i="1"/>
  <c r="O57" i="10"/>
  <c r="O58" i="10" s="1"/>
  <c r="O15" i="10" s="1"/>
  <c r="O12" i="10" s="1"/>
  <c r="O11" i="10" s="1"/>
  <c r="O7" i="11"/>
  <c r="O8" i="11" s="1"/>
  <c r="O24" i="11"/>
  <c r="O6" i="2"/>
  <c r="I84" i="2"/>
  <c r="I88" i="2" s="1"/>
  <c r="O33" i="2"/>
  <c r="O8" i="2"/>
  <c r="N91" i="2"/>
  <c r="AG70" i="2"/>
  <c r="AG91" i="2"/>
  <c r="AH91" i="2"/>
  <c r="M84" i="2"/>
  <c r="O10" i="2"/>
  <c r="O35" i="2"/>
  <c r="O24" i="2"/>
  <c r="AK24" i="2"/>
  <c r="AL24" i="2" s="1"/>
  <c r="AK35" i="2"/>
  <c r="AK33" i="2"/>
  <c r="AK34" i="2"/>
  <c r="AL34" i="2" s="1"/>
  <c r="AM34" i="2" s="1"/>
  <c r="O34" i="2"/>
  <c r="AL8" i="2"/>
  <c r="L84" i="2"/>
  <c r="M63" i="2"/>
  <c r="N63" i="2" s="1"/>
  <c r="AK9" i="2"/>
  <c r="AK10" i="2"/>
  <c r="AJ32" i="2"/>
  <c r="O42" i="2"/>
  <c r="AK6" i="2"/>
  <c r="O19" i="2"/>
  <c r="K84" i="2"/>
  <c r="J84" i="2"/>
  <c r="O9" i="2"/>
  <c r="AH70" i="2"/>
  <c r="AJ25" i="2"/>
  <c r="M67" i="2"/>
  <c r="AJ18" i="2"/>
  <c r="AJ43" i="2"/>
  <c r="AK42" i="2"/>
  <c r="AJ41" i="2"/>
  <c r="AJ40" i="2"/>
  <c r="AK7" i="2"/>
  <c r="AH69" i="2"/>
  <c r="AG69" i="2"/>
  <c r="AG57" i="2"/>
  <c r="AG60" i="2" s="1"/>
  <c r="AG61" i="2" s="1"/>
  <c r="AH57" i="2"/>
  <c r="T1" i="11"/>
  <c r="O1" i="9"/>
  <c r="O1" i="8"/>
  <c r="M6" i="1"/>
  <c r="W1" i="9"/>
  <c r="W1" i="8"/>
  <c r="B1" i="9"/>
  <c r="K6" i="1"/>
  <c r="AN1" i="4"/>
  <c r="AM1" i="9"/>
  <c r="V1" i="8"/>
  <c r="V1" i="9"/>
  <c r="U1" i="10"/>
  <c r="S1" i="11"/>
  <c r="U1" i="11"/>
  <c r="V1" i="10"/>
  <c r="I8" i="1"/>
  <c r="Q1" i="4"/>
  <c r="P1" i="8"/>
  <c r="X1" i="8"/>
  <c r="P1" i="9"/>
  <c r="X1" i="9"/>
  <c r="O1" i="10"/>
  <c r="W1" i="10"/>
  <c r="O1" i="11"/>
  <c r="Q1" i="11"/>
  <c r="V1" i="11"/>
  <c r="AN1" i="11"/>
  <c r="AJ37" i="1"/>
  <c r="Y1" i="4"/>
  <c r="Q1" i="8"/>
  <c r="Y1" i="8"/>
  <c r="Q1" i="9"/>
  <c r="Y1" i="9"/>
  <c r="P1" i="10"/>
  <c r="X1" i="10"/>
  <c r="R1" i="11"/>
  <c r="AF8" i="1"/>
  <c r="K8" i="1"/>
  <c r="R1" i="4"/>
  <c r="W1" i="4"/>
  <c r="Z1" i="4"/>
  <c r="R1" i="8"/>
  <c r="R1" i="9"/>
  <c r="Y1" i="10"/>
  <c r="AG41" i="1"/>
  <c r="S1" i="4"/>
  <c r="U1" i="4"/>
  <c r="X1" i="4"/>
  <c r="S1" i="8"/>
  <c r="S1" i="9"/>
  <c r="M8" i="1"/>
  <c r="T1" i="4"/>
  <c r="T1" i="8"/>
  <c r="T1" i="9"/>
  <c r="AL1" i="9"/>
  <c r="U1" i="8"/>
  <c r="Q8" i="11"/>
  <c r="O17" i="10"/>
  <c r="Q6" i="10" s="1"/>
  <c r="Q35" i="10"/>
  <c r="Q37" i="10"/>
  <c r="Q24" i="10"/>
  <c r="Q26" i="10"/>
  <c r="Q28" i="10"/>
  <c r="O51" i="9"/>
  <c r="Q28" i="9"/>
  <c r="Q43" i="9"/>
  <c r="Q41" i="9" s="1"/>
  <c r="Q45" i="9"/>
  <c r="Q47" i="9"/>
  <c r="O57" i="9"/>
  <c r="O58" i="9" s="1"/>
  <c r="O15" i="9" s="1"/>
  <c r="O12" i="9" s="1"/>
  <c r="O11" i="9" s="1"/>
  <c r="Q33" i="8"/>
  <c r="Q37" i="8"/>
  <c r="Q47" i="8"/>
  <c r="Q41" i="8" s="1"/>
  <c r="Q43" i="8"/>
  <c r="Q45" i="8"/>
  <c r="Q24" i="8"/>
  <c r="Q26" i="8"/>
  <c r="Q28" i="8"/>
  <c r="O53" i="8"/>
  <c r="O54" i="8" s="1"/>
  <c r="AJ54" i="4"/>
  <c r="AI33" i="11"/>
  <c r="AL7" i="4"/>
  <c r="AL9" i="4"/>
  <c r="AI8" i="11"/>
  <c r="K52" i="4"/>
  <c r="O6" i="4"/>
  <c r="O17" i="4" s="1"/>
  <c r="Q6" i="4" s="1"/>
  <c r="O15" i="4"/>
  <c r="O12" i="4" s="1"/>
  <c r="O11" i="4" s="1"/>
  <c r="O11" i="11" s="1"/>
  <c r="O12" i="11" s="1"/>
  <c r="O41" i="4"/>
  <c r="O31" i="4"/>
  <c r="O22" i="4"/>
  <c r="O22" i="11" s="1"/>
  <c r="AO1" i="8"/>
  <c r="AK1" i="9"/>
  <c r="AM1" i="11"/>
  <c r="AI1" i="10"/>
  <c r="AK1" i="4"/>
  <c r="AJ1" i="8"/>
  <c r="AN1" i="9"/>
  <c r="AK1" i="10"/>
  <c r="AI1" i="9"/>
  <c r="AL1" i="4"/>
  <c r="AP1" i="4"/>
  <c r="AK1" i="8"/>
  <c r="AO1" i="9"/>
  <c r="AL1" i="10"/>
  <c r="AI1" i="11"/>
  <c r="AL1" i="8"/>
  <c r="AM1" i="10"/>
  <c r="AJ1" i="11"/>
  <c r="AO1" i="11"/>
  <c r="AI1" i="8"/>
  <c r="AN1" i="10"/>
  <c r="AM1" i="4"/>
  <c r="AJ1" i="10"/>
  <c r="AO1" i="4"/>
  <c r="AI17" i="10"/>
  <c r="AJ6" i="10" s="1"/>
  <c r="AI51" i="10"/>
  <c r="AI53" i="9"/>
  <c r="AI54" i="9" s="1"/>
  <c r="AI17" i="8"/>
  <c r="AJ6" i="8" s="1"/>
  <c r="AI22" i="8"/>
  <c r="AJ31" i="4"/>
  <c r="AJ57" i="4"/>
  <c r="AJ41" i="4"/>
  <c r="AJ55" i="4"/>
  <c r="AJ22" i="4"/>
  <c r="D1" i="8"/>
  <c r="J1" i="8"/>
  <c r="Z1" i="8"/>
  <c r="E1" i="9"/>
  <c r="AG1" i="9"/>
  <c r="D1" i="10"/>
  <c r="J1" i="10"/>
  <c r="Z1" i="10"/>
  <c r="C1" i="11"/>
  <c r="I1" i="11"/>
  <c r="E1" i="8"/>
  <c r="AG1" i="8"/>
  <c r="F1" i="9"/>
  <c r="K1" i="9"/>
  <c r="E1" i="10"/>
  <c r="AG1" i="10"/>
  <c r="D1" i="11"/>
  <c r="J1" i="11"/>
  <c r="F1" i="8"/>
  <c r="K1" i="8"/>
  <c r="AE1" i="9"/>
  <c r="L1" i="9"/>
  <c r="F1" i="10"/>
  <c r="K1" i="10"/>
  <c r="E1" i="11"/>
  <c r="AG1" i="11"/>
  <c r="P1" i="11"/>
  <c r="AE1" i="8"/>
  <c r="L1" i="8"/>
  <c r="G1" i="9"/>
  <c r="AH1" i="9"/>
  <c r="AE1" i="10"/>
  <c r="L1" i="10"/>
  <c r="F1" i="11"/>
  <c r="K1" i="11"/>
  <c r="G1" i="8"/>
  <c r="AH1" i="8"/>
  <c r="H1" i="9"/>
  <c r="M1" i="9"/>
  <c r="G1" i="10"/>
  <c r="AH1" i="10"/>
  <c r="AE1" i="11"/>
  <c r="L1" i="11"/>
  <c r="H1" i="8"/>
  <c r="M1" i="8"/>
  <c r="AF1" i="9"/>
  <c r="N1" i="9"/>
  <c r="H1" i="10"/>
  <c r="M1" i="10"/>
  <c r="G1" i="11"/>
  <c r="B1" i="8"/>
  <c r="AF1" i="8"/>
  <c r="N1" i="8"/>
  <c r="C1" i="9"/>
  <c r="I1" i="9"/>
  <c r="Z1" i="9"/>
  <c r="B1" i="10"/>
  <c r="AF1" i="10"/>
  <c r="N1" i="10"/>
  <c r="H1" i="11"/>
  <c r="M1" i="11"/>
  <c r="C1" i="8"/>
  <c r="I1" i="8"/>
  <c r="D1" i="9"/>
  <c r="J1" i="9"/>
  <c r="C1" i="10"/>
  <c r="I1" i="10"/>
  <c r="B1" i="11"/>
  <c r="AF1" i="11"/>
  <c r="N1" i="11"/>
  <c r="K23" i="4"/>
  <c r="K29" i="4"/>
  <c r="I23" i="4"/>
  <c r="K25" i="4"/>
  <c r="M36" i="8"/>
  <c r="K32" i="8"/>
  <c r="M32" i="8"/>
  <c r="K23" i="8"/>
  <c r="K52" i="8"/>
  <c r="H10" i="11"/>
  <c r="M20" i="9"/>
  <c r="K20" i="9" s="1"/>
  <c r="M18" i="9"/>
  <c r="M66" i="9" s="1"/>
  <c r="M52" i="9"/>
  <c r="M52" i="4"/>
  <c r="M58" i="4"/>
  <c r="M54" i="4"/>
  <c r="M58" i="11"/>
  <c r="M51" i="11"/>
  <c r="M52" i="11" s="1"/>
  <c r="M32" i="10"/>
  <c r="M20" i="10"/>
  <c r="K20" i="10" s="1"/>
  <c r="M21" i="10" s="1"/>
  <c r="M52" i="10"/>
  <c r="M54" i="10"/>
  <c r="M58" i="10"/>
  <c r="M56" i="8"/>
  <c r="M52" i="8"/>
  <c r="M20" i="8"/>
  <c r="K20" i="8" s="1"/>
  <c r="M58" i="8"/>
  <c r="M18" i="11"/>
  <c r="M66" i="11" s="1"/>
  <c r="M54" i="11"/>
  <c r="M18" i="10"/>
  <c r="M54" i="9"/>
  <c r="M56" i="9"/>
  <c r="M18" i="8"/>
  <c r="M66" i="8" s="1"/>
  <c r="M66" i="4"/>
  <c r="M20" i="4"/>
  <c r="B17" i="3"/>
  <c r="B22" i="3" s="1"/>
  <c r="B36" i="3"/>
  <c r="D17" i="3"/>
  <c r="D22" i="3" s="1"/>
  <c r="P35" i="3"/>
  <c r="AG36" i="3"/>
  <c r="AG47" i="3" s="1"/>
  <c r="AG50" i="3" s="1"/>
  <c r="AH48" i="3" s="1"/>
  <c r="E17" i="3"/>
  <c r="E22" i="3" s="1"/>
  <c r="C35" i="3"/>
  <c r="D36" i="3"/>
  <c r="C11" i="3"/>
  <c r="C45" i="3"/>
  <c r="C15" i="3"/>
  <c r="C29" i="3"/>
  <c r="AG29" i="2"/>
  <c r="AG47" i="2" s="1"/>
  <c r="C5" i="1"/>
  <c r="C14" i="1" s="1"/>
  <c r="C15" i="1" s="1"/>
  <c r="AG10" i="1"/>
  <c r="G12" i="1"/>
  <c r="AH12" i="1"/>
  <c r="AJ12" i="1" s="1"/>
  <c r="E10" i="1"/>
  <c r="AF17" i="3"/>
  <c r="AF22" i="3" s="1"/>
  <c r="I17" i="3"/>
  <c r="I22" i="3" s="1"/>
  <c r="E36" i="3"/>
  <c r="X35" i="3"/>
  <c r="K17" i="3"/>
  <c r="K22" i="3" s="1"/>
  <c r="G36" i="3"/>
  <c r="AF36" i="3"/>
  <c r="G17" i="3"/>
  <c r="G22" i="3" s="1"/>
  <c r="K36" i="3"/>
  <c r="I29" i="2"/>
  <c r="I47" i="2" s="1"/>
  <c r="M29" i="2"/>
  <c r="M47" i="2" s="1"/>
  <c r="K29" i="2"/>
  <c r="K47" i="2" s="1"/>
  <c r="L45" i="2"/>
  <c r="G29" i="2"/>
  <c r="G47" i="2" s="1"/>
  <c r="H20" i="2"/>
  <c r="AF29" i="2"/>
  <c r="AF47" i="2" s="1"/>
  <c r="AH29" i="2"/>
  <c r="AH47" i="2" s="1"/>
  <c r="AE12" i="1"/>
  <c r="D10" i="1"/>
  <c r="M12" i="1"/>
  <c r="O12" i="1" s="1"/>
  <c r="K10" i="1"/>
  <c r="AE14" i="1"/>
  <c r="AE15" i="1" s="1"/>
  <c r="B12" i="1"/>
  <c r="AF12" i="1"/>
  <c r="I12" i="1"/>
  <c r="G10" i="1"/>
  <c r="AH10" i="1"/>
  <c r="D12" i="1"/>
  <c r="M10" i="1"/>
  <c r="O10" i="1" s="1"/>
  <c r="E12" i="1"/>
  <c r="AG12" i="1"/>
  <c r="B10" i="1"/>
  <c r="AF10" i="1"/>
  <c r="K12" i="1"/>
  <c r="I10" i="1"/>
  <c r="F5" i="1"/>
  <c r="F14" i="1" s="1"/>
  <c r="F15" i="1" s="1"/>
  <c r="H5" i="1"/>
  <c r="F28" i="1"/>
  <c r="C19" i="1"/>
  <c r="C28" i="1"/>
  <c r="F34" i="1"/>
  <c r="B21" i="1"/>
  <c r="H28" i="1"/>
  <c r="E21" i="1"/>
  <c r="F33" i="1"/>
  <c r="C33" i="1"/>
  <c r="C34" i="1"/>
  <c r="F19" i="1"/>
  <c r="J34" i="1"/>
  <c r="C20" i="2"/>
  <c r="J20" i="2"/>
  <c r="L20" i="2"/>
  <c r="M36" i="3"/>
  <c r="M21" i="1"/>
  <c r="M15" i="1"/>
  <c r="AH36" i="3"/>
  <c r="AH17" i="3"/>
  <c r="AH22" i="3" s="1"/>
  <c r="L19" i="1"/>
  <c r="AH15" i="1"/>
  <c r="AH21" i="1"/>
  <c r="L34" i="1"/>
  <c r="L29" i="3"/>
  <c r="I36" i="3"/>
  <c r="J15" i="3"/>
  <c r="J45" i="2"/>
  <c r="K22" i="2"/>
  <c r="F36" i="2"/>
  <c r="H26" i="2"/>
  <c r="H29" i="2" s="1"/>
  <c r="I22" i="2"/>
  <c r="C45" i="2"/>
  <c r="L11" i="2"/>
  <c r="L36" i="2"/>
  <c r="AE29" i="2"/>
  <c r="AE47" i="2" s="1"/>
  <c r="H36" i="2"/>
  <c r="H45" i="2"/>
  <c r="K21" i="1"/>
  <c r="L5" i="1"/>
  <c r="L103" i="2" s="1"/>
  <c r="J19" i="1"/>
  <c r="I21" i="1"/>
  <c r="J5" i="1"/>
  <c r="I15" i="1"/>
  <c r="E29" i="2"/>
  <c r="E47" i="2" s="1"/>
  <c r="L29" i="2"/>
  <c r="AG22" i="2"/>
  <c r="D29" i="2"/>
  <c r="D47" i="2" s="1"/>
  <c r="J29" i="2"/>
  <c r="AH22" i="2"/>
  <c r="F26" i="2"/>
  <c r="F29" i="2" s="1"/>
  <c r="M22" i="2"/>
  <c r="E22" i="2"/>
  <c r="D22" i="2"/>
  <c r="C29" i="2"/>
  <c r="C36" i="2"/>
  <c r="J11" i="2"/>
  <c r="J36" i="2"/>
  <c r="AF22" i="2"/>
  <c r="H11" i="2"/>
  <c r="H34" i="1"/>
  <c r="AF15" i="1"/>
  <c r="AF21" i="1"/>
  <c r="H35" i="3"/>
  <c r="H15" i="3"/>
  <c r="G22" i="2"/>
  <c r="H19" i="1"/>
  <c r="G15" i="1"/>
  <c r="G21" i="1"/>
  <c r="F35" i="3"/>
  <c r="AE36" i="3"/>
  <c r="L11" i="3"/>
  <c r="L15" i="3"/>
  <c r="N35" i="3"/>
  <c r="V35" i="3"/>
  <c r="J45" i="3"/>
  <c r="F29" i="3"/>
  <c r="L45" i="3"/>
  <c r="F45" i="3"/>
  <c r="J35" i="3"/>
  <c r="H11" i="3"/>
  <c r="H29" i="3"/>
  <c r="L35" i="3"/>
  <c r="R35" i="3"/>
  <c r="T35" i="3"/>
  <c r="Z35" i="3"/>
  <c r="H45" i="3"/>
  <c r="J11" i="3"/>
  <c r="J29" i="3"/>
  <c r="F15" i="3"/>
  <c r="F11" i="3"/>
  <c r="AE17" i="3"/>
  <c r="AE22" i="3" s="1"/>
  <c r="F45" i="2"/>
  <c r="AE22" i="2"/>
  <c r="F20" i="2"/>
  <c r="F11" i="2"/>
  <c r="C11" i="2"/>
  <c r="L33" i="1"/>
  <c r="J33" i="1"/>
  <c r="H33" i="1"/>
  <c r="D21" i="1"/>
  <c r="B29" i="2"/>
  <c r="B47" i="2" s="1"/>
  <c r="B22" i="2"/>
  <c r="AK27" i="3" l="1"/>
  <c r="R27" i="3" s="1"/>
  <c r="AK38" i="1"/>
  <c r="AL38" i="1" s="1"/>
  <c r="AJ48" i="7"/>
  <c r="AJ49" i="7" s="1"/>
  <c r="AI51" i="8"/>
  <c r="AJ28" i="8"/>
  <c r="AJ26" i="8"/>
  <c r="AJ24" i="8"/>
  <c r="AJ41" i="10"/>
  <c r="AJ105" i="2"/>
  <c r="Q35" i="8"/>
  <c r="Q37" i="9"/>
  <c r="AI51" i="9"/>
  <c r="AJ24" i="9"/>
  <c r="AJ28" i="9"/>
  <c r="AJ57" i="9" s="1"/>
  <c r="AJ58" i="9" s="1"/>
  <c r="AJ15" i="9" s="1"/>
  <c r="AJ12" i="9" s="1"/>
  <c r="AJ11" i="9" s="1"/>
  <c r="AJ17" i="9" s="1"/>
  <c r="AK6" i="9" s="1"/>
  <c r="AJ26" i="9"/>
  <c r="AJ55" i="9" s="1"/>
  <c r="AJ56" i="9" s="1"/>
  <c r="AJ47" i="9"/>
  <c r="AJ45" i="9"/>
  <c r="AJ43" i="9"/>
  <c r="AJ41" i="9" s="1"/>
  <c r="AJ28" i="10"/>
  <c r="AJ26" i="10"/>
  <c r="AJ24" i="10"/>
  <c r="AJ53" i="10" s="1"/>
  <c r="AJ54" i="10" s="1"/>
  <c r="AJ47" i="8"/>
  <c r="AJ45" i="8"/>
  <c r="AJ43" i="8"/>
  <c r="AJ31" i="9"/>
  <c r="U9" i="11"/>
  <c r="U10" i="11" s="1"/>
  <c r="W9" i="4"/>
  <c r="AJ31" i="8"/>
  <c r="AJ104" i="2"/>
  <c r="Q53" i="8"/>
  <c r="Q54" i="8" s="1"/>
  <c r="Q33" i="9"/>
  <c r="Q31" i="9" s="1"/>
  <c r="O57" i="11"/>
  <c r="AJ103" i="2"/>
  <c r="O31" i="2"/>
  <c r="O17" i="11"/>
  <c r="U8" i="1"/>
  <c r="O43" i="11"/>
  <c r="O31" i="11"/>
  <c r="Q26" i="9"/>
  <c r="Q31" i="8"/>
  <c r="AG21" i="1"/>
  <c r="Q22" i="9"/>
  <c r="O41" i="10"/>
  <c r="O45" i="11"/>
  <c r="O53" i="11"/>
  <c r="W7" i="4"/>
  <c r="U7" i="11"/>
  <c r="U8" i="11" s="1"/>
  <c r="AJ33" i="10"/>
  <c r="AJ37" i="10"/>
  <c r="AJ35" i="10"/>
  <c r="AJ31" i="10" s="1"/>
  <c r="AJ67" i="2"/>
  <c r="I91" i="2"/>
  <c r="AL35" i="2"/>
  <c r="AM8" i="2"/>
  <c r="K88" i="2"/>
  <c r="K91" i="2"/>
  <c r="L88" i="2"/>
  <c r="L91" i="2"/>
  <c r="O84" i="2"/>
  <c r="M88" i="2"/>
  <c r="M91" i="2"/>
  <c r="J88" i="2"/>
  <c r="J91" i="2"/>
  <c r="AL33" i="2"/>
  <c r="AL6" i="2"/>
  <c r="M68" i="2"/>
  <c r="AJ26" i="2"/>
  <c r="AJ44" i="3" s="1"/>
  <c r="AK32" i="2"/>
  <c r="AJ36" i="2"/>
  <c r="AH60" i="2"/>
  <c r="AH61" i="2" s="1"/>
  <c r="AK25" i="2"/>
  <c r="AL9" i="2"/>
  <c r="AL10" i="2"/>
  <c r="AK18" i="2"/>
  <c r="AK43" i="2"/>
  <c r="AL42" i="2"/>
  <c r="AK41" i="2"/>
  <c r="AK40" i="2"/>
  <c r="AN34" i="2"/>
  <c r="AM24" i="2"/>
  <c r="AL7" i="2"/>
  <c r="L14" i="1"/>
  <c r="L15" i="1" s="1"/>
  <c r="L6" i="1"/>
  <c r="L42" i="1"/>
  <c r="AK37" i="1"/>
  <c r="R37" i="1" s="1"/>
  <c r="P37" i="1"/>
  <c r="J14" i="1"/>
  <c r="J15" i="1" s="1"/>
  <c r="J42" i="1"/>
  <c r="Q37" i="1"/>
  <c r="J8" i="1"/>
  <c r="L8" i="1"/>
  <c r="S33" i="10"/>
  <c r="S35" i="10"/>
  <c r="S37" i="10"/>
  <c r="Q22" i="10"/>
  <c r="Q51" i="9"/>
  <c r="S24" i="9"/>
  <c r="S26" i="9"/>
  <c r="S28" i="9"/>
  <c r="S33" i="9"/>
  <c r="S35" i="9"/>
  <c r="S37" i="9"/>
  <c r="S31" i="9" s="1"/>
  <c r="S43" i="9"/>
  <c r="S41" i="9" s="1"/>
  <c r="S45" i="9"/>
  <c r="S47" i="9"/>
  <c r="O17" i="9"/>
  <c r="Q6" i="9" s="1"/>
  <c r="Q57" i="9"/>
  <c r="Q58" i="9" s="1"/>
  <c r="Q15" i="9" s="1"/>
  <c r="Q12" i="9" s="1"/>
  <c r="Q11" i="9" s="1"/>
  <c r="Q55" i="9"/>
  <c r="Q56" i="9" s="1"/>
  <c r="Q53" i="9"/>
  <c r="Q54" i="9" s="1"/>
  <c r="S43" i="8"/>
  <c r="S41" i="8" s="1"/>
  <c r="S45" i="8"/>
  <c r="S47" i="8"/>
  <c r="S33" i="8"/>
  <c r="S35" i="8"/>
  <c r="S37" i="8"/>
  <c r="S31" i="8"/>
  <c r="Q57" i="8"/>
  <c r="Q58" i="8" s="1"/>
  <c r="Q15" i="8" s="1"/>
  <c r="Q12" i="8" s="1"/>
  <c r="Q11" i="8" s="1"/>
  <c r="Q17" i="8" s="1"/>
  <c r="S6" i="8" s="1"/>
  <c r="Q55" i="8"/>
  <c r="Q56" i="8" s="1"/>
  <c r="Q22" i="8"/>
  <c r="O51" i="4"/>
  <c r="Q28" i="4"/>
  <c r="Q28" i="11" s="1"/>
  <c r="Q26" i="4"/>
  <c r="Q26" i="11" s="1"/>
  <c r="Q24" i="4"/>
  <c r="Q24" i="11" s="1"/>
  <c r="AK28" i="4"/>
  <c r="AJ28" i="11" s="1"/>
  <c r="AK24" i="4"/>
  <c r="AK26" i="4"/>
  <c r="AI22" i="11"/>
  <c r="Q37" i="4"/>
  <c r="Q37" i="11" s="1"/>
  <c r="Q35" i="4"/>
  <c r="Q35" i="11" s="1"/>
  <c r="Q33" i="4"/>
  <c r="AK9" i="11"/>
  <c r="AK10" i="11" s="1"/>
  <c r="AM9" i="4"/>
  <c r="AJ56" i="4"/>
  <c r="AI55" i="11"/>
  <c r="Q47" i="4"/>
  <c r="Q45" i="4"/>
  <c r="Q43" i="4"/>
  <c r="AK7" i="11"/>
  <c r="AK8" i="11" s="1"/>
  <c r="AM7" i="4"/>
  <c r="AI41" i="11"/>
  <c r="AK45" i="4"/>
  <c r="AK47" i="4"/>
  <c r="AK43" i="4"/>
  <c r="AJ43" i="11" s="1"/>
  <c r="AJ58" i="4"/>
  <c r="AJ15" i="4" s="1"/>
  <c r="AJ12" i="4" s="1"/>
  <c r="AJ11" i="4" s="1"/>
  <c r="AI57" i="11"/>
  <c r="AK35" i="4"/>
  <c r="AI31" i="11"/>
  <c r="AK33" i="4"/>
  <c r="AK37" i="4"/>
  <c r="AM38" i="1"/>
  <c r="AJ51" i="4"/>
  <c r="AI51" i="11" s="1"/>
  <c r="M20" i="11"/>
  <c r="K20" i="4"/>
  <c r="M21" i="4" s="1"/>
  <c r="B47" i="3"/>
  <c r="B50" i="3" s="1"/>
  <c r="C48" i="3" s="1"/>
  <c r="C17" i="3"/>
  <c r="C22" i="3" s="1"/>
  <c r="D47" i="3"/>
  <c r="D50" i="3" s="1"/>
  <c r="AE48" i="3" s="1"/>
  <c r="I47" i="3"/>
  <c r="K47" i="3"/>
  <c r="K50" i="3" s="1"/>
  <c r="L48" i="3" s="1"/>
  <c r="C36" i="3"/>
  <c r="C47" i="3" s="1"/>
  <c r="G47" i="3"/>
  <c r="AF47" i="3"/>
  <c r="E47" i="3"/>
  <c r="E50" i="3" s="1"/>
  <c r="F48" i="3" s="1"/>
  <c r="C12" i="1"/>
  <c r="F12" i="1"/>
  <c r="C10" i="1"/>
  <c r="AE21" i="1"/>
  <c r="AE24" i="1" s="1"/>
  <c r="B24" i="1"/>
  <c r="B23" i="1"/>
  <c r="G24" i="1"/>
  <c r="G23" i="1"/>
  <c r="AF24" i="1"/>
  <c r="AF23" i="1"/>
  <c r="E24" i="1"/>
  <c r="E23" i="1"/>
  <c r="D24" i="1"/>
  <c r="D23" i="1"/>
  <c r="F10" i="1"/>
  <c r="I24" i="1"/>
  <c r="I23" i="1"/>
  <c r="AG24" i="1"/>
  <c r="AG23" i="1"/>
  <c r="J12" i="1"/>
  <c r="K24" i="1"/>
  <c r="K23" i="1"/>
  <c r="AH24" i="1"/>
  <c r="AH23" i="1"/>
  <c r="AJ23" i="1" s="1"/>
  <c r="AK23" i="1" s="1"/>
  <c r="AL23" i="1" s="1"/>
  <c r="AM23" i="1" s="1"/>
  <c r="AN23" i="1" s="1"/>
  <c r="AO23" i="1" s="1"/>
  <c r="M24" i="1"/>
  <c r="M3" i="3" s="1"/>
  <c r="M11" i="3" s="1"/>
  <c r="M17" i="3" s="1"/>
  <c r="M22" i="3" s="1"/>
  <c r="M23" i="1"/>
  <c r="C47" i="2"/>
  <c r="J10" i="1"/>
  <c r="H12" i="1"/>
  <c r="L12" i="1"/>
  <c r="Q10" i="1"/>
  <c r="L10" i="1"/>
  <c r="Q12" i="1"/>
  <c r="AK12" i="1"/>
  <c r="H10" i="1"/>
  <c r="AJ10" i="1"/>
  <c r="C21" i="1"/>
  <c r="F21" i="1"/>
  <c r="H14" i="1"/>
  <c r="H15" i="1" s="1"/>
  <c r="K49" i="2"/>
  <c r="C22" i="2"/>
  <c r="M47" i="3"/>
  <c r="AH47" i="3"/>
  <c r="AH50" i="3" s="1"/>
  <c r="J36" i="3"/>
  <c r="J17" i="3"/>
  <c r="J22" i="3" s="1"/>
  <c r="L36" i="3"/>
  <c r="L17" i="3"/>
  <c r="L22" i="3" s="1"/>
  <c r="I49" i="2"/>
  <c r="AG49" i="2"/>
  <c r="J47" i="2"/>
  <c r="AH49" i="2"/>
  <c r="E49" i="2"/>
  <c r="L22" i="2"/>
  <c r="H17" i="3"/>
  <c r="H22" i="3" s="1"/>
  <c r="D49" i="2"/>
  <c r="J22" i="2"/>
  <c r="L47" i="2"/>
  <c r="M49" i="2"/>
  <c r="H47" i="2"/>
  <c r="AF49" i="2"/>
  <c r="H22" i="2"/>
  <c r="H36" i="3"/>
  <c r="G49" i="2"/>
  <c r="F36" i="3"/>
  <c r="AE47" i="3"/>
  <c r="F17" i="3"/>
  <c r="F22" i="3" s="1"/>
  <c r="F47" i="2"/>
  <c r="AE49" i="2"/>
  <c r="F22" i="2"/>
  <c r="B49" i="2"/>
  <c r="O38" i="3" l="1"/>
  <c r="O45" i="3" s="1"/>
  <c r="AL27" i="3"/>
  <c r="T27" i="3" s="1"/>
  <c r="AJ45" i="3"/>
  <c r="P44" i="3"/>
  <c r="N44" i="3"/>
  <c r="N45" i="3" s="1"/>
  <c r="AJ35" i="11"/>
  <c r="Q31" i="4"/>
  <c r="Q33" i="11"/>
  <c r="Q41" i="4"/>
  <c r="M53" i="2"/>
  <c r="AK103" i="2"/>
  <c r="AK35" i="8"/>
  <c r="AK33" i="8"/>
  <c r="AK37" i="8"/>
  <c r="AJ55" i="10"/>
  <c r="AJ56" i="10" s="1"/>
  <c r="AJ22" i="8"/>
  <c r="AJ53" i="8"/>
  <c r="AJ54" i="8" s="1"/>
  <c r="O51" i="11"/>
  <c r="W9" i="11"/>
  <c r="W10" i="11" s="1"/>
  <c r="Y9" i="4"/>
  <c r="Y9" i="11" s="1"/>
  <c r="Y10" i="11" s="1"/>
  <c r="AJ22" i="10"/>
  <c r="AJ57" i="10"/>
  <c r="AJ58" i="10" s="1"/>
  <c r="AJ15" i="10" s="1"/>
  <c r="AJ12" i="10" s="1"/>
  <c r="AJ11" i="10" s="1"/>
  <c r="AJ55" i="8"/>
  <c r="AJ56" i="8" s="1"/>
  <c r="AK47" i="10"/>
  <c r="AK43" i="10"/>
  <c r="AK45" i="10"/>
  <c r="Q47" i="11"/>
  <c r="W7" i="11"/>
  <c r="W8" i="11" s="1"/>
  <c r="Y7" i="4"/>
  <c r="Y7" i="11" s="1"/>
  <c r="W8" i="1"/>
  <c r="AK47" i="9"/>
  <c r="AK45" i="9"/>
  <c r="AK43" i="9"/>
  <c r="AJ57" i="8"/>
  <c r="AJ58" i="8" s="1"/>
  <c r="AJ15" i="8" s="1"/>
  <c r="AJ12" i="8" s="1"/>
  <c r="AJ11" i="8" s="1"/>
  <c r="AJ17" i="8" s="1"/>
  <c r="AK6" i="8" s="1"/>
  <c r="Q43" i="10"/>
  <c r="Q47" i="10"/>
  <c r="Q57" i="10" s="1"/>
  <c r="Q58" i="10" s="1"/>
  <c r="Q15" i="10" s="1"/>
  <c r="Q12" i="10" s="1"/>
  <c r="Q11" i="10" s="1"/>
  <c r="Q45" i="10"/>
  <c r="Q55" i="10" s="1"/>
  <c r="Q56" i="10" s="1"/>
  <c r="O51" i="10"/>
  <c r="S10" i="1"/>
  <c r="Q38" i="3"/>
  <c r="AK37" i="10"/>
  <c r="AK35" i="10"/>
  <c r="AK31" i="10"/>
  <c r="AK33" i="10"/>
  <c r="P38" i="3"/>
  <c r="P45" i="3" s="1"/>
  <c r="AK104" i="2"/>
  <c r="AJ22" i="9"/>
  <c r="AJ53" i="9"/>
  <c r="AJ54" i="9" s="1"/>
  <c r="AJ47" i="11"/>
  <c r="S53" i="9"/>
  <c r="S54" i="9" s="1"/>
  <c r="S31" i="10"/>
  <c r="U31" i="10" s="1"/>
  <c r="AN8" i="2"/>
  <c r="O36" i="2"/>
  <c r="O42" i="1"/>
  <c r="O5" i="1" s="1"/>
  <c r="Q6" i="11"/>
  <c r="AK33" i="9"/>
  <c r="AK35" i="9"/>
  <c r="AK31" i="9" s="1"/>
  <c r="AK37" i="9"/>
  <c r="AK105" i="2"/>
  <c r="O41" i="11"/>
  <c r="Q45" i="11"/>
  <c r="AJ45" i="11"/>
  <c r="AJ41" i="8"/>
  <c r="M69" i="2"/>
  <c r="N67" i="2"/>
  <c r="N68" i="2"/>
  <c r="AM35" i="2"/>
  <c r="AN35" i="2" s="1"/>
  <c r="O88" i="2"/>
  <c r="O90" i="2"/>
  <c r="AM33" i="2"/>
  <c r="M57" i="2"/>
  <c r="AJ57" i="2"/>
  <c r="O26" i="2"/>
  <c r="M61" i="2"/>
  <c r="AK26" i="2"/>
  <c r="AK44" i="3" s="1"/>
  <c r="AM6" i="2"/>
  <c r="AM10" i="2"/>
  <c r="AM9" i="2"/>
  <c r="AL32" i="2"/>
  <c r="AK36" i="2"/>
  <c r="AL25" i="2"/>
  <c r="AL18" i="2"/>
  <c r="AL43" i="2"/>
  <c r="AM42" i="2"/>
  <c r="AL41" i="2"/>
  <c r="AL40" i="2"/>
  <c r="AO34" i="2"/>
  <c r="AN24" i="2"/>
  <c r="AM7" i="2"/>
  <c r="J21" i="1"/>
  <c r="J24" i="1" s="1"/>
  <c r="AL37" i="1"/>
  <c r="T37" i="1" s="1"/>
  <c r="L21" i="1"/>
  <c r="L24" i="1" s="1"/>
  <c r="U33" i="10"/>
  <c r="U35" i="10"/>
  <c r="U37" i="10"/>
  <c r="S24" i="10"/>
  <c r="S26" i="10"/>
  <c r="S28" i="10"/>
  <c r="Q17" i="10"/>
  <c r="S6" i="10" s="1"/>
  <c r="U43" i="9"/>
  <c r="U41" i="9" s="1"/>
  <c r="U45" i="9"/>
  <c r="U47" i="9"/>
  <c r="U33" i="9"/>
  <c r="U35" i="9"/>
  <c r="U37" i="9"/>
  <c r="U31" i="9"/>
  <c r="Q17" i="9"/>
  <c r="S6" i="9" s="1"/>
  <c r="S57" i="9"/>
  <c r="S58" i="9" s="1"/>
  <c r="S15" i="9" s="1"/>
  <c r="S12" i="9" s="1"/>
  <c r="S11" i="9" s="1"/>
  <c r="S22" i="9"/>
  <c r="S55" i="9"/>
  <c r="S56" i="9" s="1"/>
  <c r="U33" i="8"/>
  <c r="U35" i="8"/>
  <c r="U37" i="8"/>
  <c r="U43" i="8"/>
  <c r="U45" i="8"/>
  <c r="U47" i="8"/>
  <c r="Q51" i="8"/>
  <c r="S24" i="8"/>
  <c r="S53" i="8" s="1"/>
  <c r="S54" i="8" s="1"/>
  <c r="S26" i="8"/>
  <c r="S55" i="8" s="1"/>
  <c r="S56" i="8" s="1"/>
  <c r="S28" i="8"/>
  <c r="S57" i="8" s="1"/>
  <c r="S58" i="8" s="1"/>
  <c r="S15" i="8" s="1"/>
  <c r="S12" i="8" s="1"/>
  <c r="S11" i="8" s="1"/>
  <c r="AN9" i="4"/>
  <c r="AL9" i="11"/>
  <c r="AL10" i="11" s="1"/>
  <c r="AJ26" i="11"/>
  <c r="AK55" i="4"/>
  <c r="AN7" i="4"/>
  <c r="AL7" i="11"/>
  <c r="AL8" i="11" s="1"/>
  <c r="AK53" i="4"/>
  <c r="AJ24" i="11"/>
  <c r="AJ17" i="4"/>
  <c r="AK6" i="4" s="1"/>
  <c r="AI11" i="11"/>
  <c r="Q22" i="4"/>
  <c r="Q53" i="4"/>
  <c r="AK41" i="4"/>
  <c r="Q55" i="4"/>
  <c r="AK57" i="4"/>
  <c r="AJ37" i="11"/>
  <c r="Q57" i="4"/>
  <c r="AK31" i="4"/>
  <c r="AJ33" i="11"/>
  <c r="AK22" i="4"/>
  <c r="AN38" i="1"/>
  <c r="C50" i="3"/>
  <c r="H21" i="1"/>
  <c r="H24" i="1" s="1"/>
  <c r="AE23" i="1"/>
  <c r="C24" i="1"/>
  <c r="C23" i="1"/>
  <c r="L23" i="1"/>
  <c r="F24" i="1"/>
  <c r="F23" i="1"/>
  <c r="AE50" i="3"/>
  <c r="AF48" i="3" s="1"/>
  <c r="AF50" i="3" s="1"/>
  <c r="I48" i="3" s="1"/>
  <c r="I50" i="3" s="1"/>
  <c r="J48" i="3" s="1"/>
  <c r="C49" i="2"/>
  <c r="S12" i="1"/>
  <c r="AK10" i="1"/>
  <c r="AL12" i="1"/>
  <c r="M48" i="3"/>
  <c r="M50" i="3" s="1"/>
  <c r="F47" i="3"/>
  <c r="F50" i="3" s="1"/>
  <c r="J47" i="3"/>
  <c r="L49" i="2"/>
  <c r="L47" i="3"/>
  <c r="L50" i="3" s="1"/>
  <c r="J49" i="2"/>
  <c r="H47" i="3"/>
  <c r="H49" i="2"/>
  <c r="F49" i="2"/>
  <c r="AM27" i="3" l="1"/>
  <c r="V27" i="3" s="1"/>
  <c r="AM37" i="1"/>
  <c r="AN37" i="1" s="1"/>
  <c r="AL35" i="9"/>
  <c r="AL37" i="9"/>
  <c r="AL33" i="9"/>
  <c r="Q58" i="4"/>
  <c r="Q15" i="4" s="1"/>
  <c r="Q12" i="4" s="1"/>
  <c r="Q11" i="4" s="1"/>
  <c r="Q57" i="11"/>
  <c r="U41" i="8"/>
  <c r="W43" i="8" s="1"/>
  <c r="W41" i="8" s="1"/>
  <c r="AL103" i="2"/>
  <c r="Q31" i="11"/>
  <c r="S37" i="4"/>
  <c r="S37" i="11" s="1"/>
  <c r="S35" i="4"/>
  <c r="S35" i="11" s="1"/>
  <c r="S33" i="4"/>
  <c r="S33" i="11" s="1"/>
  <c r="S31" i="4"/>
  <c r="U31" i="8"/>
  <c r="W35" i="8" s="1"/>
  <c r="AK41" i="10"/>
  <c r="AK41" i="9"/>
  <c r="AL33" i="10"/>
  <c r="AL37" i="10"/>
  <c r="AL35" i="10"/>
  <c r="AK22" i="8"/>
  <c r="AJ51" i="8"/>
  <c r="AK24" i="8"/>
  <c r="AK28" i="8"/>
  <c r="AK26" i="8"/>
  <c r="AK55" i="8" s="1"/>
  <c r="AK56" i="8" s="1"/>
  <c r="Q51" i="4"/>
  <c r="S26" i="4"/>
  <c r="S24" i="4"/>
  <c r="Q22" i="11"/>
  <c r="S28" i="4"/>
  <c r="AK45" i="3"/>
  <c r="R44" i="3"/>
  <c r="AL104" i="2"/>
  <c r="Y8" i="1"/>
  <c r="Q56" i="4"/>
  <c r="Q55" i="11"/>
  <c r="AO8" i="2"/>
  <c r="S38" i="3"/>
  <c r="O7" i="1"/>
  <c r="O26" i="3"/>
  <c r="O6" i="1"/>
  <c r="Y8" i="11"/>
  <c r="AK43" i="8"/>
  <c r="AK41" i="8" s="1"/>
  <c r="AK45" i="8"/>
  <c r="AK47" i="8"/>
  <c r="U10" i="1"/>
  <c r="AJ51" i="9"/>
  <c r="AK26" i="9"/>
  <c r="AK55" i="9" s="1"/>
  <c r="AK24" i="9"/>
  <c r="AK53" i="9" s="1"/>
  <c r="AK28" i="9"/>
  <c r="AK57" i="9" s="1"/>
  <c r="Q41" i="10"/>
  <c r="Q41" i="11" s="1"/>
  <c r="Q53" i="10"/>
  <c r="Q54" i="10" s="1"/>
  <c r="AJ17" i="10"/>
  <c r="AK6" i="10" s="1"/>
  <c r="S47" i="4"/>
  <c r="S45" i="4"/>
  <c r="S43" i="4"/>
  <c r="Q54" i="4"/>
  <c r="AL105" i="2"/>
  <c r="Q45" i="3"/>
  <c r="R38" i="3"/>
  <c r="R45" i="3" s="1"/>
  <c r="AK24" i="10"/>
  <c r="AK53" i="10" s="1"/>
  <c r="AK54" i="10" s="1"/>
  <c r="AJ51" i="10"/>
  <c r="AK28" i="10"/>
  <c r="AK57" i="10" s="1"/>
  <c r="AK26" i="10"/>
  <c r="AK55" i="10" s="1"/>
  <c r="AK31" i="8"/>
  <c r="Q43" i="11"/>
  <c r="P90" i="2"/>
  <c r="O17" i="1"/>
  <c r="O19" i="1" s="1"/>
  <c r="AN33" i="2"/>
  <c r="AM25" i="2"/>
  <c r="AN6" i="2"/>
  <c r="AN27" i="3" s="1"/>
  <c r="X27" i="3" s="1"/>
  <c r="AM32" i="2"/>
  <c r="AL36" i="2"/>
  <c r="AN9" i="2"/>
  <c r="AN10" i="2"/>
  <c r="AL26" i="2"/>
  <c r="AL44" i="3" s="1"/>
  <c r="AM18" i="2"/>
  <c r="AM43" i="2"/>
  <c r="AN42" i="2"/>
  <c r="AM41" i="2"/>
  <c r="AM40" i="2"/>
  <c r="AO35" i="2"/>
  <c r="AO24" i="2"/>
  <c r="AN7" i="2"/>
  <c r="J23" i="1"/>
  <c r="S37" i="1"/>
  <c r="W35" i="10"/>
  <c r="W33" i="10"/>
  <c r="W31" i="10" s="1"/>
  <c r="W37" i="10"/>
  <c r="S22" i="10"/>
  <c r="W45" i="9"/>
  <c r="W47" i="9"/>
  <c r="W43" i="9"/>
  <c r="W35" i="9"/>
  <c r="W37" i="9"/>
  <c r="W33" i="9"/>
  <c r="W31" i="9" s="1"/>
  <c r="U24" i="9"/>
  <c r="U53" i="9" s="1"/>
  <c r="U26" i="9"/>
  <c r="U55" i="9" s="1"/>
  <c r="U28" i="9"/>
  <c r="U57" i="9" s="1"/>
  <c r="S51" i="9"/>
  <c r="S17" i="9"/>
  <c r="U6" i="9" s="1"/>
  <c r="W33" i="8"/>
  <c r="W45" i="8"/>
  <c r="W47" i="8"/>
  <c r="S17" i="8"/>
  <c r="U6" i="8" s="1"/>
  <c r="S22" i="8"/>
  <c r="AJ41" i="11"/>
  <c r="AL47" i="4"/>
  <c r="AK47" i="11" s="1"/>
  <c r="AL45" i="4"/>
  <c r="AK45" i="11" s="1"/>
  <c r="AL43" i="4"/>
  <c r="AM7" i="11"/>
  <c r="AM8" i="11" s="1"/>
  <c r="AO7" i="4"/>
  <c r="AJ22" i="11"/>
  <c r="AL26" i="4"/>
  <c r="AL28" i="4"/>
  <c r="AL24" i="4"/>
  <c r="AK51" i="4"/>
  <c r="AK56" i="4"/>
  <c r="AJ55" i="11"/>
  <c r="AK54" i="4"/>
  <c r="AJ53" i="11"/>
  <c r="AJ31" i="11"/>
  <c r="AL35" i="4"/>
  <c r="AK35" i="11" s="1"/>
  <c r="AL33" i="4"/>
  <c r="AL37" i="4"/>
  <c r="AK37" i="11" s="1"/>
  <c r="AI12" i="11"/>
  <c r="AI17" i="11"/>
  <c r="AK58" i="4"/>
  <c r="AK15" i="4" s="1"/>
  <c r="AK12" i="4" s="1"/>
  <c r="AK11" i="4" s="1"/>
  <c r="AJ11" i="11" s="1"/>
  <c r="AJ12" i="11" s="1"/>
  <c r="AJ57" i="11"/>
  <c r="AK17" i="4"/>
  <c r="AL6" i="4" s="1"/>
  <c r="AO9" i="4"/>
  <c r="AM9" i="11"/>
  <c r="AM10" i="11" s="1"/>
  <c r="AO38" i="1"/>
  <c r="AL10" i="1"/>
  <c r="H23" i="1"/>
  <c r="G48" i="3"/>
  <c r="G50" i="3" s="1"/>
  <c r="H48" i="3" s="1"/>
  <c r="H50" i="3" s="1"/>
  <c r="J50" i="3"/>
  <c r="AM12" i="1"/>
  <c r="U12" i="1"/>
  <c r="V37" i="1" l="1"/>
  <c r="W37" i="1" s="1"/>
  <c r="AK58" i="10"/>
  <c r="AK15" i="10" s="1"/>
  <c r="AK12" i="10" s="1"/>
  <c r="AK11" i="10" s="1"/>
  <c r="AL47" i="8"/>
  <c r="AL45" i="8"/>
  <c r="AL43" i="8"/>
  <c r="AL41" i="8" s="1"/>
  <c r="AL26" i="8"/>
  <c r="AL55" i="8" s="1"/>
  <c r="AL56" i="8" s="1"/>
  <c r="AK51" i="8"/>
  <c r="AL24" i="8"/>
  <c r="AL28" i="8"/>
  <c r="AL45" i="3"/>
  <c r="T44" i="3"/>
  <c r="AM103" i="2"/>
  <c r="AJ51" i="11"/>
  <c r="S55" i="4"/>
  <c r="S26" i="11"/>
  <c r="AK17" i="10"/>
  <c r="AL6" i="10" s="1"/>
  <c r="T38" i="3"/>
  <c r="S45" i="3"/>
  <c r="S22" i="4"/>
  <c r="S24" i="11"/>
  <c r="S53" i="4"/>
  <c r="Q53" i="11"/>
  <c r="AK22" i="9"/>
  <c r="W10" i="1"/>
  <c r="AM104" i="2"/>
  <c r="AL43" i="9"/>
  <c r="AL45" i="9"/>
  <c r="AL47" i="9"/>
  <c r="Q17" i="4"/>
  <c r="S6" i="4" s="1"/>
  <c r="Q11" i="11"/>
  <c r="S47" i="10"/>
  <c r="S57" i="10" s="1"/>
  <c r="S58" i="10" s="1"/>
  <c r="S15" i="10" s="1"/>
  <c r="S12" i="10" s="1"/>
  <c r="S11" i="10" s="1"/>
  <c r="S17" i="10" s="1"/>
  <c r="U6" i="10" s="1"/>
  <c r="S45" i="10"/>
  <c r="S55" i="10" s="1"/>
  <c r="S56" i="10" s="1"/>
  <c r="S43" i="10"/>
  <c r="S43" i="11" s="1"/>
  <c r="Q51" i="10"/>
  <c r="AL31" i="10"/>
  <c r="S31" i="11"/>
  <c r="U37" i="4"/>
  <c r="U37" i="11" s="1"/>
  <c r="U35" i="4"/>
  <c r="U35" i="11" s="1"/>
  <c r="U33" i="4"/>
  <c r="W37" i="8"/>
  <c r="W31" i="8" s="1"/>
  <c r="AL37" i="8"/>
  <c r="AL31" i="8" s="1"/>
  <c r="AL33" i="8"/>
  <c r="AL35" i="8"/>
  <c r="S41" i="4"/>
  <c r="AK58" i="9"/>
  <c r="AK15" i="9" s="1"/>
  <c r="AK12" i="9" s="1"/>
  <c r="AK11" i="9" s="1"/>
  <c r="AK17" i="9" s="1"/>
  <c r="AL6" i="9" s="1"/>
  <c r="AK57" i="8"/>
  <c r="AK58" i="8" s="1"/>
  <c r="AK15" i="8" s="1"/>
  <c r="AK12" i="8" s="1"/>
  <c r="AK11" i="8" s="1"/>
  <c r="AK17" i="8" s="1"/>
  <c r="AL6" i="8" s="1"/>
  <c r="N13" i="1"/>
  <c r="N5" i="3" s="1"/>
  <c r="AL31" i="9"/>
  <c r="AK53" i="8"/>
  <c r="AK54" i="8" s="1"/>
  <c r="Q51" i="11"/>
  <c r="U38" i="3"/>
  <c r="AK22" i="10"/>
  <c r="AK54" i="9"/>
  <c r="W41" i="9"/>
  <c r="AK56" i="10"/>
  <c r="AM105" i="2"/>
  <c r="AK56" i="9"/>
  <c r="S28" i="11"/>
  <c r="S57" i="4"/>
  <c r="AL43" i="10"/>
  <c r="AL45" i="10"/>
  <c r="AL47" i="10"/>
  <c r="R90" i="2"/>
  <c r="Q17" i="1"/>
  <c r="Q19" i="1" s="1"/>
  <c r="P91" i="2"/>
  <c r="P17" i="1"/>
  <c r="M59" i="2"/>
  <c r="AO33" i="2"/>
  <c r="AN32" i="2"/>
  <c r="AM36" i="2"/>
  <c r="AN25" i="2"/>
  <c r="AM26" i="2"/>
  <c r="AM44" i="3" s="1"/>
  <c r="AO9" i="2"/>
  <c r="AO10" i="2"/>
  <c r="AO6" i="2"/>
  <c r="AN18" i="2"/>
  <c r="AN43" i="2"/>
  <c r="AO42" i="2"/>
  <c r="AN41" i="2"/>
  <c r="AN40" i="2"/>
  <c r="AO7" i="2"/>
  <c r="AO37" i="1"/>
  <c r="X37" i="1"/>
  <c r="Y37" i="1" s="1"/>
  <c r="U24" i="10"/>
  <c r="U26" i="10"/>
  <c r="U28" i="10"/>
  <c r="Y35" i="10"/>
  <c r="Y37" i="10"/>
  <c r="Y33" i="10"/>
  <c r="Y45" i="9"/>
  <c r="Y47" i="9"/>
  <c r="Y43" i="9"/>
  <c r="Y41" i="9" s="1"/>
  <c r="U17" i="9"/>
  <c r="W6" i="9" s="1"/>
  <c r="U22" i="9"/>
  <c r="Y35" i="9"/>
  <c r="Y37" i="9"/>
  <c r="Y33" i="9"/>
  <c r="U58" i="9"/>
  <c r="U15" i="9" s="1"/>
  <c r="U12" i="9" s="1"/>
  <c r="U11" i="9" s="1"/>
  <c r="U54" i="9"/>
  <c r="U56" i="9"/>
  <c r="Y45" i="8"/>
  <c r="Y47" i="8"/>
  <c r="Y43" i="8"/>
  <c r="U24" i="8"/>
  <c r="U53" i="8" s="1"/>
  <c r="S51" i="8"/>
  <c r="U26" i="8"/>
  <c r="U55" i="8" s="1"/>
  <c r="U56" i="8" s="1"/>
  <c r="U28" i="8"/>
  <c r="U57" i="8" s="1"/>
  <c r="U58" i="8" s="1"/>
  <c r="U15" i="8" s="1"/>
  <c r="U12" i="8" s="1"/>
  <c r="U11" i="8" s="1"/>
  <c r="U17" i="8" s="1"/>
  <c r="W6" i="8" s="1"/>
  <c r="AJ6" i="11"/>
  <c r="AJ17" i="11" s="1"/>
  <c r="AP7" i="4"/>
  <c r="AO7" i="11" s="1"/>
  <c r="AN7" i="11"/>
  <c r="AN8" i="11" s="1"/>
  <c r="AL55" i="4"/>
  <c r="AK26" i="11"/>
  <c r="AL57" i="4"/>
  <c r="AK28" i="11"/>
  <c r="AL41" i="4"/>
  <c r="AK43" i="11"/>
  <c r="AL31" i="4"/>
  <c r="AP9" i="4"/>
  <c r="AO9" i="11" s="1"/>
  <c r="AN9" i="11"/>
  <c r="AN10" i="11" s="1"/>
  <c r="AL53" i="4"/>
  <c r="AK33" i="11"/>
  <c r="AL22" i="4"/>
  <c r="AK24" i="11"/>
  <c r="AM10" i="1"/>
  <c r="O9" i="1"/>
  <c r="O11" i="1"/>
  <c r="AN12" i="1"/>
  <c r="W12" i="1"/>
  <c r="T45" i="3" l="1"/>
  <c r="AM45" i="3"/>
  <c r="V44" i="3"/>
  <c r="Y37" i="8"/>
  <c r="Y33" i="8"/>
  <c r="Y35" i="8"/>
  <c r="Y31" i="8" s="1"/>
  <c r="W38" i="3"/>
  <c r="AK51" i="10"/>
  <c r="AL24" i="10"/>
  <c r="AL53" i="10" s="1"/>
  <c r="AL54" i="10" s="1"/>
  <c r="AL26" i="10"/>
  <c r="AL55" i="10" s="1"/>
  <c r="AL56" i="10" s="1"/>
  <c r="AL28" i="10"/>
  <c r="AL57" i="10" s="1"/>
  <c r="AL58" i="10" s="1"/>
  <c r="AL15" i="10" s="1"/>
  <c r="AL12" i="10" s="1"/>
  <c r="AL11" i="10" s="1"/>
  <c r="AL17" i="10" s="1"/>
  <c r="AM6" i="10" s="1"/>
  <c r="AN105" i="2"/>
  <c r="AN104" i="2"/>
  <c r="Y41" i="8"/>
  <c r="S58" i="4"/>
  <c r="S15" i="4" s="1"/>
  <c r="S12" i="4" s="1"/>
  <c r="S11" i="4" s="1"/>
  <c r="S11" i="11" s="1"/>
  <c r="S12" i="11" s="1"/>
  <c r="S57" i="11"/>
  <c r="U47" i="4"/>
  <c r="U45" i="4"/>
  <c r="U43" i="4"/>
  <c r="S41" i="11"/>
  <c r="Q12" i="11"/>
  <c r="Q17" i="11"/>
  <c r="Y10" i="1"/>
  <c r="AM43" i="8"/>
  <c r="AM45" i="8"/>
  <c r="AM47" i="8"/>
  <c r="U33" i="11"/>
  <c r="S51" i="4"/>
  <c r="U28" i="4"/>
  <c r="U26" i="4"/>
  <c r="U24" i="4"/>
  <c r="U24" i="11" s="1"/>
  <c r="S22" i="11"/>
  <c r="AL41" i="10"/>
  <c r="AO8" i="11"/>
  <c r="AM37" i="9"/>
  <c r="AM35" i="9"/>
  <c r="AM33" i="9"/>
  <c r="AM31" i="9" s="1"/>
  <c r="S17" i="4"/>
  <c r="U6" i="4" s="1"/>
  <c r="AL24" i="9"/>
  <c r="AL53" i="9" s="1"/>
  <c r="AL26" i="9"/>
  <c r="AL55" i="9" s="1"/>
  <c r="AL56" i="9" s="1"/>
  <c r="AL28" i="9"/>
  <c r="AL57" i="9" s="1"/>
  <c r="AK51" i="9"/>
  <c r="AL22" i="9"/>
  <c r="V38" i="3"/>
  <c r="U45" i="3"/>
  <c r="S41" i="10"/>
  <c r="S53" i="10"/>
  <c r="S54" i="10" s="1"/>
  <c r="AN103" i="2"/>
  <c r="U54" i="8"/>
  <c r="U31" i="4"/>
  <c r="AO27" i="3"/>
  <c r="Z27" i="3" s="1"/>
  <c r="AL57" i="8"/>
  <c r="AL58" i="8" s="1"/>
  <c r="AL15" i="8" s="1"/>
  <c r="AL12" i="8" s="1"/>
  <c r="AL11" i="8" s="1"/>
  <c r="AL22" i="8"/>
  <c r="AI101" i="2"/>
  <c r="AI100" i="2"/>
  <c r="AI99" i="2"/>
  <c r="Y31" i="9"/>
  <c r="Y31" i="10"/>
  <c r="S47" i="11"/>
  <c r="S45" i="11"/>
  <c r="AM37" i="8"/>
  <c r="AM35" i="8"/>
  <c r="AM31" i="8"/>
  <c r="AM33" i="8"/>
  <c r="AM31" i="10"/>
  <c r="AM33" i="10"/>
  <c r="AM35" i="10"/>
  <c r="AM37" i="10"/>
  <c r="AL53" i="8"/>
  <c r="AL54" i="8" s="1"/>
  <c r="AL17" i="8"/>
  <c r="AM6" i="8" s="1"/>
  <c r="AL41" i="9"/>
  <c r="S54" i="4"/>
  <c r="S53" i="11"/>
  <c r="S56" i="4"/>
  <c r="S55" i="11"/>
  <c r="T90" i="2"/>
  <c r="S17" i="1"/>
  <c r="S19" i="1" s="1"/>
  <c r="R91" i="2"/>
  <c r="R17" i="1"/>
  <c r="P19" i="1"/>
  <c r="Y38" i="3"/>
  <c r="AO25" i="2"/>
  <c r="AN36" i="2"/>
  <c r="AO32" i="2"/>
  <c r="AN26" i="2"/>
  <c r="AN44" i="3" s="1"/>
  <c r="AO18" i="2"/>
  <c r="AO43" i="2"/>
  <c r="AO41" i="2"/>
  <c r="AO40" i="2"/>
  <c r="U37" i="1"/>
  <c r="Z37" i="1"/>
  <c r="U22" i="10"/>
  <c r="W26" i="9"/>
  <c r="W55" i="9" s="1"/>
  <c r="W28" i="9"/>
  <c r="W57" i="9" s="1"/>
  <c r="W24" i="9"/>
  <c r="W53" i="9" s="1"/>
  <c r="U51" i="9"/>
  <c r="U22" i="8"/>
  <c r="AL58" i="4"/>
  <c r="AL15" i="4" s="1"/>
  <c r="AL12" i="4" s="1"/>
  <c r="AL11" i="4" s="1"/>
  <c r="AK57" i="11"/>
  <c r="AL54" i="4"/>
  <c r="AK53" i="11"/>
  <c r="AO10" i="11"/>
  <c r="AM24" i="4"/>
  <c r="AM28" i="4"/>
  <c r="AK22" i="11"/>
  <c r="AM26" i="4"/>
  <c r="AL51" i="4"/>
  <c r="AK51" i="11" s="1"/>
  <c r="AL56" i="4"/>
  <c r="AK55" i="11"/>
  <c r="AM37" i="4"/>
  <c r="AL37" i="11" s="1"/>
  <c r="AM33" i="4"/>
  <c r="AM31" i="4" s="1"/>
  <c r="AM35" i="4"/>
  <c r="AL35" i="11" s="1"/>
  <c r="AK31" i="11"/>
  <c r="AK6" i="11"/>
  <c r="AJ42" i="1"/>
  <c r="AJ5" i="1" s="1"/>
  <c r="AM45" i="4"/>
  <c r="AL45" i="11" s="1"/>
  <c r="AM43" i="4"/>
  <c r="AK41" i="11"/>
  <c r="AM47" i="4"/>
  <c r="AL47" i="11" s="1"/>
  <c r="N5" i="1"/>
  <c r="AN10" i="1"/>
  <c r="AO12" i="1"/>
  <c r="Y12" i="1"/>
  <c r="V45" i="3" l="1"/>
  <c r="AN35" i="9"/>
  <c r="AN37" i="9"/>
  <c r="AN33" i="9"/>
  <c r="AN31" i="9" s="1"/>
  <c r="N26" i="3"/>
  <c r="N64" i="2"/>
  <c r="U57" i="4"/>
  <c r="U28" i="11"/>
  <c r="AM41" i="8"/>
  <c r="AL51" i="9"/>
  <c r="AM26" i="9"/>
  <c r="AM55" i="9" s="1"/>
  <c r="AM56" i="9" s="1"/>
  <c r="AM28" i="9"/>
  <c r="AM57" i="9" s="1"/>
  <c r="AM58" i="9" s="1"/>
  <c r="AM15" i="9" s="1"/>
  <c r="AM12" i="9" s="1"/>
  <c r="AM11" i="9" s="1"/>
  <c r="AM17" i="9" s="1"/>
  <c r="AN6" i="9" s="1"/>
  <c r="AM24" i="9"/>
  <c r="AM53" i="9" s="1"/>
  <c r="AM54" i="9" s="1"/>
  <c r="U22" i="4"/>
  <c r="U26" i="11"/>
  <c r="U55" i="4"/>
  <c r="AO105" i="2"/>
  <c r="N7" i="1"/>
  <c r="N9" i="1"/>
  <c r="N11" i="1"/>
  <c r="N42" i="1"/>
  <c r="AM24" i="8"/>
  <c r="AM53" i="8" s="1"/>
  <c r="AM26" i="8"/>
  <c r="AM55" i="8" s="1"/>
  <c r="AM28" i="8"/>
  <c r="AM57" i="8" s="1"/>
  <c r="AL51" i="8"/>
  <c r="AO103" i="2"/>
  <c r="AL58" i="9"/>
  <c r="AL15" i="9" s="1"/>
  <c r="AL12" i="9" s="1"/>
  <c r="AL11" i="9" s="1"/>
  <c r="AL17" i="9" s="1"/>
  <c r="AM6" i="9" s="1"/>
  <c r="AL22" i="10"/>
  <c r="AN35" i="8"/>
  <c r="AN37" i="8"/>
  <c r="AN33" i="8"/>
  <c r="AN31" i="8" s="1"/>
  <c r="U41" i="4"/>
  <c r="W37" i="4"/>
  <c r="W37" i="11" s="1"/>
  <c r="W35" i="4"/>
  <c r="W35" i="11" s="1"/>
  <c r="W33" i="4"/>
  <c r="W31" i="4"/>
  <c r="U31" i="11"/>
  <c r="AO104" i="2"/>
  <c r="AI45" i="2"/>
  <c r="N101" i="2"/>
  <c r="N105" i="2" s="1"/>
  <c r="N10" i="7" s="1"/>
  <c r="N14" i="3"/>
  <c r="U45" i="10"/>
  <c r="U55" i="10" s="1"/>
  <c r="U56" i="10" s="1"/>
  <c r="U43" i="10"/>
  <c r="U43" i="11" s="1"/>
  <c r="U47" i="10"/>
  <c r="U57" i="10" s="1"/>
  <c r="U58" i="10" s="1"/>
  <c r="U15" i="10" s="1"/>
  <c r="U12" i="10" s="1"/>
  <c r="U11" i="10" s="1"/>
  <c r="U17" i="10" s="1"/>
  <c r="W6" i="10" s="1"/>
  <c r="S51" i="10"/>
  <c r="S51" i="11" s="1"/>
  <c r="AL54" i="9"/>
  <c r="AM45" i="10"/>
  <c r="AM43" i="10"/>
  <c r="AM47" i="10"/>
  <c r="U53" i="4"/>
  <c r="S6" i="11"/>
  <c r="S17" i="11" s="1"/>
  <c r="Q42" i="1"/>
  <c r="Q5" i="1" s="1"/>
  <c r="AM43" i="9"/>
  <c r="AM45" i="9"/>
  <c r="AM47" i="9"/>
  <c r="AM41" i="9" s="1"/>
  <c r="N100" i="2"/>
  <c r="N13" i="3"/>
  <c r="X38" i="3"/>
  <c r="W45" i="3"/>
  <c r="P5" i="1"/>
  <c r="C6" i="12"/>
  <c r="AJ54" i="2"/>
  <c r="AJ64" i="2"/>
  <c r="AJ100" i="2"/>
  <c r="AJ101" i="2"/>
  <c r="AJ99" i="2"/>
  <c r="AN45" i="3"/>
  <c r="X44" i="3"/>
  <c r="AN35" i="10"/>
  <c r="AN37" i="10"/>
  <c r="AN33" i="10"/>
  <c r="AN31" i="10" s="1"/>
  <c r="Y45" i="3"/>
  <c r="Z38" i="3"/>
  <c r="N99" i="2"/>
  <c r="T91" i="2"/>
  <c r="T17" i="1"/>
  <c r="R19" i="1"/>
  <c r="V90" i="2"/>
  <c r="U17" i="1"/>
  <c r="U19" i="1" s="1"/>
  <c r="AO26" i="2"/>
  <c r="AO36" i="2"/>
  <c r="P42" i="1"/>
  <c r="P6" i="1"/>
  <c r="N6" i="1"/>
  <c r="W26" i="10"/>
  <c r="W28" i="10"/>
  <c r="W24" i="10"/>
  <c r="W58" i="9"/>
  <c r="W15" i="9" s="1"/>
  <c r="W12" i="9" s="1"/>
  <c r="W11" i="9" s="1"/>
  <c r="W54" i="9"/>
  <c r="W22" i="9"/>
  <c r="W56" i="9"/>
  <c r="U51" i="8"/>
  <c r="W26" i="8"/>
  <c r="W55" i="8" s="1"/>
  <c r="W56" i="8" s="1"/>
  <c r="W28" i="8"/>
  <c r="W57" i="8" s="1"/>
  <c r="W58" i="8" s="1"/>
  <c r="W15" i="8" s="1"/>
  <c r="W12" i="8" s="1"/>
  <c r="W11" i="8" s="1"/>
  <c r="W24" i="8"/>
  <c r="W53" i="8" s="1"/>
  <c r="W54" i="8" s="1"/>
  <c r="AM53" i="4"/>
  <c r="AL33" i="11"/>
  <c r="AM22" i="4"/>
  <c r="AL24" i="11"/>
  <c r="AL28" i="11"/>
  <c r="AM57" i="4"/>
  <c r="AN35" i="4"/>
  <c r="AN37" i="4"/>
  <c r="AM37" i="11" s="1"/>
  <c r="AN33" i="4"/>
  <c r="AM33" i="11" s="1"/>
  <c r="AL31" i="11"/>
  <c r="AM41" i="4"/>
  <c r="AL43" i="11"/>
  <c r="AJ7" i="1"/>
  <c r="P7" i="1" s="1"/>
  <c r="AJ11" i="1"/>
  <c r="P11" i="1" s="1"/>
  <c r="AJ9" i="1"/>
  <c r="P9" i="1" s="1"/>
  <c r="AK17" i="11"/>
  <c r="AM55" i="4"/>
  <c r="AL26" i="11"/>
  <c r="AL17" i="4"/>
  <c r="AM6" i="4" s="1"/>
  <c r="AK11" i="11"/>
  <c r="AK12" i="11" s="1"/>
  <c r="AO10" i="1"/>
  <c r="AO35" i="9" l="1"/>
  <c r="AO37" i="9"/>
  <c r="AO33" i="9"/>
  <c r="AO31" i="9" s="1"/>
  <c r="AN45" i="9"/>
  <c r="AN47" i="9"/>
  <c r="AN43" i="9"/>
  <c r="AN41" i="9" s="1"/>
  <c r="U54" i="4"/>
  <c r="AM22" i="9"/>
  <c r="N103" i="2"/>
  <c r="N8" i="7" s="1"/>
  <c r="AL51" i="10"/>
  <c r="AM26" i="10"/>
  <c r="AM55" i="10" s="1"/>
  <c r="AM56" i="10" s="1"/>
  <c r="AM24" i="10"/>
  <c r="AM53" i="10" s="1"/>
  <c r="AM28" i="10"/>
  <c r="AM57" i="10" s="1"/>
  <c r="AM56" i="8"/>
  <c r="P100" i="2"/>
  <c r="AJ14" i="2"/>
  <c r="S42" i="1"/>
  <c r="S5" i="1" s="1"/>
  <c r="U6" i="11"/>
  <c r="C12" i="12"/>
  <c r="AM58" i="8"/>
  <c r="AM15" i="8" s="1"/>
  <c r="AM12" i="8" s="1"/>
  <c r="AM11" i="8" s="1"/>
  <c r="AM17" i="8" s="1"/>
  <c r="AN6" i="8" s="1"/>
  <c r="AJ58" i="2"/>
  <c r="AI11" i="2"/>
  <c r="AM54" i="8"/>
  <c r="U56" i="4"/>
  <c r="U55" i="11"/>
  <c r="AO37" i="10"/>
  <c r="AO33" i="10"/>
  <c r="AO31" i="10" s="1"/>
  <c r="AO35" i="10"/>
  <c r="U41" i="10"/>
  <c r="U53" i="10"/>
  <c r="U54" i="10" s="1"/>
  <c r="W47" i="4"/>
  <c r="W45" i="4"/>
  <c r="W43" i="4"/>
  <c r="AJ68" i="2"/>
  <c r="AJ26" i="3"/>
  <c r="P26" i="3" s="1"/>
  <c r="W31" i="11"/>
  <c r="Y37" i="4"/>
  <c r="Y37" i="11" s="1"/>
  <c r="Y35" i="4"/>
  <c r="Y35" i="11" s="1"/>
  <c r="Y33" i="4"/>
  <c r="N70" i="2"/>
  <c r="N12" i="3"/>
  <c r="N15" i="3" s="1"/>
  <c r="W33" i="11"/>
  <c r="AM22" i="8"/>
  <c r="C11" i="12"/>
  <c r="AJ13" i="2"/>
  <c r="P99" i="2"/>
  <c r="X45" i="3"/>
  <c r="AO44" i="3"/>
  <c r="U47" i="11"/>
  <c r="N25" i="3"/>
  <c r="N29" i="3" s="1"/>
  <c r="N36" i="3" s="1"/>
  <c r="N104" i="2"/>
  <c r="N6" i="7" s="1"/>
  <c r="AO37" i="8"/>
  <c r="AO33" i="8"/>
  <c r="AO35" i="8"/>
  <c r="U58" i="4"/>
  <c r="U15" i="4" s="1"/>
  <c r="U12" i="4" s="1"/>
  <c r="U11" i="4" s="1"/>
  <c r="U57" i="11"/>
  <c r="AM41" i="10"/>
  <c r="AJ39" i="2"/>
  <c r="AJ45" i="2" s="1"/>
  <c r="AJ15" i="3"/>
  <c r="P101" i="2"/>
  <c r="Q7" i="1"/>
  <c r="Q6" i="1"/>
  <c r="Q9" i="1"/>
  <c r="Q11" i="1"/>
  <c r="U45" i="11"/>
  <c r="U51" i="4"/>
  <c r="U22" i="11"/>
  <c r="W28" i="4"/>
  <c r="W26" i="4"/>
  <c r="W24" i="4"/>
  <c r="W53" i="4" s="1"/>
  <c r="AN45" i="8"/>
  <c r="AN43" i="8"/>
  <c r="AN47" i="8"/>
  <c r="X90" i="2"/>
  <c r="W17" i="1"/>
  <c r="W19" i="1" s="1"/>
  <c r="V91" i="2"/>
  <c r="V17" i="1"/>
  <c r="T19" i="1"/>
  <c r="N14" i="1"/>
  <c r="W22" i="10"/>
  <c r="Y26" i="9"/>
  <c r="Y55" i="9" s="1"/>
  <c r="Y28" i="9"/>
  <c r="Y57" i="9" s="1"/>
  <c r="W51" i="9"/>
  <c r="Y24" i="9"/>
  <c r="Y53" i="9" s="1"/>
  <c r="Y54" i="9" s="1"/>
  <c r="W17" i="9"/>
  <c r="Y6" i="9" s="1"/>
  <c r="W17" i="8"/>
  <c r="Y6" i="8" s="1"/>
  <c r="W22" i="8"/>
  <c r="AN47" i="4"/>
  <c r="AM47" i="11" s="1"/>
  <c r="AN45" i="4"/>
  <c r="AM45" i="11" s="1"/>
  <c r="AN43" i="4"/>
  <c r="AL41" i="11"/>
  <c r="AL57" i="11"/>
  <c r="AM58" i="4"/>
  <c r="AM15" i="4" s="1"/>
  <c r="AM12" i="4" s="1"/>
  <c r="AM11" i="4" s="1"/>
  <c r="AL11" i="11" s="1"/>
  <c r="AL12" i="11" s="1"/>
  <c r="AL6" i="11"/>
  <c r="AK42" i="1"/>
  <c r="AK5" i="1" s="1"/>
  <c r="AN24" i="4"/>
  <c r="AL22" i="11"/>
  <c r="AN28" i="4"/>
  <c r="AN26" i="4"/>
  <c r="AM51" i="4"/>
  <c r="AL51" i="11" s="1"/>
  <c r="AM56" i="4"/>
  <c r="AL55" i="11"/>
  <c r="AN31" i="4"/>
  <c r="AM35" i="11"/>
  <c r="AM54" i="4"/>
  <c r="AL53" i="11"/>
  <c r="AJ4" i="2" l="1"/>
  <c r="P58" i="2"/>
  <c r="AK57" i="2"/>
  <c r="AJ70" i="2"/>
  <c r="AJ71" i="2" s="1"/>
  <c r="AI12" i="7"/>
  <c r="N15" i="1"/>
  <c r="N37" i="7" s="1"/>
  <c r="N36" i="7"/>
  <c r="N31" i="7"/>
  <c r="N12" i="7"/>
  <c r="N11" i="7"/>
  <c r="W54" i="4"/>
  <c r="Q26" i="3"/>
  <c r="AO31" i="8"/>
  <c r="AO45" i="3"/>
  <c r="Z44" i="3"/>
  <c r="Z45" i="3" s="1"/>
  <c r="AN22" i="8"/>
  <c r="AM51" i="8"/>
  <c r="AN26" i="8"/>
  <c r="AN55" i="8" s="1"/>
  <c r="AN24" i="8"/>
  <c r="AN53" i="8" s="1"/>
  <c r="AN28" i="8"/>
  <c r="AN57" i="8" s="1"/>
  <c r="Y31" i="4"/>
  <c r="Y31" i="11" s="1"/>
  <c r="Y33" i="11"/>
  <c r="P104" i="2"/>
  <c r="AM17" i="4"/>
  <c r="AN6" i="4" s="1"/>
  <c r="W43" i="10"/>
  <c r="W43" i="11" s="1"/>
  <c r="W45" i="10"/>
  <c r="W55" i="10" s="1"/>
  <c r="W56" i="10" s="1"/>
  <c r="W47" i="10"/>
  <c r="W57" i="10" s="1"/>
  <c r="U51" i="10"/>
  <c r="U51" i="11" s="1"/>
  <c r="P105" i="2"/>
  <c r="P103" i="2"/>
  <c r="W41" i="4"/>
  <c r="AJ29" i="3"/>
  <c r="AJ36" i="3" s="1"/>
  <c r="AN41" i="8"/>
  <c r="Y56" i="9"/>
  <c r="W45" i="11"/>
  <c r="AM22" i="10"/>
  <c r="U11" i="11"/>
  <c r="U12" i="11" s="1"/>
  <c r="U17" i="4"/>
  <c r="W6" i="4" s="1"/>
  <c r="AO45" i="9"/>
  <c r="AO47" i="9"/>
  <c r="AO43" i="9"/>
  <c r="R5" i="1"/>
  <c r="R42" i="1" s="1"/>
  <c r="D6" i="12"/>
  <c r="AK101" i="2"/>
  <c r="AK100" i="2"/>
  <c r="AK99" i="2"/>
  <c r="W22" i="4"/>
  <c r="W24" i="11"/>
  <c r="W47" i="11"/>
  <c r="AM58" i="10"/>
  <c r="AM15" i="10" s="1"/>
  <c r="AM12" i="10" s="1"/>
  <c r="AM11" i="10" s="1"/>
  <c r="AM17" i="10" s="1"/>
  <c r="AN6" i="10" s="1"/>
  <c r="AN24" i="9"/>
  <c r="AN53" i="9" s="1"/>
  <c r="AN26" i="9"/>
  <c r="AN55" i="9" s="1"/>
  <c r="AN28" i="9"/>
  <c r="AN57" i="9" s="1"/>
  <c r="AM51" i="9"/>
  <c r="W57" i="4"/>
  <c r="W28" i="11"/>
  <c r="AL17" i="11"/>
  <c r="W55" i="4"/>
  <c r="W26" i="11"/>
  <c r="AN43" i="10"/>
  <c r="AN47" i="10"/>
  <c r="AN45" i="10"/>
  <c r="U41" i="11"/>
  <c r="AJ13" i="1"/>
  <c r="S6" i="1"/>
  <c r="S26" i="3"/>
  <c r="S7" i="1"/>
  <c r="S9" i="1"/>
  <c r="S11" i="1"/>
  <c r="AM54" i="10"/>
  <c r="U53" i="11"/>
  <c r="X91" i="2"/>
  <c r="X17" i="1"/>
  <c r="V19" i="1"/>
  <c r="Z90" i="2"/>
  <c r="Y17" i="1"/>
  <c r="Y19" i="1" s="1"/>
  <c r="R6" i="1"/>
  <c r="Y26" i="10"/>
  <c r="Y28" i="10"/>
  <c r="Y24" i="10"/>
  <c r="Y22" i="9"/>
  <c r="Y51" i="9" s="1"/>
  <c r="Y58" i="9"/>
  <c r="Y15" i="9" s="1"/>
  <c r="Y12" i="9" s="1"/>
  <c r="Y11" i="9" s="1"/>
  <c r="Y17" i="9" s="1"/>
  <c r="Y26" i="8"/>
  <c r="Y55" i="8" s="1"/>
  <c r="Y28" i="8"/>
  <c r="Y57" i="8" s="1"/>
  <c r="Y24" i="8"/>
  <c r="Y53" i="8" s="1"/>
  <c r="W51" i="8"/>
  <c r="AN55" i="4"/>
  <c r="AM26" i="11"/>
  <c r="AN57" i="4"/>
  <c r="AM28" i="11"/>
  <c r="AN22" i="4"/>
  <c r="AM24" i="11"/>
  <c r="AN53" i="4"/>
  <c r="AO35" i="4"/>
  <c r="AN35" i="11" s="1"/>
  <c r="AO33" i="4"/>
  <c r="AM31" i="11"/>
  <c r="AO37" i="4"/>
  <c r="AN37" i="11" s="1"/>
  <c r="AN41" i="4"/>
  <c r="AM43" i="11"/>
  <c r="AK7" i="1"/>
  <c r="R7" i="1" s="1"/>
  <c r="AK9" i="1"/>
  <c r="R9" i="1" s="1"/>
  <c r="AK11" i="1"/>
  <c r="R11" i="1" s="1"/>
  <c r="AM6" i="11"/>
  <c r="AL42" i="1"/>
  <c r="AL5" i="1" s="1"/>
  <c r="AL57" i="2" l="1"/>
  <c r="AK60" i="2"/>
  <c r="P60" i="2"/>
  <c r="P11" i="2" s="1"/>
  <c r="AJ3" i="2"/>
  <c r="O29" i="3"/>
  <c r="O36" i="3" s="1"/>
  <c r="Q13" i="1"/>
  <c r="D12" i="12"/>
  <c r="AK25" i="3"/>
  <c r="AN54" i="9"/>
  <c r="D11" i="12"/>
  <c r="AK13" i="2"/>
  <c r="R99" i="2"/>
  <c r="AK15" i="3"/>
  <c r="AN24" i="10"/>
  <c r="AN53" i="10" s="1"/>
  <c r="AN54" i="10" s="1"/>
  <c r="AN26" i="10"/>
  <c r="AN55" i="10" s="1"/>
  <c r="AN56" i="10" s="1"/>
  <c r="AN28" i="10"/>
  <c r="AN57" i="10" s="1"/>
  <c r="AN58" i="10" s="1"/>
  <c r="AN15" i="10" s="1"/>
  <c r="AN12" i="10" s="1"/>
  <c r="AN11" i="10" s="1"/>
  <c r="AN17" i="10" s="1"/>
  <c r="AO6" i="10" s="1"/>
  <c r="AM51" i="10"/>
  <c r="AO28" i="8"/>
  <c r="AO24" i="8"/>
  <c r="AO26" i="8"/>
  <c r="AN51" i="8"/>
  <c r="AN56" i="9"/>
  <c r="W51" i="4"/>
  <c r="Y26" i="4"/>
  <c r="Y24" i="4"/>
  <c r="W22" i="11"/>
  <c r="Y28" i="4"/>
  <c r="U17" i="11"/>
  <c r="AK14" i="2"/>
  <c r="R100" i="2"/>
  <c r="AO41" i="9"/>
  <c r="Y47" i="4"/>
  <c r="Y45" i="4"/>
  <c r="Y43" i="4"/>
  <c r="AN58" i="8"/>
  <c r="AN15" i="8" s="1"/>
  <c r="AN12" i="8" s="1"/>
  <c r="AN11" i="8" s="1"/>
  <c r="AN17" i="8" s="1"/>
  <c r="AO6" i="8" s="1"/>
  <c r="T5" i="1"/>
  <c r="E6" i="12"/>
  <c r="AL101" i="2"/>
  <c r="AL99" i="2"/>
  <c r="AL100" i="2"/>
  <c r="AK13" i="1"/>
  <c r="AK14" i="1" s="1"/>
  <c r="C10" i="12"/>
  <c r="AJ5" i="3"/>
  <c r="AJ14" i="1"/>
  <c r="W56" i="4"/>
  <c r="W55" i="11"/>
  <c r="W58" i="4"/>
  <c r="W15" i="4" s="1"/>
  <c r="W12" i="4" s="1"/>
  <c r="W11" i="4" s="1"/>
  <c r="W11" i="11" s="1"/>
  <c r="W12" i="11" s="1"/>
  <c r="W57" i="11"/>
  <c r="O13" i="1"/>
  <c r="P13" i="1" s="1"/>
  <c r="P5" i="3" s="1"/>
  <c r="AK39" i="2"/>
  <c r="AK45" i="2" s="1"/>
  <c r="R101" i="2"/>
  <c r="W58" i="10"/>
  <c r="W15" i="10" s="1"/>
  <c r="W12" i="10" s="1"/>
  <c r="W11" i="10" s="1"/>
  <c r="W17" i="10" s="1"/>
  <c r="Y6" i="10" s="1"/>
  <c r="AN54" i="8"/>
  <c r="W41" i="10"/>
  <c r="W41" i="11" s="1"/>
  <c r="W53" i="10"/>
  <c r="AN58" i="9"/>
  <c r="AN15" i="9" s="1"/>
  <c r="AN12" i="9" s="1"/>
  <c r="AN11" i="9" s="1"/>
  <c r="AN17" i="9" s="1"/>
  <c r="AO6" i="9" s="1"/>
  <c r="AK3" i="2"/>
  <c r="AN41" i="10"/>
  <c r="AN22" i="9"/>
  <c r="AK26" i="3"/>
  <c r="R26" i="3" s="1"/>
  <c r="AO43" i="8"/>
  <c r="AO45" i="8"/>
  <c r="AO47" i="8"/>
  <c r="AN56" i="8"/>
  <c r="Z91" i="2"/>
  <c r="Z17" i="1"/>
  <c r="Z19" i="1" s="1"/>
  <c r="X19" i="1"/>
  <c r="T42" i="1"/>
  <c r="T6" i="1"/>
  <c r="Y22" i="10"/>
  <c r="Y22" i="8"/>
  <c r="Y51" i="8" s="1"/>
  <c r="Y54" i="8"/>
  <c r="Y58" i="8"/>
  <c r="Y15" i="8" s="1"/>
  <c r="Y12" i="8" s="1"/>
  <c r="Y11" i="8" s="1"/>
  <c r="Y17" i="8" s="1"/>
  <c r="Y56" i="8"/>
  <c r="AN56" i="4"/>
  <c r="AM55" i="11"/>
  <c r="P8" i="1"/>
  <c r="AL7" i="1"/>
  <c r="T7" i="1" s="1"/>
  <c r="AL9" i="1"/>
  <c r="T9" i="1" s="1"/>
  <c r="AL11" i="1"/>
  <c r="T11" i="1" s="1"/>
  <c r="AO31" i="4"/>
  <c r="AN33" i="11"/>
  <c r="AN54" i="4"/>
  <c r="AM53" i="11"/>
  <c r="AO28" i="4"/>
  <c r="AO26" i="4"/>
  <c r="AO24" i="4"/>
  <c r="AM22" i="11"/>
  <c r="AN51" i="4"/>
  <c r="AM51" i="11" s="1"/>
  <c r="AN58" i="4"/>
  <c r="AN15" i="4" s="1"/>
  <c r="AN12" i="4" s="1"/>
  <c r="AN11" i="4" s="1"/>
  <c r="AM57" i="11"/>
  <c r="AO47" i="4"/>
  <c r="AN47" i="11" s="1"/>
  <c r="AM41" i="11"/>
  <c r="AO45" i="4"/>
  <c r="AN45" i="11" s="1"/>
  <c r="AO43" i="4"/>
  <c r="P12" i="1"/>
  <c r="P10" i="1"/>
  <c r="AK4" i="2" l="1"/>
  <c r="AM57" i="2"/>
  <c r="AL60" i="2"/>
  <c r="AL4" i="2" s="1"/>
  <c r="AJ11" i="2"/>
  <c r="AJ12" i="7" s="1"/>
  <c r="S29" i="3"/>
  <c r="S36" i="3" s="1"/>
  <c r="Q29" i="3"/>
  <c r="Q36" i="3" s="1"/>
  <c r="P25" i="3"/>
  <c r="P29" i="3" s="1"/>
  <c r="P36" i="3" s="1"/>
  <c r="AJ36" i="7"/>
  <c r="AJ31" i="7"/>
  <c r="AK36" i="7"/>
  <c r="AK31" i="7"/>
  <c r="Q5" i="3"/>
  <c r="Q14" i="1"/>
  <c r="AO45" i="10"/>
  <c r="AO47" i="10"/>
  <c r="AO43" i="10"/>
  <c r="T101" i="2"/>
  <c r="AL39" i="2"/>
  <c r="AL45" i="2" s="1"/>
  <c r="AO17" i="8"/>
  <c r="AO41" i="8"/>
  <c r="R105" i="2"/>
  <c r="E12" i="12"/>
  <c r="AL25" i="3"/>
  <c r="T25" i="3" s="1"/>
  <c r="AK29" i="3"/>
  <c r="AK36" i="3" s="1"/>
  <c r="AJ15" i="1"/>
  <c r="AJ37" i="7" s="1"/>
  <c r="C7" i="12"/>
  <c r="C9" i="12" s="1"/>
  <c r="C13" i="12" s="1"/>
  <c r="C15" i="12" s="1"/>
  <c r="AJ21" i="1"/>
  <c r="AJ38" i="7" s="1"/>
  <c r="AO57" i="8"/>
  <c r="AO58" i="8" s="1"/>
  <c r="AO15" i="8" s="1"/>
  <c r="AO12" i="8" s="1"/>
  <c r="AO11" i="8" s="1"/>
  <c r="Y57" i="4"/>
  <c r="Y28" i="11"/>
  <c r="O11" i="2"/>
  <c r="R103" i="2"/>
  <c r="O5" i="3"/>
  <c r="O14" i="1"/>
  <c r="D10" i="12"/>
  <c r="AK5" i="3"/>
  <c r="R13" i="1"/>
  <c r="R5" i="3" s="1"/>
  <c r="Y22" i="4"/>
  <c r="Y24" i="11"/>
  <c r="Y53" i="4"/>
  <c r="AO22" i="8"/>
  <c r="AO51" i="8" s="1"/>
  <c r="W17" i="4"/>
  <c r="Y6" i="4" s="1"/>
  <c r="R104" i="2"/>
  <c r="W6" i="11"/>
  <c r="W17" i="11" s="1"/>
  <c r="U42" i="1"/>
  <c r="U5" i="1" s="1"/>
  <c r="AK15" i="1"/>
  <c r="AK37" i="7" s="1"/>
  <c r="D7" i="12"/>
  <c r="D9" i="12" s="1"/>
  <c r="W54" i="10"/>
  <c r="W53" i="11"/>
  <c r="Y55" i="4"/>
  <c r="Y26" i="11"/>
  <c r="AO55" i="8"/>
  <c r="AO56" i="8" s="1"/>
  <c r="AN22" i="10"/>
  <c r="E11" i="12"/>
  <c r="T99" i="2"/>
  <c r="AL13" i="2"/>
  <c r="AL26" i="3"/>
  <c r="Y41" i="4"/>
  <c r="P14" i="1"/>
  <c r="P15" i="1" s="1"/>
  <c r="P37" i="7" s="1"/>
  <c r="AO28" i="9"/>
  <c r="AO57" i="9" s="1"/>
  <c r="AO58" i="9" s="1"/>
  <c r="AO15" i="9" s="1"/>
  <c r="AO12" i="9" s="1"/>
  <c r="AO11" i="9" s="1"/>
  <c r="AO17" i="9" s="1"/>
  <c r="AO24" i="9"/>
  <c r="AO53" i="9" s="1"/>
  <c r="AO54" i="9" s="1"/>
  <c r="AO26" i="9"/>
  <c r="AO55" i="9" s="1"/>
  <c r="AN51" i="9"/>
  <c r="Y47" i="10"/>
  <c r="Y57" i="10" s="1"/>
  <c r="Y45" i="10"/>
  <c r="Y55" i="10" s="1"/>
  <c r="Y43" i="10"/>
  <c r="Y43" i="11" s="1"/>
  <c r="W51" i="10"/>
  <c r="W51" i="11" s="1"/>
  <c r="AL14" i="2"/>
  <c r="T100" i="2"/>
  <c r="AO53" i="8"/>
  <c r="AO54" i="8" s="1"/>
  <c r="AK21" i="1"/>
  <c r="AO41" i="4"/>
  <c r="AN43" i="11"/>
  <c r="AO22" i="4"/>
  <c r="AN24" i="11"/>
  <c r="AO53" i="4"/>
  <c r="AO55" i="4"/>
  <c r="AN26" i="11"/>
  <c r="AN31" i="11"/>
  <c r="AP37" i="4"/>
  <c r="AO37" i="11" s="1"/>
  <c r="AP33" i="4"/>
  <c r="AO33" i="11" s="1"/>
  <c r="AP35" i="4"/>
  <c r="AO35" i="11" s="1"/>
  <c r="AP31" i="4"/>
  <c r="AO31" i="11" s="1"/>
  <c r="AN17" i="4"/>
  <c r="AO6" i="4" s="1"/>
  <c r="AM11" i="11"/>
  <c r="AO57" i="4"/>
  <c r="AN28" i="11"/>
  <c r="U3" i="2" l="1"/>
  <c r="AN57" i="2"/>
  <c r="AM60" i="2"/>
  <c r="AM4" i="2" s="1"/>
  <c r="S13" i="1"/>
  <c r="S14" i="1" s="1"/>
  <c r="Q12" i="7"/>
  <c r="D13" i="12"/>
  <c r="D15" i="12" s="1"/>
  <c r="R25" i="3"/>
  <c r="R29" i="3" s="1"/>
  <c r="R36" i="3" s="1"/>
  <c r="P12" i="7"/>
  <c r="O12" i="7"/>
  <c r="O36" i="7"/>
  <c r="O31" i="7"/>
  <c r="Q36" i="7"/>
  <c r="Q31" i="7"/>
  <c r="Q21" i="1"/>
  <c r="Q15" i="1"/>
  <c r="Q37" i="7" s="1"/>
  <c r="AK22" i="1"/>
  <c r="AK24" i="1" s="1"/>
  <c r="AK38" i="7"/>
  <c r="P21" i="1"/>
  <c r="P38" i="7" s="1"/>
  <c r="P36" i="7"/>
  <c r="P31" i="7"/>
  <c r="U26" i="3"/>
  <c r="U6" i="1"/>
  <c r="U7" i="1"/>
  <c r="U9" i="1"/>
  <c r="U11" i="1"/>
  <c r="Y56" i="10"/>
  <c r="AN51" i="10"/>
  <c r="AO24" i="10"/>
  <c r="AO53" i="10" s="1"/>
  <c r="AO54" i="10" s="1"/>
  <c r="AO28" i="10"/>
  <c r="AO57" i="10" s="1"/>
  <c r="AO58" i="10" s="1"/>
  <c r="AO15" i="10" s="1"/>
  <c r="AO12" i="10" s="1"/>
  <c r="AO11" i="10" s="1"/>
  <c r="AO17" i="10" s="1"/>
  <c r="AO26" i="10"/>
  <c r="AO55" i="10" s="1"/>
  <c r="AO56" i="10" s="1"/>
  <c r="Y22" i="11"/>
  <c r="Y51" i="4"/>
  <c r="Y51" i="11" s="1"/>
  <c r="Y41" i="11"/>
  <c r="Y47" i="11"/>
  <c r="Y54" i="4"/>
  <c r="Y53" i="11"/>
  <c r="Y58" i="4"/>
  <c r="Y15" i="4" s="1"/>
  <c r="Y12" i="4" s="1"/>
  <c r="Y11" i="4" s="1"/>
  <c r="Y11" i="11" s="1"/>
  <c r="Y12" i="11" s="1"/>
  <c r="Y57" i="11"/>
  <c r="Y41" i="10"/>
  <c r="Y51" i="10" s="1"/>
  <c r="Y53" i="10"/>
  <c r="Y54" i="10" s="1"/>
  <c r="AO22" i="9"/>
  <c r="AO51" i="9" s="1"/>
  <c r="AL29" i="3"/>
  <c r="AL36" i="3" s="1"/>
  <c r="T26" i="3"/>
  <c r="T29" i="3" s="1"/>
  <c r="T36" i="3" s="1"/>
  <c r="AJ22" i="1"/>
  <c r="AL3" i="2"/>
  <c r="W42" i="1"/>
  <c r="W5" i="1" s="1"/>
  <c r="Y6" i="11"/>
  <c r="Y45" i="11"/>
  <c r="T104" i="2"/>
  <c r="AL13" i="1"/>
  <c r="Y56" i="4"/>
  <c r="Y55" i="11"/>
  <c r="T105" i="2"/>
  <c r="T103" i="2"/>
  <c r="O15" i="1"/>
  <c r="O37" i="7" s="1"/>
  <c r="O21" i="1"/>
  <c r="O38" i="7" s="1"/>
  <c r="AK11" i="2"/>
  <c r="Y58" i="10"/>
  <c r="Y15" i="10" s="1"/>
  <c r="Y12" i="10" s="1"/>
  <c r="Y11" i="10" s="1"/>
  <c r="Y17" i="10" s="1"/>
  <c r="AO56" i="9"/>
  <c r="AO41" i="10"/>
  <c r="AL15" i="3"/>
  <c r="AP45" i="4"/>
  <c r="AO45" i="11" s="1"/>
  <c r="AP43" i="4"/>
  <c r="AN41" i="11"/>
  <c r="AP47" i="4"/>
  <c r="AO47" i="11" s="1"/>
  <c r="AO58" i="4"/>
  <c r="AO15" i="4" s="1"/>
  <c r="AO12" i="4" s="1"/>
  <c r="AO11" i="4" s="1"/>
  <c r="AN11" i="11" s="1"/>
  <c r="AN12" i="11" s="1"/>
  <c r="AN57" i="11"/>
  <c r="AP24" i="4"/>
  <c r="AN22" i="11"/>
  <c r="AP28" i="4"/>
  <c r="AP26" i="4"/>
  <c r="AO51" i="4"/>
  <c r="AN51" i="11" s="1"/>
  <c r="AM12" i="11"/>
  <c r="AM17" i="11"/>
  <c r="AO56" i="4"/>
  <c r="AN55" i="11"/>
  <c r="AO54" i="4"/>
  <c r="AN53" i="11"/>
  <c r="U4" i="2" l="1"/>
  <c r="U11" i="2" s="1"/>
  <c r="AO57" i="2"/>
  <c r="AO60" i="2" s="1"/>
  <c r="AO4" i="2" s="1"/>
  <c r="AN60" i="2"/>
  <c r="AN4" i="2" s="1"/>
  <c r="S5" i="3"/>
  <c r="T14" i="3"/>
  <c r="U13" i="1"/>
  <c r="U5" i="3" s="1"/>
  <c r="AK12" i="7"/>
  <c r="S36" i="7"/>
  <c r="S31" i="7"/>
  <c r="AK3" i="3"/>
  <c r="AJ50" i="7"/>
  <c r="AJ51" i="7" s="1"/>
  <c r="AL48" i="7"/>
  <c r="AL49" i="7" s="1"/>
  <c r="AK39" i="7"/>
  <c r="S12" i="7"/>
  <c r="R12" i="7"/>
  <c r="Q38" i="7"/>
  <c r="Q22" i="1"/>
  <c r="R22" i="1" s="1"/>
  <c r="U29" i="3"/>
  <c r="U36" i="3" s="1"/>
  <c r="T12" i="3"/>
  <c r="E10" i="12"/>
  <c r="AL5" i="3"/>
  <c r="T13" i="1"/>
  <c r="T5" i="3" s="1"/>
  <c r="AL14" i="1"/>
  <c r="AL11" i="2"/>
  <c r="AL12" i="7" s="1"/>
  <c r="O22" i="1"/>
  <c r="P22" i="1" s="1"/>
  <c r="AM13" i="1"/>
  <c r="W26" i="3"/>
  <c r="W6" i="1"/>
  <c r="W7" i="1"/>
  <c r="W9" i="1"/>
  <c r="W11" i="1"/>
  <c r="S21" i="1"/>
  <c r="S38" i="7" s="1"/>
  <c r="S15" i="1"/>
  <c r="S37" i="7" s="1"/>
  <c r="Y17" i="4"/>
  <c r="Y17" i="11"/>
  <c r="Y42" i="1" s="1"/>
  <c r="Y5" i="1" s="1"/>
  <c r="AJ24" i="1"/>
  <c r="AO22" i="10"/>
  <c r="AO51" i="10" s="1"/>
  <c r="AN6" i="11"/>
  <c r="AN17" i="11" s="1"/>
  <c r="AM42" i="1"/>
  <c r="AM5" i="1" s="1"/>
  <c r="AP41" i="4"/>
  <c r="AO41" i="11" s="1"/>
  <c r="AO43" i="11"/>
  <c r="AP22" i="4"/>
  <c r="AO24" i="11"/>
  <c r="AP53" i="4"/>
  <c r="AP55" i="4"/>
  <c r="AO26" i="11"/>
  <c r="AO28" i="11"/>
  <c r="AP57" i="4"/>
  <c r="AO17" i="4"/>
  <c r="AP6" i="4" s="1"/>
  <c r="W3" i="2" l="1"/>
  <c r="V4" i="2"/>
  <c r="V11" i="2" s="1"/>
  <c r="V22" i="2" s="1"/>
  <c r="U14" i="1"/>
  <c r="U36" i="7" s="1"/>
  <c r="U12" i="7"/>
  <c r="O24" i="1"/>
  <c r="O3" i="3" s="1"/>
  <c r="T12" i="7"/>
  <c r="Q24" i="1"/>
  <c r="AJ3" i="3"/>
  <c r="AK48" i="7"/>
  <c r="AK49" i="7" s="1"/>
  <c r="AJ39" i="7"/>
  <c r="AI50" i="7"/>
  <c r="AI51" i="7" s="1"/>
  <c r="AL36" i="7"/>
  <c r="AL31" i="7"/>
  <c r="P24" i="1"/>
  <c r="P23" i="1"/>
  <c r="F10" i="12"/>
  <c r="AM5" i="3"/>
  <c r="V13" i="1"/>
  <c r="V5" i="3" s="1"/>
  <c r="W29" i="3"/>
  <c r="W36" i="3" s="1"/>
  <c r="V5" i="1"/>
  <c r="F6" i="12"/>
  <c r="AM100" i="2"/>
  <c r="AM101" i="2"/>
  <c r="AM99" i="2"/>
  <c r="Y6" i="1"/>
  <c r="Y26" i="3"/>
  <c r="Y7" i="1"/>
  <c r="Y9" i="1"/>
  <c r="Y11" i="1"/>
  <c r="U15" i="3"/>
  <c r="S22" i="1"/>
  <c r="S24" i="1" s="1"/>
  <c r="AL15" i="1"/>
  <c r="AL37" i="7" s="1"/>
  <c r="E7" i="12"/>
  <c r="E9" i="12" s="1"/>
  <c r="E13" i="12" s="1"/>
  <c r="E15" i="12" s="1"/>
  <c r="AL21" i="1"/>
  <c r="AL38" i="7" s="1"/>
  <c r="V42" i="1"/>
  <c r="V6" i="1"/>
  <c r="AO22" i="11"/>
  <c r="AP51" i="4"/>
  <c r="AO51" i="11" s="1"/>
  <c r="AP58" i="4"/>
  <c r="AP15" i="4" s="1"/>
  <c r="AP12" i="4" s="1"/>
  <c r="AP11" i="4" s="1"/>
  <c r="AO11" i="11" s="1"/>
  <c r="AO12" i="11" s="1"/>
  <c r="AO57" i="11"/>
  <c r="AM7" i="1"/>
  <c r="V7" i="1" s="1"/>
  <c r="AM9" i="1"/>
  <c r="AM11" i="1"/>
  <c r="V11" i="1" s="1"/>
  <c r="V12" i="1" s="1"/>
  <c r="AO6" i="11"/>
  <c r="AN42" i="1"/>
  <c r="AN5" i="1" s="1"/>
  <c r="AP56" i="4"/>
  <c r="AO55" i="11"/>
  <c r="AP54" i="4"/>
  <c r="AO53" i="11"/>
  <c r="W4" i="2" l="1"/>
  <c r="W11" i="2" s="1"/>
  <c r="X4" i="2"/>
  <c r="X11" i="2" s="1"/>
  <c r="X22" i="2" s="1"/>
  <c r="U15" i="1"/>
  <c r="U37" i="7" s="1"/>
  <c r="U31" i="7"/>
  <c r="U21" i="1"/>
  <c r="U38" i="7" s="1"/>
  <c r="O39" i="7"/>
  <c r="S3" i="3"/>
  <c r="S11" i="3" s="1"/>
  <c r="S39" i="7"/>
  <c r="P3" i="3"/>
  <c r="P39" i="7"/>
  <c r="Q3" i="3"/>
  <c r="Q11" i="3" s="1"/>
  <c r="Q39" i="7"/>
  <c r="R10" i="1"/>
  <c r="V9" i="1"/>
  <c r="V10" i="1" s="1"/>
  <c r="V8" i="1"/>
  <c r="Y29" i="3"/>
  <c r="Y36" i="3" s="1"/>
  <c r="V101" i="2"/>
  <c r="V14" i="3"/>
  <c r="AM39" i="2"/>
  <c r="AM45" i="2" s="1"/>
  <c r="V100" i="2"/>
  <c r="AM14" i="2"/>
  <c r="V13" i="3"/>
  <c r="AM26" i="3"/>
  <c r="V26" i="3" s="1"/>
  <c r="X5" i="1"/>
  <c r="X42" i="1" s="1"/>
  <c r="G6" i="12"/>
  <c r="AN100" i="2"/>
  <c r="AN99" i="2"/>
  <c r="AN101" i="2"/>
  <c r="AL22" i="1"/>
  <c r="T22" i="1" s="1"/>
  <c r="F12" i="12"/>
  <c r="AM25" i="3"/>
  <c r="F11" i="12"/>
  <c r="AM13" i="2"/>
  <c r="V99" i="2"/>
  <c r="AO17" i="11"/>
  <c r="AO42" i="1" s="1"/>
  <c r="AO5" i="1" s="1"/>
  <c r="X6" i="1"/>
  <c r="AO7" i="1"/>
  <c r="AO9" i="1"/>
  <c r="AO11" i="1"/>
  <c r="Z11" i="1" s="1"/>
  <c r="R8" i="1"/>
  <c r="AM14" i="1"/>
  <c r="R12" i="1"/>
  <c r="AN7" i="1"/>
  <c r="X7" i="1" s="1"/>
  <c r="X8" i="1" s="1"/>
  <c r="AN9" i="1"/>
  <c r="X9" i="1" s="1"/>
  <c r="X10" i="1" s="1"/>
  <c r="AN11" i="1"/>
  <c r="AP17" i="4"/>
  <c r="U22" i="1" l="1"/>
  <c r="U24" i="1" s="1"/>
  <c r="U3" i="3" s="1"/>
  <c r="U11" i="3" s="1"/>
  <c r="U17" i="3" s="1"/>
  <c r="U22" i="3" s="1"/>
  <c r="U47" i="3" s="1"/>
  <c r="AL24" i="1"/>
  <c r="AL3" i="3" s="1"/>
  <c r="F7" i="12"/>
  <c r="F9" i="12" s="1"/>
  <c r="F13" i="12" s="1"/>
  <c r="F15" i="12" s="1"/>
  <c r="AM36" i="7"/>
  <c r="AM31" i="7"/>
  <c r="AN26" i="3"/>
  <c r="X26" i="3" s="1"/>
  <c r="V103" i="2"/>
  <c r="G12" i="12"/>
  <c r="AN25" i="3"/>
  <c r="AN14" i="2"/>
  <c r="X100" i="2"/>
  <c r="AM15" i="3"/>
  <c r="V12" i="3"/>
  <c r="V15" i="3" s="1"/>
  <c r="AM3" i="2"/>
  <c r="T10" i="1"/>
  <c r="Z9" i="1"/>
  <c r="AN39" i="2"/>
  <c r="AN45" i="2" s="1"/>
  <c r="X101" i="2"/>
  <c r="AM29" i="3"/>
  <c r="AM36" i="3" s="1"/>
  <c r="V25" i="3"/>
  <c r="V29" i="3" s="1"/>
  <c r="V36" i="3" s="1"/>
  <c r="AN15" i="3"/>
  <c r="V104" i="2"/>
  <c r="X11" i="1"/>
  <c r="X12" i="1" s="1"/>
  <c r="T8" i="1"/>
  <c r="Z7" i="1"/>
  <c r="Z5" i="1"/>
  <c r="AO100" i="2"/>
  <c r="AO99" i="2"/>
  <c r="AO101" i="2"/>
  <c r="G11" i="12"/>
  <c r="AN13" i="2"/>
  <c r="X99" i="2"/>
  <c r="V105" i="2"/>
  <c r="V14" i="1"/>
  <c r="AM15" i="1"/>
  <c r="AM37" i="7" s="1"/>
  <c r="AM21" i="1"/>
  <c r="AM38" i="7" s="1"/>
  <c r="T12" i="1"/>
  <c r="R14" i="1"/>
  <c r="Y3" i="2" l="1"/>
  <c r="U39" i="7"/>
  <c r="W13" i="1"/>
  <c r="W5" i="3" s="1"/>
  <c r="AL39" i="7"/>
  <c r="AM48" i="7"/>
  <c r="AM49" i="7" s="1"/>
  <c r="AK50" i="7"/>
  <c r="AK51" i="7" s="1"/>
  <c r="V36" i="7"/>
  <c r="V31" i="7"/>
  <c r="R36" i="7"/>
  <c r="R31" i="7"/>
  <c r="AO26" i="3"/>
  <c r="Z26" i="3" s="1"/>
  <c r="AO25" i="3"/>
  <c r="AN3" i="2"/>
  <c r="Z6" i="1"/>
  <c r="Z42" i="1"/>
  <c r="V15" i="1"/>
  <c r="V37" i="7" s="1"/>
  <c r="V21" i="1"/>
  <c r="V38" i="7" s="1"/>
  <c r="AM11" i="2"/>
  <c r="AO39" i="2"/>
  <c r="AO45" i="2" s="1"/>
  <c r="Z101" i="2"/>
  <c r="X105" i="2"/>
  <c r="Z99" i="2"/>
  <c r="AO13" i="2"/>
  <c r="Z12" i="1"/>
  <c r="AN13" i="1"/>
  <c r="AN29" i="3"/>
  <c r="AN36" i="3" s="1"/>
  <c r="X25" i="3"/>
  <c r="X29" i="3" s="1"/>
  <c r="X36" i="3" s="1"/>
  <c r="Z8" i="1"/>
  <c r="X103" i="2"/>
  <c r="AO15" i="3"/>
  <c r="AO14" i="2"/>
  <c r="Z100" i="2"/>
  <c r="Z10" i="1"/>
  <c r="X104" i="2"/>
  <c r="T14" i="1"/>
  <c r="R15" i="1"/>
  <c r="R37" i="7" s="1"/>
  <c r="R21" i="1"/>
  <c r="R38" i="7" s="1"/>
  <c r="AM22" i="1"/>
  <c r="Y4" i="2" l="1"/>
  <c r="Y11" i="2" s="1"/>
  <c r="W14" i="1"/>
  <c r="W15" i="1" s="1"/>
  <c r="W37" i="7" s="1"/>
  <c r="X14" i="3"/>
  <c r="W12" i="7"/>
  <c r="V12" i="7"/>
  <c r="AM12" i="7"/>
  <c r="T15" i="1"/>
  <c r="T37" i="7" s="1"/>
  <c r="T36" i="7"/>
  <c r="T31" i="7"/>
  <c r="Z13" i="3"/>
  <c r="AO13" i="1"/>
  <c r="Z104" i="2"/>
  <c r="G10" i="12"/>
  <c r="AN5" i="3"/>
  <c r="X13" i="1"/>
  <c r="AN14" i="1"/>
  <c r="W15" i="3"/>
  <c r="X12" i="3"/>
  <c r="AO29" i="3"/>
  <c r="AO36" i="3" s="1"/>
  <c r="Z25" i="3"/>
  <c r="Z29" i="3" s="1"/>
  <c r="Z36" i="3" s="1"/>
  <c r="X13" i="3"/>
  <c r="Z105" i="2"/>
  <c r="Z103" i="2"/>
  <c r="AN11" i="2"/>
  <c r="AN12" i="7" s="1"/>
  <c r="V22" i="1"/>
  <c r="T21" i="1"/>
  <c r="T38" i="7" s="1"/>
  <c r="AM24" i="1"/>
  <c r="R24" i="1"/>
  <c r="R23" i="1"/>
  <c r="Z4" i="2" l="1"/>
  <c r="Z11" i="2" s="1"/>
  <c r="Z22" i="2" s="1"/>
  <c r="W36" i="7"/>
  <c r="W31" i="7"/>
  <c r="W21" i="1"/>
  <c r="W38" i="7" s="1"/>
  <c r="Z14" i="3"/>
  <c r="X15" i="3"/>
  <c r="Y12" i="7"/>
  <c r="X12" i="7"/>
  <c r="AN31" i="7"/>
  <c r="AN36" i="7"/>
  <c r="AM3" i="3"/>
  <c r="AN48" i="7"/>
  <c r="AN49" i="7" s="1"/>
  <c r="AL50" i="7"/>
  <c r="AL51" i="7" s="1"/>
  <c r="AM39" i="7"/>
  <c r="R3" i="3"/>
  <c r="R11" i="3" s="1"/>
  <c r="R39" i="7"/>
  <c r="Y15" i="3"/>
  <c r="Z12" i="3"/>
  <c r="X5" i="3"/>
  <c r="X14" i="1"/>
  <c r="AO5" i="3"/>
  <c r="AO14" i="1"/>
  <c r="Y13" i="1"/>
  <c r="G7" i="12"/>
  <c r="G9" i="12" s="1"/>
  <c r="G13" i="12" s="1"/>
  <c r="AN21" i="1"/>
  <c r="AN38" i="7" s="1"/>
  <c r="AN15" i="1"/>
  <c r="AN37" i="7" s="1"/>
  <c r="AO3" i="2"/>
  <c r="V24" i="1"/>
  <c r="V23" i="1"/>
  <c r="T24" i="1"/>
  <c r="T23" i="1"/>
  <c r="W22" i="1" l="1"/>
  <c r="W24" i="1" s="1"/>
  <c r="W39" i="7" s="1"/>
  <c r="Z15" i="3"/>
  <c r="T3" i="3"/>
  <c r="T11" i="3" s="1"/>
  <c r="T39" i="7"/>
  <c r="V3" i="3"/>
  <c r="V11" i="3" s="1"/>
  <c r="V17" i="3" s="1"/>
  <c r="V22" i="3" s="1"/>
  <c r="V47" i="3" s="1"/>
  <c r="V39" i="7"/>
  <c r="X36" i="7"/>
  <c r="X31" i="7"/>
  <c r="AO31" i="7"/>
  <c r="AO36" i="7"/>
  <c r="Z12" i="7"/>
  <c r="AO11" i="2"/>
  <c r="AO12" i="7" s="1"/>
  <c r="Y5" i="3"/>
  <c r="Y14" i="1"/>
  <c r="G16" i="12"/>
  <c r="G15" i="12"/>
  <c r="AO15" i="1"/>
  <c r="AO37" i="7" s="1"/>
  <c r="AO21" i="1"/>
  <c r="AO38" i="7" s="1"/>
  <c r="X21" i="1"/>
  <c r="X38" i="7" s="1"/>
  <c r="X15" i="1"/>
  <c r="X37" i="7" s="1"/>
  <c r="AN22" i="1"/>
  <c r="Z13" i="1"/>
  <c r="X22" i="1" l="1"/>
  <c r="X24" i="1" s="1"/>
  <c r="W3" i="3"/>
  <c r="W11" i="3" s="1"/>
  <c r="W17" i="3" s="1"/>
  <c r="W22" i="3" s="1"/>
  <c r="W47" i="3" s="1"/>
  <c r="AN24" i="1"/>
  <c r="AN3" i="3" s="1"/>
  <c r="C17" i="12"/>
  <c r="Y36" i="7"/>
  <c r="Y31" i="7"/>
  <c r="Y21" i="1"/>
  <c r="Y38" i="7" s="1"/>
  <c r="Y15" i="1"/>
  <c r="Y37" i="7" s="1"/>
  <c r="Z5" i="3"/>
  <c r="Z14" i="1"/>
  <c r="AO22" i="1"/>
  <c r="O15" i="2"/>
  <c r="AJ15" i="2"/>
  <c r="X23" i="1" l="1"/>
  <c r="AM50" i="7"/>
  <c r="AM51" i="7" s="1"/>
  <c r="AN39" i="7"/>
  <c r="AO48" i="7"/>
  <c r="AO49" i="7" s="1"/>
  <c r="Z36" i="7"/>
  <c r="Z31" i="7"/>
  <c r="X3" i="3"/>
  <c r="X11" i="3" s="1"/>
  <c r="X17" i="3" s="1"/>
  <c r="X22" i="3" s="1"/>
  <c r="X47" i="3" s="1"/>
  <c r="X39" i="7"/>
  <c r="Z21" i="1"/>
  <c r="Z38" i="7" s="1"/>
  <c r="Z15" i="1"/>
  <c r="Z37" i="7" s="1"/>
  <c r="AK15" i="2"/>
  <c r="Y22" i="1"/>
  <c r="Z22" i="1" s="1"/>
  <c r="AO24" i="1"/>
  <c r="Y24" i="1" l="1"/>
  <c r="Y3" i="3" s="1"/>
  <c r="Y11" i="3" s="1"/>
  <c r="Y17" i="3" s="1"/>
  <c r="Y22" i="3" s="1"/>
  <c r="Y47" i="3" s="1"/>
  <c r="Z23" i="1"/>
  <c r="AO3" i="3"/>
  <c r="AN50" i="7"/>
  <c r="AN51" i="7" s="1"/>
  <c r="AO39" i="7"/>
  <c r="AL15" i="2"/>
  <c r="AM15" i="2" s="1"/>
  <c r="Z24" i="1"/>
  <c r="Y39" i="7" l="1"/>
  <c r="Z48" i="7"/>
  <c r="Z49" i="7" s="1"/>
  <c r="Z3" i="3"/>
  <c r="Z11" i="3" s="1"/>
  <c r="Z17" i="3" s="1"/>
  <c r="Z22" i="3" s="1"/>
  <c r="Z39" i="7"/>
  <c r="AN15" i="2"/>
  <c r="Z47" i="3" l="1"/>
  <c r="Z57" i="7"/>
  <c r="AO15" i="2"/>
  <c r="O16" i="2" l="1"/>
  <c r="AJ16" i="2" l="1"/>
  <c r="AK10" i="3" l="1"/>
  <c r="AK11" i="3" s="1"/>
  <c r="AK17" i="3" s="1"/>
  <c r="AK22" i="3" s="1"/>
  <c r="AJ10" i="3"/>
  <c r="AJ11" i="3" s="1"/>
  <c r="AJ17" i="3" s="1"/>
  <c r="AJ22" i="3" s="1"/>
  <c r="AK16" i="2"/>
  <c r="AJ47" i="3" l="1"/>
  <c r="AJ94" i="2"/>
  <c r="AJ58" i="7" s="1"/>
  <c r="AJ57" i="7"/>
  <c r="AK47" i="3"/>
  <c r="AK57" i="7"/>
  <c r="AK94" i="2"/>
  <c r="AK58" i="7" s="1"/>
  <c r="AL16" i="2"/>
  <c r="AL10" i="3" l="1"/>
  <c r="AL11" i="3" s="1"/>
  <c r="AL17" i="3" s="1"/>
  <c r="AL22" i="3" s="1"/>
  <c r="AM16" i="2"/>
  <c r="AL47" i="3" l="1"/>
  <c r="AL57" i="7"/>
  <c r="AL94" i="2"/>
  <c r="AL58" i="7" s="1"/>
  <c r="AM10" i="3"/>
  <c r="AM11" i="3" s="1"/>
  <c r="AM17" i="3" s="1"/>
  <c r="AM22" i="3" s="1"/>
  <c r="AN16" i="2"/>
  <c r="AM47" i="3" l="1"/>
  <c r="AM57" i="7"/>
  <c r="AM94" i="2"/>
  <c r="AM58" i="7" s="1"/>
  <c r="AO10" i="3"/>
  <c r="AO11" i="3" s="1"/>
  <c r="AO17" i="3" s="1"/>
  <c r="AO22" i="3" s="1"/>
  <c r="AN10" i="3"/>
  <c r="AN11" i="3" s="1"/>
  <c r="AN17" i="3" s="1"/>
  <c r="AN22" i="3" s="1"/>
  <c r="AO16" i="2"/>
  <c r="AN47" i="3" l="1"/>
  <c r="AN57" i="7"/>
  <c r="AN94" i="2"/>
  <c r="AN58" i="7" s="1"/>
  <c r="AO47" i="3"/>
  <c r="AO94" i="2"/>
  <c r="AO58" i="7" s="1"/>
  <c r="AO57" i="7"/>
  <c r="P11" i="3" l="1"/>
  <c r="N16" i="1"/>
  <c r="N19" i="1" s="1"/>
  <c r="N21" i="1" s="1"/>
  <c r="N38" i="7" s="1"/>
  <c r="N22" i="1" l="1"/>
  <c r="O11" i="3"/>
  <c r="N24" i="1" l="1"/>
  <c r="N27" i="1" l="1"/>
  <c r="N30" i="1" s="1"/>
  <c r="N39" i="7"/>
  <c r="N3" i="3"/>
  <c r="N11" i="3" s="1"/>
  <c r="N17" i="3" s="1"/>
  <c r="N22" i="3" s="1"/>
  <c r="N47" i="3" s="1"/>
  <c r="N50" i="3" s="1"/>
  <c r="O48" i="3" s="1"/>
  <c r="N28" i="1"/>
  <c r="N31" i="1" s="1"/>
  <c r="O27" i="1" l="1"/>
  <c r="O33" i="1" s="1"/>
  <c r="N34" i="1"/>
  <c r="N33" i="1"/>
  <c r="O28" i="1"/>
  <c r="C20" i="12"/>
  <c r="C22" i="12" s="1"/>
  <c r="Q31" i="1"/>
  <c r="Q28" i="1" s="1"/>
  <c r="Q28" i="2" s="1"/>
  <c r="AU28" i="2" s="1"/>
  <c r="W31" i="1"/>
  <c r="W28" i="1" s="1"/>
  <c r="W28" i="2" s="1"/>
  <c r="S31" i="1"/>
  <c r="S28" i="1" s="1"/>
  <c r="S28" i="2" s="1"/>
  <c r="U31" i="1"/>
  <c r="U28" i="1" s="1"/>
  <c r="U28" i="2" s="1"/>
  <c r="Y31" i="1"/>
  <c r="Y28" i="1" s="1"/>
  <c r="Y28" i="2" s="1"/>
  <c r="S30" i="1"/>
  <c r="S27" i="1" s="1"/>
  <c r="S27" i="2" s="1"/>
  <c r="Y30" i="1"/>
  <c r="Y27" i="1" s="1"/>
  <c r="Y27" i="2" s="1"/>
  <c r="Q30" i="1"/>
  <c r="Q27" i="1" s="1"/>
  <c r="Q27" i="2" s="1"/>
  <c r="U30" i="1"/>
  <c r="U27" i="1" s="1"/>
  <c r="U27" i="2" s="1"/>
  <c r="W30" i="1"/>
  <c r="W27" i="1" s="1"/>
  <c r="W27" i="2" s="1"/>
  <c r="W29" i="2" l="1"/>
  <c r="W47" i="2" s="1"/>
  <c r="Q29" i="2"/>
  <c r="Q47" i="2" s="1"/>
  <c r="AU27" i="2"/>
  <c r="U29" i="2"/>
  <c r="U47" i="2" s="1"/>
  <c r="Y29" i="2"/>
  <c r="Y47" i="2" s="1"/>
  <c r="S29" i="2"/>
  <c r="S47" i="2" s="1"/>
  <c r="O34" i="1"/>
  <c r="C24" i="12"/>
  <c r="F34" i="12"/>
  <c r="AJ27" i="1"/>
  <c r="R27" i="1" s="1"/>
  <c r="R33" i="1" s="1"/>
  <c r="AJ28" i="1"/>
  <c r="W34" i="1"/>
  <c r="W33" i="1"/>
  <c r="U34" i="1"/>
  <c r="U33" i="1"/>
  <c r="Q33" i="1"/>
  <c r="Q34" i="1"/>
  <c r="Y33" i="1"/>
  <c r="Y34" i="1"/>
  <c r="S34" i="1"/>
  <c r="S33" i="1"/>
  <c r="AI29" i="2" l="1"/>
  <c r="AI56" i="7" s="1"/>
  <c r="AI15" i="7"/>
  <c r="AI42" i="7"/>
  <c r="R34" i="1"/>
  <c r="P28" i="1"/>
  <c r="AK28" i="1"/>
  <c r="O28" i="2"/>
  <c r="AJ28" i="2"/>
  <c r="P28" i="2" s="1"/>
  <c r="AJ34" i="1"/>
  <c r="AJ46" i="7" s="1"/>
  <c r="AJ47" i="7" s="1"/>
  <c r="AJ33" i="1"/>
  <c r="AK27" i="1"/>
  <c r="P27" i="1"/>
  <c r="AJ27" i="2"/>
  <c r="P27" i="2" s="1"/>
  <c r="P29" i="2" l="1"/>
  <c r="P47" i="2" s="1"/>
  <c r="AI27" i="7"/>
  <c r="AI47" i="2"/>
  <c r="AI28" i="7"/>
  <c r="AI57" i="7"/>
  <c r="AI94" i="2"/>
  <c r="AI58" i="7" s="1"/>
  <c r="P33" i="1"/>
  <c r="P34" i="1"/>
  <c r="AK34" i="1"/>
  <c r="AK46" i="7" s="1"/>
  <c r="AK47" i="7" s="1"/>
  <c r="AL27" i="1"/>
  <c r="AK33" i="1"/>
  <c r="AK28" i="2"/>
  <c r="AK27" i="2"/>
  <c r="AJ29" i="2"/>
  <c r="AL28" i="1"/>
  <c r="R28" i="1"/>
  <c r="O27" i="2"/>
  <c r="AI21" i="7" l="1"/>
  <c r="AI23" i="7"/>
  <c r="AI22" i="7"/>
  <c r="AJ47" i="2"/>
  <c r="AJ56" i="7"/>
  <c r="AJ28" i="7"/>
  <c r="AJ27" i="7"/>
  <c r="AJ15" i="7"/>
  <c r="AJ42" i="7"/>
  <c r="N28" i="7"/>
  <c r="N27" i="7"/>
  <c r="N15" i="7"/>
  <c r="N42" i="7"/>
  <c r="O29" i="2"/>
  <c r="O15" i="7" s="1"/>
  <c r="AJ48" i="3"/>
  <c r="AJ50" i="3" s="1"/>
  <c r="AI87" i="2"/>
  <c r="AI88" i="2" s="1"/>
  <c r="AI20" i="2"/>
  <c r="AL28" i="2"/>
  <c r="T28" i="1"/>
  <c r="AM28" i="1"/>
  <c r="AL33" i="1"/>
  <c r="AL34" i="1"/>
  <c r="AL46" i="7" s="1"/>
  <c r="AL47" i="7" s="1"/>
  <c r="T27" i="1"/>
  <c r="AM27" i="1"/>
  <c r="AL27" i="2"/>
  <c r="AK29" i="2"/>
  <c r="AK15" i="7" s="1"/>
  <c r="O42" i="7" l="1"/>
  <c r="AI22" i="2"/>
  <c r="AI49" i="2" s="1"/>
  <c r="AI20" i="7"/>
  <c r="AI13" i="7"/>
  <c r="P27" i="7"/>
  <c r="P28" i="7"/>
  <c r="Q15" i="7"/>
  <c r="Q42" i="7"/>
  <c r="AK47" i="2"/>
  <c r="AK28" i="7"/>
  <c r="AK27" i="7"/>
  <c r="AK56" i="7"/>
  <c r="Q28" i="7"/>
  <c r="Q27" i="7"/>
  <c r="O28" i="7"/>
  <c r="P15" i="7"/>
  <c r="O27" i="7"/>
  <c r="P42" i="7"/>
  <c r="AK42" i="7"/>
  <c r="AJ17" i="2"/>
  <c r="P17" i="2" s="1"/>
  <c r="P20" i="2" s="1"/>
  <c r="P22" i="2" s="1"/>
  <c r="AN28" i="1"/>
  <c r="V28" i="1"/>
  <c r="AM34" i="1"/>
  <c r="AM46" i="7" s="1"/>
  <c r="AM47" i="7" s="1"/>
  <c r="AN27" i="1"/>
  <c r="V27" i="1"/>
  <c r="AM33" i="1"/>
  <c r="T33" i="1"/>
  <c r="T34" i="1"/>
  <c r="AM28" i="2"/>
  <c r="R15" i="7"/>
  <c r="AM27" i="2"/>
  <c r="AL29" i="2"/>
  <c r="AL15" i="7" s="1"/>
  <c r="R42" i="7" l="1"/>
  <c r="AJ20" i="2"/>
  <c r="AJ21" i="7"/>
  <c r="AJ23" i="7"/>
  <c r="AJ22" i="7"/>
  <c r="R28" i="7"/>
  <c r="R27" i="7"/>
  <c r="S15" i="7"/>
  <c r="S42" i="7"/>
  <c r="AL47" i="2"/>
  <c r="AL28" i="7"/>
  <c r="AL27" i="7"/>
  <c r="AL56" i="7"/>
  <c r="S28" i="7"/>
  <c r="S27" i="7"/>
  <c r="AL42" i="7"/>
  <c r="AI51" i="2"/>
  <c r="AI30" i="7"/>
  <c r="AI29" i="7"/>
  <c r="AI14" i="7"/>
  <c r="AI41" i="7"/>
  <c r="AI40" i="7"/>
  <c r="AK48" i="3"/>
  <c r="AK50" i="3" s="1"/>
  <c r="AK17" i="2" s="1"/>
  <c r="V33" i="1"/>
  <c r="V34" i="1"/>
  <c r="X27" i="1"/>
  <c r="AN33" i="1"/>
  <c r="AO27" i="1"/>
  <c r="AN34" i="1"/>
  <c r="AN46" i="7" s="1"/>
  <c r="AN47" i="7" s="1"/>
  <c r="AN28" i="2"/>
  <c r="AM29" i="2"/>
  <c r="AM42" i="7" s="1"/>
  <c r="AN27" i="2"/>
  <c r="X28" i="1"/>
  <c r="AO28" i="1"/>
  <c r="Z28" i="1" s="1"/>
  <c r="T28" i="7" l="1"/>
  <c r="T27" i="7"/>
  <c r="U15" i="7"/>
  <c r="U42" i="7"/>
  <c r="T42" i="7"/>
  <c r="AM47" i="2"/>
  <c r="AM28" i="7"/>
  <c r="AM27" i="7"/>
  <c r="AM56" i="7"/>
  <c r="T15" i="7"/>
  <c r="AM15" i="7"/>
  <c r="U27" i="7"/>
  <c r="U28" i="7"/>
  <c r="AJ22" i="2"/>
  <c r="AJ20" i="7"/>
  <c r="AJ13" i="7"/>
  <c r="AK20" i="2"/>
  <c r="AK23" i="7"/>
  <c r="AK22" i="7"/>
  <c r="AK21" i="7"/>
  <c r="AL48" i="3"/>
  <c r="AL50" i="3" s="1"/>
  <c r="AL17" i="2" s="1"/>
  <c r="AO28" i="2"/>
  <c r="AN29" i="2"/>
  <c r="AN42" i="7" s="1"/>
  <c r="AO27" i="2"/>
  <c r="AO33" i="1"/>
  <c r="AO34" i="1"/>
  <c r="AO46" i="7" s="1"/>
  <c r="AO47" i="7" s="1"/>
  <c r="Z27" i="1"/>
  <c r="X34" i="1"/>
  <c r="X33" i="1"/>
  <c r="AN15" i="7" l="1"/>
  <c r="AK22" i="2"/>
  <c r="AK30" i="7" s="1"/>
  <c r="AK20" i="7"/>
  <c r="AK13" i="7"/>
  <c r="W15" i="7"/>
  <c r="V28" i="7"/>
  <c r="V27" i="7"/>
  <c r="W42" i="7"/>
  <c r="AJ29" i="7"/>
  <c r="AJ49" i="2"/>
  <c r="AJ30" i="7"/>
  <c r="AJ51" i="2"/>
  <c r="AJ14" i="7"/>
  <c r="AJ41" i="7"/>
  <c r="AJ40" i="7"/>
  <c r="AN47" i="2"/>
  <c r="AN27" i="7"/>
  <c r="AN56" i="7"/>
  <c r="AN28" i="7"/>
  <c r="AL20" i="2"/>
  <c r="AL23" i="7"/>
  <c r="AL22" i="7"/>
  <c r="AL21" i="7"/>
  <c r="V42" i="7"/>
  <c r="W28" i="7"/>
  <c r="W27" i="7"/>
  <c r="V15" i="7"/>
  <c r="AM48" i="3"/>
  <c r="AM50" i="3" s="1"/>
  <c r="AM17" i="2" s="1"/>
  <c r="X42" i="7"/>
  <c r="Z33" i="1"/>
  <c r="Z34" i="1"/>
  <c r="Z46" i="7" s="1"/>
  <c r="Z47" i="7" s="1"/>
  <c r="AO29" i="2"/>
  <c r="O103" i="2"/>
  <c r="O105" i="2"/>
  <c r="O104" i="2"/>
  <c r="AK14" i="7" l="1"/>
  <c r="AK40" i="7"/>
  <c r="AK41" i="7"/>
  <c r="N22" i="7"/>
  <c r="O100" i="2"/>
  <c r="O6" i="7"/>
  <c r="AO47" i="2"/>
  <c r="AO56" i="7"/>
  <c r="AO28" i="7"/>
  <c r="AO27" i="7"/>
  <c r="AM20" i="2"/>
  <c r="AM23" i="7"/>
  <c r="AM21" i="7"/>
  <c r="AM22" i="7"/>
  <c r="AO15" i="7"/>
  <c r="Z56" i="7"/>
  <c r="Z28" i="7"/>
  <c r="Z27" i="7"/>
  <c r="N21" i="7"/>
  <c r="N23" i="7"/>
  <c r="O99" i="2"/>
  <c r="O8" i="7"/>
  <c r="AL22" i="2"/>
  <c r="AL14" i="7" s="1"/>
  <c r="AL20" i="7"/>
  <c r="AL13" i="7"/>
  <c r="X27" i="7"/>
  <c r="X28" i="7"/>
  <c r="Y15" i="7"/>
  <c r="Y42" i="7"/>
  <c r="O101" i="2"/>
  <c r="O10" i="7"/>
  <c r="Y28" i="7"/>
  <c r="Z15" i="7"/>
  <c r="Y27" i="7"/>
  <c r="Z42" i="7"/>
  <c r="X15" i="7"/>
  <c r="AO42" i="7"/>
  <c r="AK29" i="7"/>
  <c r="AK51" i="2"/>
  <c r="AK49" i="2"/>
  <c r="R13" i="3"/>
  <c r="P13" i="3"/>
  <c r="AN48" i="3"/>
  <c r="AN50" i="3" s="1"/>
  <c r="AN17" i="2" s="1"/>
  <c r="R14" i="3"/>
  <c r="O13" i="2"/>
  <c r="O14" i="2"/>
  <c r="AL41" i="7" l="1"/>
  <c r="O15" i="3"/>
  <c r="O17" i="3" s="1"/>
  <c r="AL29" i="7"/>
  <c r="AL49" i="2"/>
  <c r="AL51" i="2"/>
  <c r="O11" i="7"/>
  <c r="AO48" i="3"/>
  <c r="AO50" i="3" s="1"/>
  <c r="AO17" i="2" s="1"/>
  <c r="AN23" i="7"/>
  <c r="AN22" i="7"/>
  <c r="AN21" i="7"/>
  <c r="N20" i="7"/>
  <c r="N13" i="7"/>
  <c r="P14" i="3"/>
  <c r="AL40" i="7"/>
  <c r="O39" i="2"/>
  <c r="O45" i="2" s="1"/>
  <c r="O47" i="2" s="1"/>
  <c r="AL30" i="7"/>
  <c r="AM22" i="2"/>
  <c r="AM13" i="7"/>
  <c r="AM20" i="7"/>
  <c r="T13" i="3"/>
  <c r="T15" i="3" s="1"/>
  <c r="T17" i="3" s="1"/>
  <c r="T22" i="3" s="1"/>
  <c r="T47" i="3" s="1"/>
  <c r="S15" i="3"/>
  <c r="S17" i="3" s="1"/>
  <c r="S22" i="3" s="1"/>
  <c r="S47" i="3" s="1"/>
  <c r="AN20" i="2"/>
  <c r="Q15" i="3"/>
  <c r="Q17" i="3" s="1"/>
  <c r="Q22" i="3" s="1"/>
  <c r="Q47" i="3" s="1"/>
  <c r="R12" i="3"/>
  <c r="R15" i="3" s="1"/>
  <c r="R17" i="3" s="1"/>
  <c r="R22" i="3" s="1"/>
  <c r="R47" i="3" s="1"/>
  <c r="P12" i="3"/>
  <c r="AM40" i="7" l="1"/>
  <c r="AM49" i="2"/>
  <c r="P15" i="3"/>
  <c r="P17" i="3" s="1"/>
  <c r="P22" i="3" s="1"/>
  <c r="P47" i="3" s="1"/>
  <c r="N29" i="7"/>
  <c r="N30" i="7"/>
  <c r="N14" i="7"/>
  <c r="N41" i="7"/>
  <c r="N40" i="7"/>
  <c r="N49" i="2"/>
  <c r="N51" i="2"/>
  <c r="AM29" i="7"/>
  <c r="AM51" i="2"/>
  <c r="AM41" i="7"/>
  <c r="AN22" i="2"/>
  <c r="AN14" i="7" s="1"/>
  <c r="AN13" i="7"/>
  <c r="AN20" i="7"/>
  <c r="AM14" i="7"/>
  <c r="AO20" i="2"/>
  <c r="AO23" i="7"/>
  <c r="AO21" i="7"/>
  <c r="AO22" i="7"/>
  <c r="AM30" i="7"/>
  <c r="O22" i="3"/>
  <c r="O47" i="3" s="1"/>
  <c r="O50" i="3" s="1"/>
  <c r="AN40" i="7" l="1"/>
  <c r="AN51" i="2"/>
  <c r="AO22" i="2"/>
  <c r="AO41" i="7" s="1"/>
  <c r="AO20" i="7"/>
  <c r="AO13" i="7"/>
  <c r="AN49" i="2"/>
  <c r="AN29" i="7"/>
  <c r="AN41" i="7"/>
  <c r="AN30" i="7"/>
  <c r="P48" i="3"/>
  <c r="P50" i="3" s="1"/>
  <c r="AJ52" i="3" s="1"/>
  <c r="AO14" i="7" l="1"/>
  <c r="AO30" i="7"/>
  <c r="AO40" i="7"/>
  <c r="O23" i="7"/>
  <c r="O22" i="7"/>
  <c r="O21" i="7"/>
  <c r="AO51" i="2"/>
  <c r="AO29" i="7"/>
  <c r="AO49" i="2"/>
  <c r="O20" i="2"/>
  <c r="Q48" i="3"/>
  <c r="Q50" i="3" s="1"/>
  <c r="Q17" i="2" s="1"/>
  <c r="AU17" i="2" l="1"/>
  <c r="Q20" i="2"/>
  <c r="Q22" i="2" s="1"/>
  <c r="O22" i="2"/>
  <c r="O51" i="2" s="1"/>
  <c r="O20" i="7"/>
  <c r="O13" i="7"/>
  <c r="P23" i="7"/>
  <c r="P22" i="7"/>
  <c r="P21" i="7"/>
  <c r="R48" i="3"/>
  <c r="R50" i="3" s="1"/>
  <c r="S48" i="3" s="1"/>
  <c r="S50" i="3" s="1"/>
  <c r="S17" i="2" s="1"/>
  <c r="S20" i="2" s="1"/>
  <c r="S22" i="2" s="1"/>
  <c r="S49" i="2" l="1"/>
  <c r="S51" i="2"/>
  <c r="Q49" i="2"/>
  <c r="Q51" i="2"/>
  <c r="Q21" i="7"/>
  <c r="Q22" i="7"/>
  <c r="Q23" i="7"/>
  <c r="P41" i="7"/>
  <c r="P20" i="7"/>
  <c r="P13" i="7"/>
  <c r="O49" i="2"/>
  <c r="O29" i="7"/>
  <c r="O30" i="7"/>
  <c r="O14" i="7"/>
  <c r="O40" i="7"/>
  <c r="O41" i="7"/>
  <c r="Q13" i="7"/>
  <c r="Q20" i="7"/>
  <c r="T48" i="3"/>
  <c r="T50" i="3" s="1"/>
  <c r="P40" i="7" l="1"/>
  <c r="P14" i="7"/>
  <c r="P30" i="7"/>
  <c r="Q29" i="7"/>
  <c r="S22" i="7"/>
  <c r="S23" i="7"/>
  <c r="S21" i="7"/>
  <c r="R23" i="7"/>
  <c r="R22" i="7"/>
  <c r="R21" i="7"/>
  <c r="P49" i="2"/>
  <c r="Q30" i="7"/>
  <c r="Q14" i="7"/>
  <c r="P29" i="7"/>
  <c r="Q41" i="7"/>
  <c r="Q40" i="7"/>
  <c r="P51" i="2"/>
  <c r="U48" i="3"/>
  <c r="U50" i="3" s="1"/>
  <c r="U17" i="2" s="1"/>
  <c r="U20" i="2" s="1"/>
  <c r="U22" i="2" s="1"/>
  <c r="U49" i="2" l="1"/>
  <c r="U51" i="2"/>
  <c r="S13" i="7"/>
  <c r="S20" i="7"/>
  <c r="R13" i="7"/>
  <c r="R20" i="7"/>
  <c r="T22" i="7"/>
  <c r="T21" i="7"/>
  <c r="T23" i="7"/>
  <c r="V48" i="3"/>
  <c r="V50" i="3" s="1"/>
  <c r="U21" i="7" l="1"/>
  <c r="U23" i="7"/>
  <c r="U22" i="7"/>
  <c r="R51" i="2"/>
  <c r="S14" i="7"/>
  <c r="R29" i="7"/>
  <c r="S30" i="7"/>
  <c r="S41" i="7"/>
  <c r="S40" i="7"/>
  <c r="R30" i="7"/>
  <c r="R14" i="7"/>
  <c r="R41" i="7"/>
  <c r="R49" i="2"/>
  <c r="R40" i="7"/>
  <c r="T30" i="7"/>
  <c r="T13" i="7"/>
  <c r="T20" i="7"/>
  <c r="S29" i="7"/>
  <c r="W48" i="3"/>
  <c r="W50" i="3" s="1"/>
  <c r="W17" i="2" s="1"/>
  <c r="W20" i="2" s="1"/>
  <c r="W22" i="2" s="1"/>
  <c r="W49" i="2" l="1"/>
  <c r="W51" i="2"/>
  <c r="T41" i="7"/>
  <c r="T14" i="7"/>
  <c r="T40" i="7"/>
  <c r="T29" i="7"/>
  <c r="T49" i="2"/>
  <c r="T51" i="2"/>
  <c r="V21" i="7"/>
  <c r="V23" i="7"/>
  <c r="V22" i="7"/>
  <c r="U20" i="7"/>
  <c r="U13" i="7"/>
  <c r="X48" i="3"/>
  <c r="X50" i="3" s="1"/>
  <c r="U29" i="7" l="1"/>
  <c r="U41" i="7"/>
  <c r="U40" i="7"/>
  <c r="U14" i="7"/>
  <c r="W22" i="7"/>
  <c r="W23" i="7"/>
  <c r="W21" i="7"/>
  <c r="U30" i="7"/>
  <c r="V30" i="7"/>
  <c r="V20" i="7"/>
  <c r="V13" i="7"/>
  <c r="Y48" i="3"/>
  <c r="Y50" i="3" s="1"/>
  <c r="Y17" i="2" s="1"/>
  <c r="Y20" i="2" s="1"/>
  <c r="Y22" i="2" s="1"/>
  <c r="Y49" i="2" l="1"/>
  <c r="Y51" i="2"/>
  <c r="V29" i="7"/>
  <c r="V51" i="2"/>
  <c r="V49" i="2"/>
  <c r="X23" i="7"/>
  <c r="X22" i="7"/>
  <c r="X21" i="7"/>
  <c r="V40" i="7"/>
  <c r="V14" i="7"/>
  <c r="V41" i="7"/>
  <c r="W41" i="7"/>
  <c r="W20" i="7"/>
  <c r="W13" i="7"/>
  <c r="Z48" i="3"/>
  <c r="Z50" i="3" s="1"/>
  <c r="W30" i="7" l="1"/>
  <c r="W14" i="7"/>
  <c r="X41" i="7"/>
  <c r="X20" i="7"/>
  <c r="X13" i="7"/>
  <c r="Y23" i="7"/>
  <c r="Y21" i="7"/>
  <c r="Y22" i="7"/>
  <c r="W40" i="7"/>
  <c r="Z23" i="7"/>
  <c r="Z22" i="7"/>
  <c r="Z21" i="7"/>
  <c r="W29" i="7"/>
  <c r="X14" i="7" l="1"/>
  <c r="X30" i="7"/>
  <c r="X40" i="7"/>
  <c r="Y41" i="7"/>
  <c r="Y13" i="7"/>
  <c r="Y20" i="7"/>
  <c r="Z13" i="7"/>
  <c r="Z20" i="7"/>
  <c r="X29" i="7"/>
  <c r="X51" i="2"/>
  <c r="X49" i="2"/>
  <c r="Y30" i="7" l="1"/>
  <c r="Y14" i="7"/>
  <c r="Y40" i="7"/>
  <c r="Z29" i="7"/>
  <c r="Z51" i="2"/>
  <c r="Z49" i="2"/>
  <c r="Z30" i="7"/>
  <c r="Z14" i="7"/>
  <c r="Y29" i="7"/>
  <c r="Z41" i="7"/>
  <c r="Z40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Praveen Kumar</author>
  </authors>
  <commentList>
    <comment ref="I13" authorId="0" shapeId="0" xr:uid="{1BA3FF03-4A54-44DD-AF8D-C9F08C81AD59}">
      <text>
        <r>
          <rPr>
            <sz val="9"/>
            <color indexed="81"/>
            <rFont val="Tahoma"/>
            <family val="2"/>
          </rPr>
          <t>Net revenue per hec</t>
        </r>
      </text>
    </comment>
    <comment ref="M20" authorId="0" shapeId="0" xr:uid="{308E4057-D1C9-4233-B463-883E9782FED1}">
      <text>
        <r>
          <rPr>
            <b/>
            <sz val="9"/>
            <color indexed="81"/>
            <rFont val="Tahoma"/>
            <family val="2"/>
          </rPr>
          <t>Let's just calculate it and not incorporate in forecast. Let this be just for analysis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Praveen Kumar</author>
  </authors>
  <commentList>
    <comment ref="M20" authorId="0" shapeId="0" xr:uid="{4FFF597F-9CB1-476C-8C3C-B2AAFE912C93}">
      <text>
        <r>
          <rPr>
            <b/>
            <sz val="9"/>
            <color indexed="81"/>
            <rFont val="Tahoma"/>
            <family val="2"/>
          </rPr>
          <t>Let's just calculate it and not incorporate in forecast. Let this be just for analysis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Praveen Kumar</author>
  </authors>
  <commentList>
    <comment ref="M20" authorId="0" shapeId="0" xr:uid="{146A0140-5F97-410E-B13B-93944A041554}">
      <text>
        <r>
          <rPr>
            <b/>
            <sz val="9"/>
            <color indexed="81"/>
            <rFont val="Tahoma"/>
            <family val="2"/>
          </rPr>
          <t>Let's just calculate it and not incorporate in forecast. Let this be just for analysis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Praveen Kumar</author>
  </authors>
  <commentList>
    <comment ref="M20" authorId="0" shapeId="0" xr:uid="{4D0BECDE-11FD-4A78-AFEF-AA530081ED3E}">
      <text>
        <r>
          <rPr>
            <b/>
            <sz val="9"/>
            <color indexed="81"/>
            <rFont val="Tahoma"/>
            <family val="2"/>
          </rPr>
          <t>Let's just calculate it and not incorporate in forecast. Let this be just for analysis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Praveen Kumar</author>
  </authors>
  <commentList>
    <comment ref="M20" authorId="0" shapeId="0" xr:uid="{28AA12CF-9450-4651-8745-158A89E9F9DA}">
      <text>
        <r>
          <rPr>
            <b/>
            <sz val="9"/>
            <color indexed="81"/>
            <rFont val="Tahoma"/>
            <family val="2"/>
          </rPr>
          <t>Let's just calculate it and not incorporate in forecast. Let this be just for analysis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8" authorId="0" shapeId="0" xr:uid="{441A0A34-7AD9-415D-99AB-84987D965DFF}">
      <text>
        <r>
          <rPr>
            <sz val="11"/>
            <color rgb="FF000000"/>
            <rFont val="Calibri"/>
            <family val="2"/>
          </rPr>
          <t>Treasury yield sourced from Bloomberg</t>
        </r>
      </text>
    </comment>
    <comment ref="C29" authorId="0" shapeId="0" xr:uid="{5517FE2E-963B-4AEA-9E65-AC273A129DB8}">
      <text>
        <r>
          <rPr>
            <sz val="11"/>
            <color rgb="FF000000"/>
            <rFont val="Calibri"/>
            <family val="2"/>
          </rPr>
          <t xml:space="preserve">Yahoo Finance
</t>
        </r>
      </text>
    </comment>
    <comment ref="C33" authorId="0" shapeId="0" xr:uid="{E6E3B1B9-A998-49A9-AE72-41D30982FA29}">
      <text>
        <r>
          <rPr>
            <sz val="11"/>
            <color rgb="FF000000"/>
            <rFont val="Calibri"/>
            <family val="2"/>
          </rPr>
          <t>Assumed in line with revenue growth</t>
        </r>
      </text>
    </comment>
  </commentList>
</comments>
</file>

<file path=xl/sharedStrings.xml><?xml version="1.0" encoding="utf-8"?>
<sst xmlns="http://schemas.openxmlformats.org/spreadsheetml/2006/main" count="541" uniqueCount="333">
  <si>
    <t>In millions of €</t>
  </si>
  <si>
    <t>Revenue</t>
  </si>
  <si>
    <t>Excise tax expense</t>
  </si>
  <si>
    <t>Net Revenue</t>
  </si>
  <si>
    <t>Other Income</t>
  </si>
  <si>
    <t>Raw Materials, consumables and services</t>
  </si>
  <si>
    <t>Personnel Expenses</t>
  </si>
  <si>
    <t>D&amp;A</t>
  </si>
  <si>
    <t>Interest Income</t>
  </si>
  <si>
    <t>Interest Expenses</t>
  </si>
  <si>
    <t>Other net finance income/expenses</t>
  </si>
  <si>
    <t>Share of profit/(loss) of associates and joint ventures</t>
  </si>
  <si>
    <t>PBT</t>
  </si>
  <si>
    <t>PAT</t>
  </si>
  <si>
    <t>Tax</t>
  </si>
  <si>
    <t>Attributable to:</t>
  </si>
  <si>
    <t>Shareholders</t>
  </si>
  <si>
    <t>Minority Interests</t>
  </si>
  <si>
    <t>EPS</t>
  </si>
  <si>
    <t>Basic</t>
  </si>
  <si>
    <t>Diluted</t>
  </si>
  <si>
    <t xml:space="preserve">Shares </t>
  </si>
  <si>
    <t>WASO - Basic</t>
  </si>
  <si>
    <t>WASO - Diluted</t>
  </si>
  <si>
    <t>H1'19</t>
  </si>
  <si>
    <t>H2'19</t>
  </si>
  <si>
    <t>FY'19</t>
  </si>
  <si>
    <t>H1'20</t>
  </si>
  <si>
    <t>H2'20</t>
  </si>
  <si>
    <t>FY'20</t>
  </si>
  <si>
    <t>H1'21</t>
  </si>
  <si>
    <t>H2'21</t>
  </si>
  <si>
    <t>FY'21</t>
  </si>
  <si>
    <t>H1'22</t>
  </si>
  <si>
    <t>H2'22</t>
  </si>
  <si>
    <t>FY'22</t>
  </si>
  <si>
    <t>H1'23</t>
  </si>
  <si>
    <t>H2'23</t>
  </si>
  <si>
    <t>FY'23</t>
  </si>
  <si>
    <t>H1'24</t>
  </si>
  <si>
    <t>H2'24</t>
  </si>
  <si>
    <t>FY'24</t>
  </si>
  <si>
    <t>H1'25</t>
  </si>
  <si>
    <t>H2'25</t>
  </si>
  <si>
    <t>FY'25</t>
  </si>
  <si>
    <t>H1'26</t>
  </si>
  <si>
    <t>H2'26</t>
  </si>
  <si>
    <t>FY'26</t>
  </si>
  <si>
    <t>H1'27</t>
  </si>
  <si>
    <t>H2'27</t>
  </si>
  <si>
    <t>FY'27</t>
  </si>
  <si>
    <t>H1'28</t>
  </si>
  <si>
    <t>H2'28</t>
  </si>
  <si>
    <t>FY'28</t>
  </si>
  <si>
    <t>H1'29</t>
  </si>
  <si>
    <t>H2'29</t>
  </si>
  <si>
    <t>FY'29</t>
  </si>
  <si>
    <t>H1'30</t>
  </si>
  <si>
    <t>H2'30</t>
  </si>
  <si>
    <t>FY'30</t>
  </si>
  <si>
    <t>Intangible Assets</t>
  </si>
  <si>
    <t>PP&amp;E</t>
  </si>
  <si>
    <t>Loans and advances to customers</t>
  </si>
  <si>
    <t>Deferred tax assets</t>
  </si>
  <si>
    <t xml:space="preserve">Other non-current assets </t>
  </si>
  <si>
    <t>Total non-current assets</t>
  </si>
  <si>
    <t>Inventories</t>
  </si>
  <si>
    <t>Trade and other receivables</t>
  </si>
  <si>
    <t xml:space="preserve">Current tax assets </t>
  </si>
  <si>
    <t>Derivative assets</t>
  </si>
  <si>
    <t>Cash and Cash Equivalents</t>
  </si>
  <si>
    <t>Assets classified as held for sale</t>
  </si>
  <si>
    <t xml:space="preserve">Total Current Assets </t>
  </si>
  <si>
    <t xml:space="preserve">Total Assets </t>
  </si>
  <si>
    <t xml:space="preserve">Total Equity </t>
  </si>
  <si>
    <t>Borrowings</t>
  </si>
  <si>
    <t>Provisions</t>
  </si>
  <si>
    <t>Deffered tax liabilities</t>
  </si>
  <si>
    <t>Other non-current liabilities</t>
  </si>
  <si>
    <t>Total non-current liabilities</t>
  </si>
  <si>
    <t>Trade and other payables</t>
  </si>
  <si>
    <t>Returnable packaging deposits</t>
  </si>
  <si>
    <t>Current tax liabilities</t>
  </si>
  <si>
    <t>Derivative liabilities</t>
  </si>
  <si>
    <t>Total current liabilities</t>
  </si>
  <si>
    <t>Total Equity and Liabilities</t>
  </si>
  <si>
    <t>Profit/Loss</t>
  </si>
  <si>
    <t>Adjustments:</t>
  </si>
  <si>
    <t>Profit/Loss asociates &amp; JVs</t>
  </si>
  <si>
    <t>Income tax expenses</t>
  </si>
  <si>
    <t>Other non-cash items</t>
  </si>
  <si>
    <t>Cash Flow before WC</t>
  </si>
  <si>
    <t>Change in inventories</t>
  </si>
  <si>
    <t>Change in trade and other receivables</t>
  </si>
  <si>
    <t>Change in trade and other payables</t>
  </si>
  <si>
    <t xml:space="preserve">Total change </t>
  </si>
  <si>
    <t>Change in provisions and post-retirement obligations</t>
  </si>
  <si>
    <t>Cash flow from operations</t>
  </si>
  <si>
    <t>Interest paid</t>
  </si>
  <si>
    <t>Interest received</t>
  </si>
  <si>
    <t>Dividends received</t>
  </si>
  <si>
    <t>Income taxes paid</t>
  </si>
  <si>
    <t>Sale of PP&amp;E</t>
  </si>
  <si>
    <t>Purchase of PP&amp;E</t>
  </si>
  <si>
    <t>Purchase of intangible assets</t>
  </si>
  <si>
    <t>Loans issued to customers and other investments</t>
  </si>
  <si>
    <t>Repayment on loans to customers and other investments</t>
  </si>
  <si>
    <t>Cash flow (used in)/from operational investing activities</t>
  </si>
  <si>
    <t>Acquisition of subsidiaries, net of cash acquired</t>
  </si>
  <si>
    <t>Acquisition of/additions to associates, joint ventures and other investments</t>
  </si>
  <si>
    <t>Disposal of subsidiaries, net of cash disposed of</t>
  </si>
  <si>
    <t>Disposal of associates, joint ventures and other investments</t>
  </si>
  <si>
    <t>Cash flow (used in)/from investing activities</t>
  </si>
  <si>
    <t>Cash flow from (used in)/Operating Activites</t>
  </si>
  <si>
    <t>Proceeds from borrowings</t>
  </si>
  <si>
    <t>Repayment of borrowings</t>
  </si>
  <si>
    <t>Payment of lease commitments</t>
  </si>
  <si>
    <t>Dividends paid</t>
  </si>
  <si>
    <t>Purchase own shares and shares issued by Heineken N.V.</t>
  </si>
  <si>
    <t>Acquisition of non-controlling interests</t>
  </si>
  <si>
    <t>Cash flow (used in)/from financing activities</t>
  </si>
  <si>
    <t>Net Cash flow</t>
  </si>
  <si>
    <t>Beginning Cash</t>
  </si>
  <si>
    <t>Fx</t>
  </si>
  <si>
    <t xml:space="preserve">End Cash </t>
  </si>
  <si>
    <t>EBIT</t>
  </si>
  <si>
    <t>EBITDA</t>
  </si>
  <si>
    <t>Net finance expense</t>
  </si>
  <si>
    <t>Investments in associates and JV</t>
  </si>
  <si>
    <t>Share Capital</t>
  </si>
  <si>
    <t>Share Premium</t>
  </si>
  <si>
    <t>Reserves</t>
  </si>
  <si>
    <t>Retained Earnings</t>
  </si>
  <si>
    <t>Other</t>
  </si>
  <si>
    <t>Liabilities associated with assets classified as held for sale</t>
  </si>
  <si>
    <t>Equity instruments</t>
  </si>
  <si>
    <t xml:space="preserve">Other current assets </t>
  </si>
  <si>
    <t>freeflowm0ney@810</t>
  </si>
  <si>
    <t>FX</t>
  </si>
  <si>
    <t>Scope</t>
  </si>
  <si>
    <t>Debt Schedule</t>
  </si>
  <si>
    <t>Working Capital Schedule</t>
  </si>
  <si>
    <t>Retained Earnings schedule</t>
  </si>
  <si>
    <t>PP&amp;E schedule</t>
  </si>
  <si>
    <t>Total Borrowings</t>
  </si>
  <si>
    <t xml:space="preserve">Net Debt </t>
  </si>
  <si>
    <t>FCF</t>
  </si>
  <si>
    <t>FCF Yield</t>
  </si>
  <si>
    <t>Opening Balance</t>
  </si>
  <si>
    <t>Additions during the period</t>
  </si>
  <si>
    <t>Depreciation expense</t>
  </si>
  <si>
    <t>Closing Balance</t>
  </si>
  <si>
    <t>Amortisation expense</t>
  </si>
  <si>
    <t>Accumulated Depreciation</t>
  </si>
  <si>
    <t>Net PP&amp;E</t>
  </si>
  <si>
    <t>Accumulated</t>
  </si>
  <si>
    <t xml:space="preserve">Africa and Middle East </t>
  </si>
  <si>
    <t>Net Revenue (beia)</t>
  </si>
  <si>
    <t>Organic Growth</t>
  </si>
  <si>
    <t>Fx (%)</t>
  </si>
  <si>
    <t>Scope (%)</t>
  </si>
  <si>
    <t>Organic Growth (%)</t>
  </si>
  <si>
    <t>Price mix</t>
  </si>
  <si>
    <t>Volume</t>
  </si>
  <si>
    <t>Beer Volume</t>
  </si>
  <si>
    <t>Non-Beer Volume</t>
  </si>
  <si>
    <t>Third Party products volume</t>
  </si>
  <si>
    <t>Licensed Beer Volume</t>
  </si>
  <si>
    <t>Group Beer Volume</t>
  </si>
  <si>
    <t>Total Volume</t>
  </si>
  <si>
    <t>Net revenue per hectolitre</t>
  </si>
  <si>
    <t>Net revenue per hl growth</t>
  </si>
  <si>
    <t>NR/HL</t>
  </si>
  <si>
    <t>Americas</t>
  </si>
  <si>
    <t>Europe</t>
  </si>
  <si>
    <t xml:space="preserve">Total </t>
  </si>
  <si>
    <t>eia</t>
  </si>
  <si>
    <t>Non-current borrowings</t>
  </si>
  <si>
    <t>Current borrowings</t>
  </si>
  <si>
    <t>Market Value of cross-currency interest rate swaps</t>
  </si>
  <si>
    <t>Other investments</t>
  </si>
  <si>
    <t>PPE</t>
  </si>
  <si>
    <t>Assets classified for sale</t>
  </si>
  <si>
    <t>Others</t>
  </si>
  <si>
    <t>Post-retirement obligations</t>
  </si>
  <si>
    <t xml:space="preserve">Interest </t>
  </si>
  <si>
    <t>Interest charge (%)</t>
  </si>
  <si>
    <t>Trade Payables</t>
  </si>
  <si>
    <t>Days</t>
  </si>
  <si>
    <t>DIO</t>
  </si>
  <si>
    <t>DSO</t>
  </si>
  <si>
    <t>DPO</t>
  </si>
  <si>
    <t>Remy Cointreau</t>
  </si>
  <si>
    <t>Figures in Euro millions, except share data</t>
  </si>
  <si>
    <t>2025E</t>
  </si>
  <si>
    <t>2026E</t>
  </si>
  <si>
    <t>2027E</t>
  </si>
  <si>
    <t>2028E</t>
  </si>
  <si>
    <t>2029E</t>
  </si>
  <si>
    <t>DCF</t>
  </si>
  <si>
    <t>Revenues</t>
  </si>
  <si>
    <t>EBIT (1-t)</t>
  </si>
  <si>
    <t>NWC</t>
  </si>
  <si>
    <t>Capital expenditures</t>
  </si>
  <si>
    <t>Unlevered free cash flows (UFCF)</t>
  </si>
  <si>
    <t>Discounting factor</t>
  </si>
  <si>
    <t>FCFF</t>
  </si>
  <si>
    <t>TV</t>
  </si>
  <si>
    <t>Enterprise Value</t>
  </si>
  <si>
    <t>Net Debt</t>
  </si>
  <si>
    <t>Minority Interest</t>
  </si>
  <si>
    <t>Equity Value</t>
  </si>
  <si>
    <t>No. of shares</t>
  </si>
  <si>
    <t>Target Price</t>
  </si>
  <si>
    <t>CMP</t>
  </si>
  <si>
    <t>Change(%)</t>
  </si>
  <si>
    <t>Assumptions</t>
  </si>
  <si>
    <t>Sensitivity Analysis</t>
  </si>
  <si>
    <t>Equity Risk Premium</t>
  </si>
  <si>
    <t>Risk Free rate</t>
  </si>
  <si>
    <t>Beta</t>
  </si>
  <si>
    <t>WACC</t>
  </si>
  <si>
    <t>Cost of Equity</t>
  </si>
  <si>
    <t>Cost of Debt</t>
  </si>
  <si>
    <t>Growth rate (%)</t>
  </si>
  <si>
    <t>Liquidity Ratios</t>
  </si>
  <si>
    <t>Current Ratio</t>
  </si>
  <si>
    <t>Quick Ratio</t>
  </si>
  <si>
    <t>Profitability Ratios</t>
  </si>
  <si>
    <t>Ratios</t>
  </si>
  <si>
    <t>Receivables Turnover</t>
  </si>
  <si>
    <t>Sales/Average Receivables</t>
  </si>
  <si>
    <t>Inventory Turnover</t>
  </si>
  <si>
    <t>Payables Turnover</t>
  </si>
  <si>
    <t>Fixed Assets Turnover</t>
  </si>
  <si>
    <t>Working Capital Turnover</t>
  </si>
  <si>
    <t>Total Assets Turnover</t>
  </si>
  <si>
    <t>Cash Conversion Cycle</t>
  </si>
  <si>
    <t>Equity Turnover</t>
  </si>
  <si>
    <t>Days/RT</t>
  </si>
  <si>
    <t>COGS/Average Inventory</t>
  </si>
  <si>
    <t>Days/IT</t>
  </si>
  <si>
    <t>COGS/Average Payables</t>
  </si>
  <si>
    <t>Days/PT</t>
  </si>
  <si>
    <t>DSO+DIO-DPO</t>
  </si>
  <si>
    <t>Sales/Average net fixed assets</t>
  </si>
  <si>
    <t>Revenue/Average working capital</t>
  </si>
  <si>
    <t>Revenue/Average total assets</t>
  </si>
  <si>
    <t xml:space="preserve">Revenue/Average Total Equity </t>
  </si>
  <si>
    <t>Actvity Ratios (Utilising resources)</t>
  </si>
  <si>
    <t>Cash ratio</t>
  </si>
  <si>
    <t>Defensive Interval</t>
  </si>
  <si>
    <t>CA/CL</t>
  </si>
  <si>
    <t>Cash+Marketable sec/CL</t>
  </si>
  <si>
    <t>Cash+Marketable sec+Receivables/Average Daily Expenditure</t>
  </si>
  <si>
    <t>Solvency Ratios</t>
  </si>
  <si>
    <t xml:space="preserve">Debt to Equity </t>
  </si>
  <si>
    <t>Debt to Capital</t>
  </si>
  <si>
    <t>Debt to Assets</t>
  </si>
  <si>
    <t>Financial Leverage</t>
  </si>
  <si>
    <t>Interest Coverage</t>
  </si>
  <si>
    <t>Fixed Charge coverage</t>
  </si>
  <si>
    <t xml:space="preserve">Total Debt/ Shareholder's equity </t>
  </si>
  <si>
    <t xml:space="preserve">Total Debt/ Total Debt + Shareholder's equity </t>
  </si>
  <si>
    <t>Total Debt / Total Assets</t>
  </si>
  <si>
    <t xml:space="preserve">Average Total assets / average total equity </t>
  </si>
  <si>
    <t>EBIT/Interest Payments</t>
  </si>
  <si>
    <t>EBIT+Lease Payments/Interest+Lease Payments</t>
  </si>
  <si>
    <t xml:space="preserve">EBIT Margin </t>
  </si>
  <si>
    <t xml:space="preserve">EBITDA Margin </t>
  </si>
  <si>
    <t>ROA</t>
  </si>
  <si>
    <t>RoCA</t>
  </si>
  <si>
    <t xml:space="preserve">Net Profit Margin </t>
  </si>
  <si>
    <t xml:space="preserve">PBT Margin </t>
  </si>
  <si>
    <t>EBIT/Margin</t>
  </si>
  <si>
    <t>EBITDA/Margin</t>
  </si>
  <si>
    <t>PBT/Margin</t>
  </si>
  <si>
    <t>Net Income/Margin</t>
  </si>
  <si>
    <t>Net Income / Average Total Assets</t>
  </si>
  <si>
    <t>EBIT / Average Total Assets</t>
  </si>
  <si>
    <t>RoE</t>
  </si>
  <si>
    <t>Net Income / Average Equity</t>
  </si>
  <si>
    <t>Valuation Ratios</t>
  </si>
  <si>
    <t>PE</t>
  </si>
  <si>
    <t>Dividend Yield</t>
  </si>
  <si>
    <t>Dividend Payout</t>
  </si>
  <si>
    <t>Sustainable Growth Rate</t>
  </si>
  <si>
    <t>Retention Rate</t>
  </si>
  <si>
    <t xml:space="preserve">Earnings per Share </t>
  </si>
  <si>
    <t>Net Income - Preferred Dividends / WASO</t>
  </si>
  <si>
    <t>Share Price / EPS</t>
  </si>
  <si>
    <t>Dividend / Price</t>
  </si>
  <si>
    <t>Dividend /Net Icome</t>
  </si>
  <si>
    <t>Net Income - Dividends / Net Income</t>
  </si>
  <si>
    <t>RR*RoE</t>
  </si>
  <si>
    <t>Quick Assets/CL</t>
  </si>
  <si>
    <t>TTM P/E</t>
  </si>
  <si>
    <t>Forward P/E</t>
  </si>
  <si>
    <t>TTM EPS</t>
  </si>
  <si>
    <t>Forward EPS</t>
  </si>
  <si>
    <t>BVPS</t>
  </si>
  <si>
    <t>OCF/share</t>
  </si>
  <si>
    <t>FCF/share</t>
  </si>
  <si>
    <t>Notes</t>
  </si>
  <si>
    <t>Sparklines</t>
  </si>
  <si>
    <t xml:space="preserve">Better asset utlization </t>
  </si>
  <si>
    <t>High equity turnover shows the company is generating good results for stakeholders</t>
  </si>
  <si>
    <t>Good cash balance</t>
  </si>
  <si>
    <t>Low debt to total assets</t>
  </si>
  <si>
    <t>Good</t>
  </si>
  <si>
    <t xml:space="preserve">Increasing </t>
  </si>
  <si>
    <t>Decreasing</t>
  </si>
  <si>
    <t xml:space="preserve">High turnover shows better assets utilization </t>
  </si>
  <si>
    <t>Indicates improving efficiency</t>
  </si>
  <si>
    <t>Below 1 (0.82 in H1'22, increasing to 1.86 by FY'30), meaning potential liquidity concerns early on but improving over time.</t>
  </si>
  <si>
    <t>0.20 in H1'22, reaching 1.13 in FY'30, indicating strong cash reserves.</t>
  </si>
  <si>
    <t>Very high (~692 days in H1'22, increasing to ~1,747 days by FY'30), meaning a strong liquidity position.</t>
  </si>
  <si>
    <t>Reduces financial risk</t>
  </si>
  <si>
    <t>Improving capital structure</t>
  </si>
  <si>
    <t>Stronger equity base, low risk</t>
  </si>
  <si>
    <t>Strong ability to pay off interest</t>
  </si>
  <si>
    <t>ROE still lower than historical levels, indicating the company may need to optimize equity utilization or manage debt more effectively</t>
  </si>
  <si>
    <r>
      <t>Significant decline in profitability ratios</t>
    </r>
    <r>
      <rPr>
        <sz val="11"/>
        <color theme="1"/>
        <rFont val="Calibri"/>
        <family val="2"/>
        <scheme val="minor"/>
      </rPr>
      <t xml:space="preserve"> post FY'21, likely due to increased costs, economic downturns, or operational inefficiencies.</t>
    </r>
  </si>
  <si>
    <r>
      <t>Recovery phase</t>
    </r>
    <r>
      <rPr>
        <sz val="11"/>
        <color theme="1"/>
        <rFont val="Calibri"/>
        <family val="2"/>
        <scheme val="minor"/>
      </rPr>
      <t xml:space="preserve"> expected from FY'25 onwards, suggesting strategic improvements or favorable market conditions.</t>
    </r>
  </si>
  <si>
    <t>Suggesting strong retained earnings, asset appreciation, or reduced liabilities.</t>
  </si>
  <si>
    <t>suggesting improved profitability, cost efficiencies, or stronger cash collections.</t>
  </si>
  <si>
    <r>
      <t>Positive trend</t>
    </r>
    <r>
      <rPr>
        <sz val="11"/>
        <color theme="1"/>
        <rFont val="Calibri"/>
        <family val="2"/>
        <scheme val="minor"/>
      </rPr>
      <t xml:space="preserve"> in both OCF and FCF per share, indicating increasing financial flexibility.</t>
    </r>
  </si>
  <si>
    <r>
      <t>FCF per share is higher than OCF per share</t>
    </r>
    <r>
      <rPr>
        <sz val="11"/>
        <color theme="1"/>
        <rFont val="Calibri"/>
        <family val="2"/>
        <scheme val="minor"/>
      </rPr>
      <t xml:space="preserve">, which is unusual—might indicate </t>
    </r>
    <r>
      <rPr>
        <b/>
        <sz val="11"/>
        <color theme="1"/>
        <rFont val="Calibri"/>
        <family val="2"/>
        <scheme val="minor"/>
      </rPr>
      <t>low CapEx or asset sales</t>
    </r>
    <r>
      <rPr>
        <sz val="11"/>
        <color theme="1"/>
        <rFont val="Calibri"/>
        <family val="2"/>
        <scheme val="minor"/>
      </rPr>
      <t xml:space="preserve"> boosting FCF.</t>
    </r>
  </si>
  <si>
    <t>Long-term growth suggests efficient working capital management and profitability improvements.</t>
  </si>
  <si>
    <t>Marginal tax rate is the statutory tax rate</t>
  </si>
  <si>
    <t xml:space="preserve">Notes - Use projected net debt </t>
  </si>
  <si>
    <t xml:space="preserve">Negative cash conversion cycle is good for the business, shows less reliance on own money </t>
  </si>
  <si>
    <t>Net Debt/EBITDA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</si>
</sst>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0.0%"/>
    <numFmt numFmtId="165" formatCode="_ * #,##0.0_ ;_ * \-#,##0.0_ ;_ * &quot;-&quot;??_ ;_ @_ "/>
    <numFmt numFmtId="166" formatCode="0.0"/>
    <numFmt numFmtId="167" formatCode="#,##0.000"/>
    <numFmt numFmtId="168" formatCode="_ * #,##0_ ;_ * \-#,##0_ ;_ * &quot;-&quot;??_ ;_ @_ "/>
    <numFmt numFmtId="169" formatCode="#,##0.0"/>
    <numFmt numFmtId="170" formatCode="#,##0.00\x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9"/>
      <color indexed="81"/>
      <name val="Tahoma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  <font>
      <sz val="9"/>
      <color rgb="FFFF0000"/>
      <name val="Calibri"/>
      <family val="2"/>
    </font>
    <font>
      <i/>
      <sz val="11"/>
      <color rgb="FF000000"/>
      <name val="Calibri"/>
      <family val="2"/>
    </font>
    <font>
      <sz val="11"/>
      <name val="Calibri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EAF1DD"/>
        <bgColor rgb="FFEAF1DD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/>
    <xf numFmtId="43" fontId="6" fillId="0" borderId="0" applyFont="0" applyFill="0" applyBorder="0" applyAlignment="0" applyProtection="0"/>
    <xf numFmtId="0" fontId="12" fillId="0" borderId="0"/>
    <xf numFmtId="0" fontId="18" fillId="0" borderId="0"/>
  </cellStyleXfs>
  <cellXfs count="108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3" fontId="0" fillId="0" borderId="0" xfId="0" applyNumberFormat="1"/>
    <xf numFmtId="3" fontId="1" fillId="0" borderId="0" xfId="0" applyNumberFormat="1" applyFont="1"/>
    <xf numFmtId="2" fontId="0" fillId="0" borderId="0" xfId="0" applyNumberFormat="1"/>
    <xf numFmtId="0" fontId="4" fillId="0" borderId="0" xfId="0" applyFont="1"/>
    <xf numFmtId="3" fontId="4" fillId="0" borderId="0" xfId="0" applyNumberFormat="1" applyFont="1"/>
    <xf numFmtId="0" fontId="5" fillId="0" borderId="0" xfId="1"/>
    <xf numFmtId="9" fontId="0" fillId="0" borderId="0" xfId="0" applyNumberFormat="1"/>
    <xf numFmtId="164" fontId="2" fillId="0" borderId="0" xfId="0" applyNumberFormat="1" applyFont="1"/>
    <xf numFmtId="43" fontId="0" fillId="0" borderId="0" xfId="2" applyFont="1"/>
    <xf numFmtId="43" fontId="1" fillId="0" borderId="0" xfId="0" applyNumberFormat="1" applyFont="1"/>
    <xf numFmtId="43" fontId="0" fillId="0" borderId="0" xfId="0" applyNumberFormat="1"/>
    <xf numFmtId="9" fontId="2" fillId="0" borderId="0" xfId="0" applyNumberFormat="1" applyFont="1"/>
    <xf numFmtId="9" fontId="7" fillId="0" borderId="0" xfId="0" applyNumberFormat="1" applyFont="1"/>
    <xf numFmtId="0" fontId="0" fillId="0" borderId="0" xfId="0" applyAlignment="1">
      <alignment horizontal="left" indent="1"/>
    </xf>
    <xf numFmtId="0" fontId="1" fillId="0" borderId="0" xfId="0" applyFont="1" applyAlignment="1">
      <alignment horizontal="left"/>
    </xf>
    <xf numFmtId="4" fontId="0" fillId="0" borderId="0" xfId="0" applyNumberFormat="1"/>
    <xf numFmtId="0" fontId="2" fillId="0" borderId="0" xfId="0" applyFont="1" applyAlignment="1">
      <alignment horizontal="left" indent="1"/>
    </xf>
    <xf numFmtId="4" fontId="2" fillId="0" borderId="0" xfId="0" applyNumberFormat="1" applyFont="1"/>
    <xf numFmtId="165" fontId="2" fillId="0" borderId="0" xfId="2" applyNumberFormat="1" applyFont="1"/>
    <xf numFmtId="0" fontId="2" fillId="2" borderId="0" xfId="0" applyFont="1" applyFill="1" applyAlignment="1">
      <alignment horizontal="left" indent="1"/>
    </xf>
    <xf numFmtId="164" fontId="2" fillId="2" borderId="0" xfId="0" applyNumberFormat="1" applyFont="1" applyFill="1"/>
    <xf numFmtId="4" fontId="2" fillId="2" borderId="0" xfId="0" applyNumberFormat="1" applyFont="1" applyFill="1"/>
    <xf numFmtId="0" fontId="2" fillId="2" borderId="0" xfId="0" applyFont="1" applyFill="1"/>
    <xf numFmtId="0" fontId="2" fillId="0" borderId="0" xfId="0" applyFont="1" applyAlignment="1">
      <alignment horizontal="left"/>
    </xf>
    <xf numFmtId="10" fontId="2" fillId="0" borderId="0" xfId="0" applyNumberFormat="1" applyFont="1"/>
    <xf numFmtId="164" fontId="0" fillId="0" borderId="0" xfId="0" applyNumberFormat="1"/>
    <xf numFmtId="164" fontId="2" fillId="3" borderId="1" xfId="0" applyNumberFormat="1" applyFont="1" applyFill="1" applyBorder="1"/>
    <xf numFmtId="10" fontId="2" fillId="3" borderId="1" xfId="0" applyNumberFormat="1" applyFont="1" applyFill="1" applyBorder="1"/>
    <xf numFmtId="166" fontId="0" fillId="0" borderId="0" xfId="0" applyNumberFormat="1"/>
    <xf numFmtId="9" fontId="2" fillId="3" borderId="1" xfId="0" applyNumberFormat="1" applyFont="1" applyFill="1" applyBorder="1"/>
    <xf numFmtId="1" fontId="0" fillId="0" borderId="0" xfId="0" applyNumberFormat="1"/>
    <xf numFmtId="0" fontId="0" fillId="0" borderId="0" xfId="0" applyAlignment="1">
      <alignment horizontal="left"/>
    </xf>
    <xf numFmtId="3" fontId="10" fillId="0" borderId="0" xfId="0" applyNumberFormat="1" applyFont="1"/>
    <xf numFmtId="3" fontId="0" fillId="3" borderId="1" xfId="0" applyNumberFormat="1" applyFill="1" applyBorder="1"/>
    <xf numFmtId="3" fontId="0" fillId="0" borderId="0" xfId="0" quotePrefix="1" applyNumberFormat="1"/>
    <xf numFmtId="3" fontId="0" fillId="4" borderId="0" xfId="0" applyNumberFormat="1" applyFill="1"/>
    <xf numFmtId="0" fontId="0" fillId="4" borderId="0" xfId="0" applyFill="1"/>
    <xf numFmtId="0" fontId="1" fillId="4" borderId="0" xfId="0" applyFont="1" applyFill="1"/>
    <xf numFmtId="3" fontId="0" fillId="2" borderId="0" xfId="0" applyNumberFormat="1" applyFill="1"/>
    <xf numFmtId="0" fontId="13" fillId="0" borderId="0" xfId="3" applyFont="1"/>
    <xf numFmtId="0" fontId="12" fillId="0" borderId="0" xfId="3"/>
    <xf numFmtId="0" fontId="14" fillId="5" borderId="2" xfId="3" applyFont="1" applyFill="1" applyBorder="1"/>
    <xf numFmtId="0" fontId="13" fillId="5" borderId="3" xfId="3" applyFont="1" applyFill="1" applyBorder="1"/>
    <xf numFmtId="0" fontId="13" fillId="5" borderId="3" xfId="3" applyFont="1" applyFill="1" applyBorder="1" applyAlignment="1">
      <alignment horizontal="right"/>
    </xf>
    <xf numFmtId="0" fontId="13" fillId="5" borderId="4" xfId="3" applyFont="1" applyFill="1" applyBorder="1" applyAlignment="1">
      <alignment horizontal="right"/>
    </xf>
    <xf numFmtId="0" fontId="13" fillId="0" borderId="5" xfId="3" applyFont="1" applyBorder="1"/>
    <xf numFmtId="0" fontId="15" fillId="0" borderId="0" xfId="3" applyFont="1"/>
    <xf numFmtId="0" fontId="15" fillId="0" borderId="6" xfId="3" applyFont="1" applyBorder="1"/>
    <xf numFmtId="3" fontId="12" fillId="0" borderId="0" xfId="3" applyNumberFormat="1"/>
    <xf numFmtId="3" fontId="12" fillId="0" borderId="6" xfId="3" applyNumberFormat="1" applyBorder="1"/>
    <xf numFmtId="0" fontId="12" fillId="0" borderId="0" xfId="3" applyAlignment="1">
      <alignment horizontal="left"/>
    </xf>
    <xf numFmtId="0" fontId="16" fillId="0" borderId="0" xfId="3" applyFont="1" applyAlignment="1">
      <alignment horizontal="left"/>
    </xf>
    <xf numFmtId="0" fontId="16" fillId="0" borderId="0" xfId="3" applyFont="1"/>
    <xf numFmtId="9" fontId="16" fillId="0" borderId="0" xfId="3" applyNumberFormat="1" applyFont="1"/>
    <xf numFmtId="9" fontId="16" fillId="0" borderId="6" xfId="3" applyNumberFormat="1" applyFont="1" applyBorder="1"/>
    <xf numFmtId="0" fontId="13" fillId="5" borderId="0" xfId="3" applyFont="1" applyFill="1" applyAlignment="1">
      <alignment horizontal="left"/>
    </xf>
    <xf numFmtId="0" fontId="13" fillId="5" borderId="0" xfId="3" applyFont="1" applyFill="1"/>
    <xf numFmtId="3" fontId="12" fillId="5" borderId="0" xfId="3" applyNumberFormat="1" applyFill="1"/>
    <xf numFmtId="3" fontId="12" fillId="5" borderId="6" xfId="3" applyNumberFormat="1" applyFill="1" applyBorder="1"/>
    <xf numFmtId="167" fontId="12" fillId="0" borderId="0" xfId="3" applyNumberFormat="1"/>
    <xf numFmtId="167" fontId="12" fillId="0" borderId="6" xfId="3" applyNumberFormat="1" applyBorder="1"/>
    <xf numFmtId="0" fontId="12" fillId="0" borderId="7" xfId="3" applyBorder="1"/>
    <xf numFmtId="168" fontId="12" fillId="0" borderId="8" xfId="3" applyNumberFormat="1" applyBorder="1"/>
    <xf numFmtId="0" fontId="13" fillId="0" borderId="3" xfId="3" applyFont="1" applyBorder="1" applyAlignment="1">
      <alignment horizontal="left"/>
    </xf>
    <xf numFmtId="0" fontId="13" fillId="0" borderId="3" xfId="3" applyFont="1" applyBorder="1"/>
    <xf numFmtId="3" fontId="13" fillId="0" borderId="4" xfId="3" applyNumberFormat="1" applyFont="1" applyBorder="1"/>
    <xf numFmtId="0" fontId="13" fillId="0" borderId="0" xfId="3" applyFont="1" applyAlignment="1">
      <alignment horizontal="left"/>
    </xf>
    <xf numFmtId="0" fontId="12" fillId="5" borderId="0" xfId="3" applyFill="1" applyAlignment="1">
      <alignment horizontal="left"/>
    </xf>
    <xf numFmtId="0" fontId="12" fillId="5" borderId="0" xfId="3" applyFill="1"/>
    <xf numFmtId="164" fontId="16" fillId="5" borderId="9" xfId="3" applyNumberFormat="1" applyFont="1" applyFill="1" applyBorder="1" applyAlignment="1">
      <alignment horizontal="left"/>
    </xf>
    <xf numFmtId="164" fontId="16" fillId="5" borderId="9" xfId="3" applyNumberFormat="1" applyFont="1" applyFill="1" applyBorder="1"/>
    <xf numFmtId="164" fontId="16" fillId="5" borderId="10" xfId="3" applyNumberFormat="1" applyFont="1" applyFill="1" applyBorder="1"/>
    <xf numFmtId="0" fontId="14" fillId="5" borderId="11" xfId="3" applyFont="1" applyFill="1" applyBorder="1"/>
    <xf numFmtId="0" fontId="12" fillId="5" borderId="12" xfId="3" applyFill="1" applyBorder="1"/>
    <xf numFmtId="0" fontId="12" fillId="5" borderId="13" xfId="3" applyFill="1" applyBorder="1"/>
    <xf numFmtId="0" fontId="12" fillId="0" borderId="16" xfId="3" applyBorder="1"/>
    <xf numFmtId="10" fontId="12" fillId="0" borderId="6" xfId="3" applyNumberFormat="1" applyBorder="1"/>
    <xf numFmtId="169" fontId="12" fillId="0" borderId="2" xfId="3" applyNumberFormat="1" applyBorder="1"/>
    <xf numFmtId="164" fontId="12" fillId="0" borderId="3" xfId="3" applyNumberFormat="1" applyBorder="1"/>
    <xf numFmtId="164" fontId="12" fillId="5" borderId="3" xfId="3" applyNumberFormat="1" applyFill="1" applyBorder="1"/>
    <xf numFmtId="164" fontId="12" fillId="0" borderId="17" xfId="3" applyNumberFormat="1" applyBorder="1"/>
    <xf numFmtId="164" fontId="12" fillId="0" borderId="5" xfId="3" applyNumberFormat="1" applyBorder="1"/>
    <xf numFmtId="4" fontId="12" fillId="0" borderId="0" xfId="3" applyNumberFormat="1"/>
    <xf numFmtId="4" fontId="12" fillId="5" borderId="0" xfId="3" applyNumberFormat="1" applyFill="1"/>
    <xf numFmtId="4" fontId="12" fillId="0" borderId="18" xfId="3" applyNumberFormat="1" applyBorder="1"/>
    <xf numFmtId="0" fontId="12" fillId="0" borderId="6" xfId="3" applyBorder="1"/>
    <xf numFmtId="164" fontId="12" fillId="0" borderId="6" xfId="3" applyNumberFormat="1" applyBorder="1"/>
    <xf numFmtId="164" fontId="12" fillId="5" borderId="5" xfId="3" applyNumberFormat="1" applyFill="1" applyBorder="1"/>
    <xf numFmtId="4" fontId="12" fillId="5" borderId="18" xfId="3" applyNumberFormat="1" applyFill="1" applyBorder="1"/>
    <xf numFmtId="164" fontId="12" fillId="0" borderId="19" xfId="3" applyNumberFormat="1" applyBorder="1"/>
    <xf numFmtId="4" fontId="12" fillId="0" borderId="7" xfId="3" applyNumberFormat="1" applyBorder="1"/>
    <xf numFmtId="4" fontId="12" fillId="5" borderId="7" xfId="3" applyNumberFormat="1" applyFill="1" applyBorder="1"/>
    <xf numFmtId="4" fontId="12" fillId="0" borderId="20" xfId="3" applyNumberFormat="1" applyBorder="1"/>
    <xf numFmtId="0" fontId="12" fillId="0" borderId="21" xfId="3" applyBorder="1"/>
    <xf numFmtId="0" fontId="12" fillId="0" borderId="9" xfId="3" applyBorder="1"/>
    <xf numFmtId="9" fontId="12" fillId="0" borderId="10" xfId="3" applyNumberFormat="1" applyBorder="1"/>
    <xf numFmtId="9" fontId="12" fillId="0" borderId="0" xfId="3" applyNumberFormat="1"/>
    <xf numFmtId="10" fontId="12" fillId="0" borderId="0" xfId="3" applyNumberFormat="1"/>
    <xf numFmtId="170" fontId="0" fillId="0" borderId="0" xfId="0" applyNumberFormat="1"/>
    <xf numFmtId="10" fontId="0" fillId="0" borderId="0" xfId="0" applyNumberFormat="1"/>
    <xf numFmtId="10" fontId="0" fillId="2" borderId="0" xfId="0" applyNumberFormat="1" applyFill="1"/>
    <xf numFmtId="0" fontId="0" fillId="2" borderId="0" xfId="0" applyFill="1"/>
    <xf numFmtId="0" fontId="14" fillId="5" borderId="14" xfId="3" applyFont="1" applyFill="1" applyBorder="1" applyAlignment="1">
      <alignment horizontal="center"/>
    </xf>
    <xf numFmtId="0" fontId="17" fillId="0" borderId="15" xfId="3" applyFont="1" applyBorder="1"/>
  </cellXfs>
  <cellStyles count="5">
    <cellStyle name="Comma" xfId="2" builtinId="3"/>
    <cellStyle name="Hyperlink" xfId="1" builtinId="8"/>
    <cellStyle name="Normal" xfId="0" builtinId="0"/>
    <cellStyle name="Normal 2" xfId="3" xr:uid="{0AC99A2D-AE2F-4C84-A812-9B7DCA6DB54A}"/>
    <cellStyle name="Normal 3" xfId="4" xr:uid="{0F6067FF-1CD6-458C-8E8E-B571C5680A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mailto:freeflowm0ney@8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A6008-4469-4B93-9A78-B769F65E0837}">
  <dimension ref="A1:AQ42"/>
  <sheetViews>
    <sheetView workbookViewId="0">
      <pane xSplit="1" ySplit="1" topLeftCell="AC2" activePane="bottomRight" state="frozen"/>
      <selection pane="topRight" activeCell="B1" sqref="B1"/>
      <selection pane="bottomLeft" activeCell="A2" sqref="A2"/>
      <selection pane="bottomRight" activeCell="AI21" sqref="AI21"/>
    </sheetView>
  </sheetViews>
  <sheetFormatPr defaultRowHeight="14.4" x14ac:dyDescent="0.3"/>
  <cols>
    <col min="1" max="1" width="44.21875" customWidth="1"/>
    <col min="2" max="2" width="0" hidden="1" customWidth="1"/>
    <col min="3" max="3" width="9.109375" style="4" hidden="1" customWidth="1"/>
    <col min="4" max="4" width="9.6640625" style="4" hidden="1" customWidth="1"/>
    <col min="5" max="5" width="9" style="4" hidden="1" customWidth="1"/>
    <col min="6" max="8" width="9.109375" style="4" hidden="1" customWidth="1"/>
    <col min="9" max="9" width="9.109375" style="4" bestFit="1" customWidth="1"/>
    <col min="10" max="10" width="9.6640625" style="4" bestFit="1" customWidth="1"/>
    <col min="11" max="11" width="9.109375" style="4" bestFit="1" customWidth="1"/>
    <col min="12" max="12" width="9.6640625" style="4" customWidth="1"/>
    <col min="13" max="13" width="9.109375" style="4" bestFit="1" customWidth="1"/>
    <col min="14" max="14" width="9.77734375" style="4" customWidth="1"/>
    <col min="15" max="15" width="8.88671875" customWidth="1"/>
    <col min="16" max="16" width="9.77734375" style="4" customWidth="1"/>
    <col min="17" max="17" width="8.88671875" customWidth="1"/>
    <col min="18" max="18" width="9.77734375" style="4" customWidth="1"/>
    <col min="19" max="19" width="8.88671875" customWidth="1"/>
    <col min="20" max="20" width="9.77734375" style="4" customWidth="1"/>
    <col min="21" max="21" width="8.88671875" customWidth="1"/>
    <col min="22" max="22" width="9.77734375" style="4" customWidth="1"/>
    <col min="23" max="23" width="8.88671875" customWidth="1"/>
    <col min="24" max="24" width="9.77734375" style="4" customWidth="1"/>
    <col min="25" max="25" width="8.88671875" customWidth="1"/>
    <col min="26" max="26" width="9.77734375" style="4" customWidth="1"/>
    <col min="28" max="28" width="15.77734375" customWidth="1"/>
    <col min="31" max="31" width="9.6640625" style="4" hidden="1" customWidth="1"/>
    <col min="32" max="33" width="9.6640625" style="4" bestFit="1" customWidth="1"/>
    <col min="34" max="35" width="9.6640625" style="4" customWidth="1"/>
    <col min="36" max="41" width="9.6640625" bestFit="1" customWidth="1"/>
    <col min="43" max="43" width="13.21875" customWidth="1"/>
  </cols>
  <sheetData>
    <row r="1" spans="1:43" x14ac:dyDescent="0.3">
      <c r="A1" s="2" t="s">
        <v>0</v>
      </c>
      <c r="B1" t="s">
        <v>24</v>
      </c>
      <c r="C1" s="4" t="s">
        <v>25</v>
      </c>
      <c r="D1" s="4" t="s">
        <v>26</v>
      </c>
      <c r="E1" s="4" t="s">
        <v>27</v>
      </c>
      <c r="F1" s="4" t="s">
        <v>28</v>
      </c>
      <c r="G1" s="4" t="s">
        <v>30</v>
      </c>
      <c r="H1" s="4" t="s">
        <v>31</v>
      </c>
      <c r="I1" s="4" t="s">
        <v>33</v>
      </c>
      <c r="J1" s="4" t="s">
        <v>34</v>
      </c>
      <c r="K1" s="4" t="s">
        <v>36</v>
      </c>
      <c r="L1" s="4" t="s">
        <v>37</v>
      </c>
      <c r="M1" s="4" t="s">
        <v>39</v>
      </c>
      <c r="N1" s="4" t="s">
        <v>40</v>
      </c>
      <c r="O1" t="s">
        <v>42</v>
      </c>
      <c r="P1" s="4" t="s">
        <v>43</v>
      </c>
      <c r="Q1" t="s">
        <v>45</v>
      </c>
      <c r="R1" s="4" t="s">
        <v>46</v>
      </c>
      <c r="S1" t="s">
        <v>48</v>
      </c>
      <c r="T1" s="4" t="s">
        <v>49</v>
      </c>
      <c r="U1" t="s">
        <v>51</v>
      </c>
      <c r="V1" s="4" t="s">
        <v>52</v>
      </c>
      <c r="W1" t="s">
        <v>54</v>
      </c>
      <c r="X1" s="4" t="s">
        <v>55</v>
      </c>
      <c r="Y1" t="s">
        <v>57</v>
      </c>
      <c r="Z1" s="4" t="s">
        <v>58</v>
      </c>
      <c r="AE1" s="4" t="s">
        <v>29</v>
      </c>
      <c r="AF1" s="4" t="s">
        <v>32</v>
      </c>
      <c r="AG1" s="4" t="s">
        <v>35</v>
      </c>
      <c r="AH1" s="4" t="s">
        <v>38</v>
      </c>
      <c r="AI1" s="4" t="s">
        <v>41</v>
      </c>
      <c r="AJ1" t="s">
        <v>44</v>
      </c>
      <c r="AK1" t="s">
        <v>47</v>
      </c>
      <c r="AL1" t="s">
        <v>50</v>
      </c>
      <c r="AM1" t="s">
        <v>53</v>
      </c>
      <c r="AN1" t="s">
        <v>56</v>
      </c>
      <c r="AO1" t="s">
        <v>59</v>
      </c>
    </row>
    <row r="3" spans="1:43" x14ac:dyDescent="0.3">
      <c r="A3" s="3" t="s">
        <v>1</v>
      </c>
      <c r="B3" s="4">
        <v>13597</v>
      </c>
      <c r="C3" s="4">
        <f>D3-B3</f>
        <v>14924</v>
      </c>
      <c r="D3" s="4">
        <v>28521</v>
      </c>
      <c r="E3" s="4">
        <v>11156</v>
      </c>
      <c r="F3" s="4">
        <f>AE3-E3</f>
        <v>12614</v>
      </c>
      <c r="G3" s="4">
        <v>11970</v>
      </c>
      <c r="H3" s="4">
        <f>AF3-G3</f>
        <v>14613</v>
      </c>
      <c r="I3" s="4">
        <v>16401</v>
      </c>
      <c r="J3" s="4">
        <f>AG3-I3</f>
        <v>18275</v>
      </c>
      <c r="K3" s="4">
        <v>17436</v>
      </c>
      <c r="L3" s="4">
        <f>AH3-K3</f>
        <v>18939</v>
      </c>
      <c r="M3" s="4">
        <v>17823</v>
      </c>
      <c r="P3" s="4">
        <f>AK3-O3</f>
        <v>0</v>
      </c>
      <c r="R3" s="4">
        <f>AM3-Q3</f>
        <v>0</v>
      </c>
      <c r="T3" s="4">
        <f>AO3-S3</f>
        <v>0</v>
      </c>
      <c r="V3" s="4">
        <f>AQ3-U3</f>
        <v>0</v>
      </c>
      <c r="X3" s="4">
        <f>AS3-W3</f>
        <v>0</v>
      </c>
      <c r="Z3" s="4">
        <f>AU3-Y3</f>
        <v>0</v>
      </c>
      <c r="AE3" s="4">
        <v>23770</v>
      </c>
      <c r="AF3" s="4">
        <v>26583</v>
      </c>
      <c r="AG3" s="4">
        <v>34676</v>
      </c>
      <c r="AH3" s="4">
        <v>36375</v>
      </c>
      <c r="AI3" s="4">
        <v>35955</v>
      </c>
    </row>
    <row r="4" spans="1:43" x14ac:dyDescent="0.3">
      <c r="A4" t="s">
        <v>2</v>
      </c>
      <c r="B4">
        <v>-2154</v>
      </c>
      <c r="C4" s="4">
        <f>D4-B4</f>
        <v>-2398</v>
      </c>
      <c r="D4" s="4">
        <v>-4552</v>
      </c>
      <c r="E4" s="4">
        <v>-1913</v>
      </c>
      <c r="F4" s="4">
        <f>AE4-E4</f>
        <v>-2142</v>
      </c>
      <c r="G4" s="4">
        <v>-1960</v>
      </c>
      <c r="H4" s="4">
        <f>AF4-G4</f>
        <v>-2682</v>
      </c>
      <c r="I4" s="4">
        <v>-2916</v>
      </c>
      <c r="J4" s="4">
        <f>AG4-I4</f>
        <v>-3041</v>
      </c>
      <c r="K4" s="4">
        <v>-2912</v>
      </c>
      <c r="L4" s="4">
        <f>AH4-K4</f>
        <v>-3101</v>
      </c>
      <c r="M4" s="4">
        <v>-2999</v>
      </c>
      <c r="P4" s="4">
        <f>AK4-O4</f>
        <v>0</v>
      </c>
      <c r="R4" s="4">
        <f>AM4-Q4</f>
        <v>0</v>
      </c>
      <c r="T4" s="4">
        <f>AO4-S4</f>
        <v>0</v>
      </c>
      <c r="V4" s="4">
        <f>AQ4-U4</f>
        <v>0</v>
      </c>
      <c r="X4" s="4">
        <f>AS4-W4</f>
        <v>0</v>
      </c>
      <c r="Z4" s="4">
        <f>AU4-Y4</f>
        <v>0</v>
      </c>
      <c r="AB4" s="3"/>
      <c r="AE4" s="4">
        <v>-4055</v>
      </c>
      <c r="AF4" s="4">
        <v>-4642</v>
      </c>
      <c r="AG4" s="4">
        <v>-5957</v>
      </c>
      <c r="AH4" s="4">
        <v>-6013</v>
      </c>
      <c r="AI4" s="4">
        <v>-6134</v>
      </c>
    </row>
    <row r="5" spans="1:43" s="3" customFormat="1" x14ac:dyDescent="0.3">
      <c r="A5" s="3" t="s">
        <v>3</v>
      </c>
      <c r="B5" s="5">
        <f>B3+B4</f>
        <v>11443</v>
      </c>
      <c r="C5" s="5">
        <f t="shared" ref="C5:M5" si="0">C3+C4</f>
        <v>12526</v>
      </c>
      <c r="D5" s="5">
        <f t="shared" si="0"/>
        <v>23969</v>
      </c>
      <c r="E5" s="5">
        <f t="shared" si="0"/>
        <v>9243</v>
      </c>
      <c r="F5" s="5">
        <f t="shared" si="0"/>
        <v>10472</v>
      </c>
      <c r="G5" s="5">
        <f t="shared" si="0"/>
        <v>10010</v>
      </c>
      <c r="H5" s="5">
        <f t="shared" si="0"/>
        <v>11931</v>
      </c>
      <c r="I5" s="5">
        <f t="shared" si="0"/>
        <v>13485</v>
      </c>
      <c r="J5" s="5">
        <f t="shared" si="0"/>
        <v>15234</v>
      </c>
      <c r="K5" s="5">
        <f t="shared" si="0"/>
        <v>14524</v>
      </c>
      <c r="L5" s="5">
        <f t="shared" si="0"/>
        <v>15838</v>
      </c>
      <c r="M5" s="5">
        <f t="shared" si="0"/>
        <v>14824</v>
      </c>
      <c r="N5" s="5">
        <f>AI5-M5</f>
        <v>14997</v>
      </c>
      <c r="O5" s="5">
        <f>O42</f>
        <v>15432.842891922115</v>
      </c>
      <c r="P5" s="5">
        <f>AJ5-O5</f>
        <v>19885.332384401878</v>
      </c>
      <c r="Q5" s="5">
        <f>Q42</f>
        <v>16386.673555131645</v>
      </c>
      <c r="R5" s="5">
        <f>AK5-Q5</f>
        <v>22330.015730208077</v>
      </c>
      <c r="S5" s="5">
        <f>S42</f>
        <v>17678.547110952884</v>
      </c>
      <c r="T5" s="5">
        <f>AL5-S5</f>
        <v>25098.108268063585</v>
      </c>
      <c r="U5" s="5">
        <f>U42</f>
        <v>19330.78179227599</v>
      </c>
      <c r="V5" s="5">
        <f>AM5-U5</f>
        <v>28255.609359966966</v>
      </c>
      <c r="W5" s="5">
        <f>W42</f>
        <v>21384.123021094667</v>
      </c>
      <c r="X5" s="5">
        <f>AN5-W5</f>
        <v>31881.428147236722</v>
      </c>
      <c r="Y5" s="5">
        <f>Y42</f>
        <v>23897.320533573071</v>
      </c>
      <c r="Z5" s="5">
        <f>AO5-Y5</f>
        <v>36070.143350001672</v>
      </c>
      <c r="AE5" s="5"/>
      <c r="AF5" s="5">
        <f>AF3+AF4</f>
        <v>21941</v>
      </c>
      <c r="AG5" s="5">
        <f t="shared" ref="AG5:AH5" si="1">AG3+AG4</f>
        <v>28719</v>
      </c>
      <c r="AH5" s="5">
        <f t="shared" si="1"/>
        <v>30362</v>
      </c>
      <c r="AI5" s="5">
        <f t="shared" ref="AI5" si="2">AI3+AI4</f>
        <v>29821</v>
      </c>
      <c r="AJ5" s="5">
        <f t="shared" ref="AJ5:AO5" si="3">AJ42</f>
        <v>35318.175276323993</v>
      </c>
      <c r="AK5" s="5">
        <f t="shared" si="3"/>
        <v>38716.689285339722</v>
      </c>
      <c r="AL5" s="5">
        <f t="shared" si="3"/>
        <v>42776.655379016469</v>
      </c>
      <c r="AM5" s="5">
        <f t="shared" si="3"/>
        <v>47586.391152242955</v>
      </c>
      <c r="AN5" s="5">
        <f t="shared" si="3"/>
        <v>53265.551168331389</v>
      </c>
      <c r="AO5" s="5">
        <f t="shared" si="3"/>
        <v>59967.463883574739</v>
      </c>
    </row>
    <row r="6" spans="1:43" s="3" customFormat="1" x14ac:dyDescent="0.3">
      <c r="B6" s="5"/>
      <c r="C6" s="5"/>
      <c r="D6" s="5"/>
      <c r="E6" s="5"/>
      <c r="F6" s="5"/>
      <c r="G6" s="5"/>
      <c r="H6" s="5"/>
      <c r="I6" s="5"/>
      <c r="J6" s="5"/>
      <c r="K6" s="15">
        <f>K5/I5-1</f>
        <v>7.7048572487949496E-2</v>
      </c>
      <c r="L6" s="15">
        <f t="shared" ref="L6:Z6" si="4">L5/J5-1</f>
        <v>3.9648155441774913E-2</v>
      </c>
      <c r="M6" s="15">
        <f t="shared" si="4"/>
        <v>2.0655466813549905E-2</v>
      </c>
      <c r="N6" s="15">
        <f t="shared" si="4"/>
        <v>-5.3100138906427619E-2</v>
      </c>
      <c r="O6" s="15">
        <f t="shared" si="4"/>
        <v>4.1071430917573926E-2</v>
      </c>
      <c r="P6" s="15">
        <f t="shared" si="4"/>
        <v>0.32595401643007782</v>
      </c>
      <c r="Q6" s="15">
        <f t="shared" si="4"/>
        <v>6.1805246764274679E-2</v>
      </c>
      <c r="R6" s="15">
        <f t="shared" si="4"/>
        <v>0.12293902352488795</v>
      </c>
      <c r="S6" s="15">
        <f t="shared" si="4"/>
        <v>7.8836839671873271E-2</v>
      </c>
      <c r="T6" s="15">
        <f t="shared" si="4"/>
        <v>0.1239628566007156</v>
      </c>
      <c r="U6" s="15">
        <f t="shared" si="4"/>
        <v>9.3459868107569122E-2</v>
      </c>
      <c r="V6" s="15">
        <f t="shared" si="4"/>
        <v>0.12580633799883567</v>
      </c>
      <c r="W6" s="15">
        <f t="shared" si="4"/>
        <v>0.1062213236320908</v>
      </c>
      <c r="X6" s="15">
        <f t="shared" si="4"/>
        <v>0.12832208787565125</v>
      </c>
      <c r="Y6" s="15">
        <f t="shared" si="4"/>
        <v>0.11752633063320972</v>
      </c>
      <c r="Z6" s="15">
        <f t="shared" si="4"/>
        <v>0.13138417712720951</v>
      </c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3" x14ac:dyDescent="0.3">
      <c r="A7" t="s">
        <v>4</v>
      </c>
      <c r="B7">
        <v>78</v>
      </c>
      <c r="C7" s="4">
        <f t="shared" ref="C7:C13" si="5">D7-B7</f>
        <v>17</v>
      </c>
      <c r="D7" s="4">
        <v>95</v>
      </c>
      <c r="E7" s="4">
        <v>5</v>
      </c>
      <c r="F7" s="4">
        <f>AE7-E7</f>
        <v>51</v>
      </c>
      <c r="G7" s="4">
        <v>194</v>
      </c>
      <c r="H7" s="4">
        <f>AF7-G7</f>
        <v>1327</v>
      </c>
      <c r="I7" s="4">
        <v>31</v>
      </c>
      <c r="J7" s="4">
        <f>AG7-I7</f>
        <v>116</v>
      </c>
      <c r="K7" s="4">
        <v>145</v>
      </c>
      <c r="L7" s="4">
        <f>AH7-K7</f>
        <v>248</v>
      </c>
      <c r="M7" s="4">
        <v>26</v>
      </c>
      <c r="N7" s="4">
        <f>N5*N8</f>
        <v>14.997</v>
      </c>
      <c r="O7" s="34">
        <f>O8*O5</f>
        <v>308.65685783844231</v>
      </c>
      <c r="P7" s="4">
        <f>AJ7-O7</f>
        <v>-213.90973258758152</v>
      </c>
      <c r="Q7" s="34">
        <f>Q8*Q5</f>
        <v>327.7334711026329</v>
      </c>
      <c r="R7" s="4">
        <f>AK7-Q7</f>
        <v>-223.86924311473251</v>
      </c>
      <c r="S7" s="34">
        <f>S8*S5</f>
        <v>353.57094221905771</v>
      </c>
      <c r="T7" s="4">
        <f>AL7-S7</f>
        <v>-238.81515165799948</v>
      </c>
      <c r="U7" s="34">
        <f>U8*U5</f>
        <v>386.61563584551982</v>
      </c>
      <c r="V7" s="4">
        <f>AM7-U7</f>
        <v>-258.95689562287686</v>
      </c>
      <c r="W7" s="34">
        <f>W8*W5</f>
        <v>427.68246042189332</v>
      </c>
      <c r="X7" s="4">
        <f>AN7-W7</f>
        <v>-284.788389348941</v>
      </c>
      <c r="Y7" s="34">
        <f>Y8*Y5</f>
        <v>477.94641067146142</v>
      </c>
      <c r="Z7" s="4">
        <f>AO7-Y7</f>
        <v>-317.0732974061122</v>
      </c>
      <c r="AB7" s="3"/>
      <c r="AE7" s="4">
        <v>56</v>
      </c>
      <c r="AF7" s="4">
        <v>1521</v>
      </c>
      <c r="AG7" s="4">
        <v>147</v>
      </c>
      <c r="AH7" s="4">
        <v>393</v>
      </c>
      <c r="AI7" s="4">
        <v>80</v>
      </c>
      <c r="AJ7" s="34">
        <f t="shared" ref="AJ7:AO7" si="6">AJ5*AJ8</f>
        <v>94.747125250860776</v>
      </c>
      <c r="AK7" s="34">
        <f t="shared" si="6"/>
        <v>103.86422798790039</v>
      </c>
      <c r="AL7" s="34">
        <f t="shared" si="6"/>
        <v>114.75579056105823</v>
      </c>
      <c r="AM7" s="34">
        <f t="shared" si="6"/>
        <v>127.65874022264298</v>
      </c>
      <c r="AN7" s="34">
        <f t="shared" si="6"/>
        <v>142.89407107295233</v>
      </c>
      <c r="AO7" s="34">
        <f t="shared" si="6"/>
        <v>160.87311326534922</v>
      </c>
      <c r="AQ7" s="3"/>
    </row>
    <row r="8" spans="1:43" x14ac:dyDescent="0.3">
      <c r="I8" s="15">
        <f t="shared" ref="I8:M8" si="7">I7/I5</f>
        <v>2.2988505747126436E-3</v>
      </c>
      <c r="J8" s="15">
        <f t="shared" si="7"/>
        <v>7.6145464093475123E-3</v>
      </c>
      <c r="K8" s="15">
        <f t="shared" si="7"/>
        <v>9.9834756265491601E-3</v>
      </c>
      <c r="L8" s="15">
        <f t="shared" si="7"/>
        <v>1.5658542745296124E-2</v>
      </c>
      <c r="M8" s="15">
        <f t="shared" si="7"/>
        <v>1.7539125742039934E-3</v>
      </c>
      <c r="N8" s="16">
        <v>1E-3</v>
      </c>
      <c r="O8" s="16">
        <v>0.02</v>
      </c>
      <c r="P8" s="15">
        <f>P7/P5</f>
        <v>-1.0757161532556179E-2</v>
      </c>
      <c r="Q8" s="16">
        <f>O8</f>
        <v>0.02</v>
      </c>
      <c r="R8" s="15">
        <f>R7/R5</f>
        <v>-1.0025485240114805E-2</v>
      </c>
      <c r="S8" s="16">
        <f>Q8</f>
        <v>0.02</v>
      </c>
      <c r="T8" s="15">
        <f>T7/T5</f>
        <v>-9.5152650194709268E-3</v>
      </c>
      <c r="U8" s="16">
        <f>S8</f>
        <v>0.02</v>
      </c>
      <c r="V8" s="15">
        <f>V7/V5</f>
        <v>-9.1647959994015007E-3</v>
      </c>
      <c r="W8" s="16">
        <f>U8</f>
        <v>0.02</v>
      </c>
      <c r="X8" s="15">
        <f>X7/X5</f>
        <v>-8.9327362636866265E-3</v>
      </c>
      <c r="Y8" s="16">
        <f>W8</f>
        <v>0.02</v>
      </c>
      <c r="Z8" s="15">
        <f>Z7/Z5</f>
        <v>-8.7904640225417215E-3</v>
      </c>
      <c r="AB8" s="3"/>
      <c r="AF8" s="15">
        <f>AF7/AF5</f>
        <v>6.9322273369490914E-2</v>
      </c>
      <c r="AG8" s="15">
        <f t="shared" ref="AG8:AH8" si="8">AG7/AG5</f>
        <v>5.1185626240467979E-3</v>
      </c>
      <c r="AH8" s="15">
        <f t="shared" si="8"/>
        <v>1.2943811343126277E-2</v>
      </c>
      <c r="AI8" s="15">
        <f t="shared" ref="AI8" si="9">AI7/AI5</f>
        <v>2.6826732839274336E-3</v>
      </c>
      <c r="AJ8" s="16">
        <f t="shared" ref="AJ8" si="10">AI8</f>
        <v>2.6826732839274336E-3</v>
      </c>
      <c r="AK8" s="16">
        <f t="shared" ref="AK8" si="11">AJ8</f>
        <v>2.6826732839274336E-3</v>
      </c>
      <c r="AL8" s="16">
        <f t="shared" ref="AL8" si="12">AK8</f>
        <v>2.6826732839274336E-3</v>
      </c>
      <c r="AM8" s="16">
        <f t="shared" ref="AM8" si="13">AL8</f>
        <v>2.6826732839274336E-3</v>
      </c>
      <c r="AN8" s="16">
        <f t="shared" ref="AN8" si="14">AM8</f>
        <v>2.6826732839274336E-3</v>
      </c>
      <c r="AO8" s="16">
        <f t="shared" ref="AO8" si="15">AN8</f>
        <v>2.6826732839274336E-3</v>
      </c>
      <c r="AQ8" s="3"/>
    </row>
    <row r="9" spans="1:43" x14ac:dyDescent="0.3">
      <c r="A9" t="s">
        <v>5</v>
      </c>
      <c r="B9" s="4">
        <v>-7064</v>
      </c>
      <c r="C9" s="4">
        <f t="shared" si="5"/>
        <v>-7528</v>
      </c>
      <c r="D9" s="4">
        <v>-14592</v>
      </c>
      <c r="E9" s="4">
        <v>-5967</v>
      </c>
      <c r="F9" s="4">
        <f>AE9-E9</f>
        <v>-6483</v>
      </c>
      <c r="G9" s="4">
        <v>-5972</v>
      </c>
      <c r="H9" s="4">
        <f>AF9-G9</f>
        <v>-7563</v>
      </c>
      <c r="I9" s="4">
        <v>-8580</v>
      </c>
      <c r="J9" s="4">
        <f>AG9-I9</f>
        <v>-10038</v>
      </c>
      <c r="K9" s="4">
        <v>-9704</v>
      </c>
      <c r="L9" s="4">
        <f>AH9-K9</f>
        <v>-10373</v>
      </c>
      <c r="M9" s="4">
        <v>-9674</v>
      </c>
      <c r="N9" s="4">
        <f>-N10*N5</f>
        <v>-10047.99</v>
      </c>
      <c r="O9">
        <f>-O10*O5</f>
        <v>-10071.32502269661</v>
      </c>
      <c r="P9" s="4">
        <f>AJ9-O9</f>
        <v>-12801.815351926818</v>
      </c>
      <c r="Q9" s="4">
        <f>-Q10*Q5</f>
        <v>-10693.785750967589</v>
      </c>
      <c r="R9" s="4">
        <f>AK9-Q9</f>
        <v>-14380.337188161415</v>
      </c>
      <c r="S9" s="4">
        <f>-S10*S5</f>
        <v>-11536.850023701983</v>
      </c>
      <c r="T9" s="4">
        <f>AL9-S9</f>
        <v>-16166.632265119486</v>
      </c>
      <c r="U9" s="4">
        <f>-U10*U5</f>
        <v>-12615.082505293978</v>
      </c>
      <c r="V9" s="4">
        <f>AM9-U9</f>
        <v>-18203.333118704824</v>
      </c>
      <c r="W9" s="4">
        <f>-W10*W5</f>
        <v>-13955.073266734338</v>
      </c>
      <c r="X9" s="4">
        <f>AN9-W9</f>
        <v>-20541.341666164764</v>
      </c>
      <c r="Y9" s="4">
        <f>-Y10*Y5</f>
        <v>-15595.161821491223</v>
      </c>
      <c r="Z9" s="4">
        <f>AO9-Y9</f>
        <v>-23241.618634679893</v>
      </c>
      <c r="AB9" s="3"/>
      <c r="AE9" s="4">
        <v>-12450</v>
      </c>
      <c r="AF9" s="4">
        <v>-13535</v>
      </c>
      <c r="AG9" s="4">
        <v>-18618</v>
      </c>
      <c r="AH9" s="4">
        <v>-20077</v>
      </c>
      <c r="AI9" s="4">
        <v>-19313</v>
      </c>
      <c r="AJ9" s="4">
        <f>-AJ10*AJ5</f>
        <v>-22873.140374623428</v>
      </c>
      <c r="AK9" s="4">
        <f t="shared" ref="AK9:AO9" si="16">-AK10*AK5</f>
        <v>-25074.122939129003</v>
      </c>
      <c r="AL9" s="4">
        <f t="shared" si="16"/>
        <v>-27703.482288821469</v>
      </c>
      <c r="AM9" s="4">
        <f t="shared" si="16"/>
        <v>-30818.415623998801</v>
      </c>
      <c r="AN9" s="4">
        <f t="shared" si="16"/>
        <v>-34496.414932899104</v>
      </c>
      <c r="AO9" s="4">
        <f t="shared" si="16"/>
        <v>-38836.780456171116</v>
      </c>
      <c r="AP9" s="4"/>
      <c r="AQ9" s="3"/>
    </row>
    <row r="10" spans="1:43" x14ac:dyDescent="0.3">
      <c r="B10" s="15">
        <f t="shared" ref="B10:M10" si="17">-B9/B5</f>
        <v>0.61732063270121473</v>
      </c>
      <c r="C10" s="15">
        <f t="shared" si="17"/>
        <v>0.60098994092288038</v>
      </c>
      <c r="D10" s="15">
        <f t="shared" si="17"/>
        <v>0.60878634903416917</v>
      </c>
      <c r="E10" s="15">
        <f t="shared" si="17"/>
        <v>0.64556962025316456</v>
      </c>
      <c r="F10" s="15">
        <f t="shared" si="17"/>
        <v>0.61907944996180286</v>
      </c>
      <c r="G10" s="15">
        <f t="shared" si="17"/>
        <v>0.59660339660339656</v>
      </c>
      <c r="H10" s="15">
        <f t="shared" si="17"/>
        <v>0.63389489564998747</v>
      </c>
      <c r="I10" s="15">
        <f t="shared" si="17"/>
        <v>0.63626251390433819</v>
      </c>
      <c r="J10" s="15">
        <f t="shared" si="17"/>
        <v>0.65892083497439935</v>
      </c>
      <c r="K10" s="15">
        <f t="shared" si="17"/>
        <v>0.66813549986229692</v>
      </c>
      <c r="L10" s="15">
        <f t="shared" si="17"/>
        <v>0.65494380603611568</v>
      </c>
      <c r="M10" s="15">
        <f t="shared" si="17"/>
        <v>0.65259039395574747</v>
      </c>
      <c r="N10" s="16">
        <v>0.67</v>
      </c>
      <c r="O10" s="16">
        <f>M10</f>
        <v>0.65259039395574747</v>
      </c>
      <c r="P10" s="15">
        <f t="shared" ref="P10" si="18">-P9/P5</f>
        <v>0.64378181387446187</v>
      </c>
      <c r="Q10" s="16">
        <f>O10</f>
        <v>0.65259039395574747</v>
      </c>
      <c r="R10" s="15">
        <f t="shared" ref="R10" si="19">-R9/R5</f>
        <v>0.64399135951828612</v>
      </c>
      <c r="S10" s="16">
        <f>Q10</f>
        <v>0.65259039395574747</v>
      </c>
      <c r="T10" s="15">
        <f t="shared" ref="T10" si="20">-T9/T5</f>
        <v>0.64413748209425525</v>
      </c>
      <c r="U10" s="16">
        <f>S10</f>
        <v>0.65259039395574747</v>
      </c>
      <c r="V10" s="15">
        <f t="shared" ref="V10" si="21">-V9/V5</f>
        <v>0.64423785333384531</v>
      </c>
      <c r="W10" s="16">
        <f>U10</f>
        <v>0.65259039395574747</v>
      </c>
      <c r="X10" s="15">
        <f t="shared" ref="X10" si="22">-X9/X5</f>
        <v>0.64430431319762427</v>
      </c>
      <c r="Y10" s="16">
        <f>W10</f>
        <v>0.65259039395574747</v>
      </c>
      <c r="Z10" s="15">
        <f t="shared" ref="Z10" si="23">-Z9/Z5</f>
        <v>0.64434505871401859</v>
      </c>
      <c r="AE10" s="15" t="e">
        <f>-AE9/AE5</f>
        <v>#DIV/0!</v>
      </c>
      <c r="AF10" s="15">
        <f>-AF9/AF5</f>
        <v>0.61688163711772481</v>
      </c>
      <c r="AG10" s="15">
        <f>-AG9/AG5</f>
        <v>0.64828162540478429</v>
      </c>
      <c r="AH10" s="15">
        <f>-AH9/AH5</f>
        <v>0.66125419932810747</v>
      </c>
      <c r="AI10" s="15">
        <f>-AI9/AI5</f>
        <v>0.64763086415613158</v>
      </c>
      <c r="AJ10" s="16">
        <f t="shared" ref="AJ10:AO10" si="24">AI10</f>
        <v>0.64763086415613158</v>
      </c>
      <c r="AK10" s="16">
        <f t="shared" si="24"/>
        <v>0.64763086415613158</v>
      </c>
      <c r="AL10" s="16">
        <f t="shared" si="24"/>
        <v>0.64763086415613158</v>
      </c>
      <c r="AM10" s="16">
        <f t="shared" si="24"/>
        <v>0.64763086415613158</v>
      </c>
      <c r="AN10" s="16">
        <f t="shared" si="24"/>
        <v>0.64763086415613158</v>
      </c>
      <c r="AO10" s="16">
        <f t="shared" si="24"/>
        <v>0.64763086415613158</v>
      </c>
    </row>
    <row r="11" spans="1:43" x14ac:dyDescent="0.3">
      <c r="A11" t="s">
        <v>6</v>
      </c>
      <c r="B11">
        <v>-1898</v>
      </c>
      <c r="C11" s="4">
        <f t="shared" si="5"/>
        <v>-1982</v>
      </c>
      <c r="D11" s="4">
        <v>-3880</v>
      </c>
      <c r="E11" s="4">
        <v>-1716</v>
      </c>
      <c r="F11" s="4">
        <f>AE11-E11</f>
        <v>-1953</v>
      </c>
      <c r="G11" s="4">
        <v>-1645</v>
      </c>
      <c r="H11" s="4">
        <f>AF11-G11</f>
        <v>-1840</v>
      </c>
      <c r="I11" s="4">
        <v>-1934</v>
      </c>
      <c r="J11" s="4">
        <f>AG11-I11</f>
        <v>-2145</v>
      </c>
      <c r="K11" s="4">
        <v>-2110</v>
      </c>
      <c r="L11" s="4">
        <f>AH11-K11</f>
        <v>-2243</v>
      </c>
      <c r="M11" s="4">
        <v>-2267</v>
      </c>
      <c r="N11" s="4">
        <f>-N12*N5</f>
        <v>-2399.52</v>
      </c>
      <c r="O11" s="4">
        <f>-O12*O5</f>
        <v>-2360.1089338901402</v>
      </c>
      <c r="P11" s="4">
        <f>AJ11-O11</f>
        <v>-2929.1493332391638</v>
      </c>
      <c r="Q11" s="4">
        <f>-Q12*Q5</f>
        <v>-2505.9760489397895</v>
      </c>
      <c r="R11" s="4">
        <f>AK11-Q11</f>
        <v>-3292.2444784847503</v>
      </c>
      <c r="S11" s="4">
        <f>-S12*S5</f>
        <v>-2703.5392809316104</v>
      </c>
      <c r="T11" s="4">
        <f>AL11-S11</f>
        <v>-3702.7027271394659</v>
      </c>
      <c r="U11" s="4">
        <f>-U12*U5</f>
        <v>-2956.2117055511112</v>
      </c>
      <c r="V11" s="4">
        <f>AM11-U11</f>
        <v>-4170.3374673779344</v>
      </c>
      <c r="W11" s="4">
        <f>-W12*W5</f>
        <v>-3270.2244258514311</v>
      </c>
      <c r="X11" s="4">
        <f>AN11-W11</f>
        <v>-4706.8370917961329</v>
      </c>
      <c r="Y11" s="4">
        <f>-Y12*Y5</f>
        <v>-3654.5619029688446</v>
      </c>
      <c r="Z11" s="4">
        <f>AO11-Y11</f>
        <v>-5326.1796450692764</v>
      </c>
      <c r="AB11" s="3"/>
      <c r="AE11" s="4">
        <v>-3669</v>
      </c>
      <c r="AF11" s="4">
        <v>-3485</v>
      </c>
      <c r="AG11" s="4">
        <v>-4079</v>
      </c>
      <c r="AH11" s="4">
        <v>-4353</v>
      </c>
      <c r="AI11" s="4">
        <v>-4466</v>
      </c>
      <c r="AJ11" s="4">
        <f t="shared" ref="AJ11:AO11" si="25">-AJ12*AJ5</f>
        <v>-5289.2582671293039</v>
      </c>
      <c r="AK11" s="4">
        <f t="shared" si="25"/>
        <v>-5798.2205274245398</v>
      </c>
      <c r="AL11" s="4">
        <f t="shared" si="25"/>
        <v>-6406.2420080710763</v>
      </c>
      <c r="AM11" s="4">
        <f t="shared" si="25"/>
        <v>-7126.5491729290452</v>
      </c>
      <c r="AN11" s="4">
        <f t="shared" si="25"/>
        <v>-7977.061517647564</v>
      </c>
      <c r="AO11" s="4">
        <f t="shared" si="25"/>
        <v>-8980.7415480381205</v>
      </c>
      <c r="AQ11" s="3"/>
    </row>
    <row r="12" spans="1:43" x14ac:dyDescent="0.3">
      <c r="B12" s="15">
        <f>-B11/B5</f>
        <v>0.16586559468670803</v>
      </c>
      <c r="C12" s="15">
        <f t="shared" ref="C12:M12" si="26">-C11/C5</f>
        <v>0.15823087977007824</v>
      </c>
      <c r="D12" s="15">
        <f t="shared" si="26"/>
        <v>0.16187575618507238</v>
      </c>
      <c r="E12" s="15">
        <f t="shared" si="26"/>
        <v>0.18565400843881857</v>
      </c>
      <c r="F12" s="15">
        <f t="shared" si="26"/>
        <v>0.18649732620320855</v>
      </c>
      <c r="G12" s="15">
        <f t="shared" si="26"/>
        <v>0.16433566433566432</v>
      </c>
      <c r="H12" s="15">
        <f t="shared" si="26"/>
        <v>0.15422009890201996</v>
      </c>
      <c r="I12" s="15">
        <f t="shared" si="26"/>
        <v>0.14341861327400815</v>
      </c>
      <c r="J12" s="15">
        <f t="shared" si="26"/>
        <v>0.14080346593146909</v>
      </c>
      <c r="K12" s="15">
        <f t="shared" si="26"/>
        <v>0.14527678325530158</v>
      </c>
      <c r="L12" s="15">
        <f t="shared" si="26"/>
        <v>0.14162141684556132</v>
      </c>
      <c r="M12" s="15">
        <f t="shared" si="26"/>
        <v>0.15292768483540206</v>
      </c>
      <c r="N12" s="16">
        <v>0.16</v>
      </c>
      <c r="O12" s="16">
        <f>M12</f>
        <v>0.15292768483540206</v>
      </c>
      <c r="P12" s="15">
        <f t="shared" ref="P12" si="27">-P11/P5</f>
        <v>0.14730200514711025</v>
      </c>
      <c r="Q12" s="16">
        <f>O12</f>
        <v>0.15292768483540206</v>
      </c>
      <c r="R12" s="15">
        <f t="shared" ref="R12" si="28">-R11/R5</f>
        <v>0.1474358333761045</v>
      </c>
      <c r="S12" s="16">
        <f>Q12</f>
        <v>0.15292768483540206</v>
      </c>
      <c r="T12" s="15">
        <f t="shared" ref="T12" si="29">-T11/T5</f>
        <v>0.14752915588666171</v>
      </c>
      <c r="U12" s="16">
        <f>S12</f>
        <v>0.15292768483540206</v>
      </c>
      <c r="V12" s="15">
        <f t="shared" ref="V12" si="30">-V11/V5</f>
        <v>0.14759325889062369</v>
      </c>
      <c r="W12" s="16">
        <f>U12</f>
        <v>0.15292768483540206</v>
      </c>
      <c r="X12" s="15">
        <f t="shared" ref="X12" si="31">-X11/X5</f>
        <v>0.14763570408636451</v>
      </c>
      <c r="Y12" s="16">
        <f>W12</f>
        <v>0.15292768483540206</v>
      </c>
      <c r="Z12" s="15">
        <f t="shared" ref="Z12" si="32">-Z11/Z5</f>
        <v>0.14766172658055238</v>
      </c>
      <c r="AE12" s="15" t="e">
        <f>-AE11/AE5</f>
        <v>#DIV/0!</v>
      </c>
      <c r="AF12" s="15">
        <f>-AF11/AF5</f>
        <v>0.15883505765461919</v>
      </c>
      <c r="AG12" s="15">
        <f>-AG11/AG5</f>
        <v>0.14203140777882239</v>
      </c>
      <c r="AH12" s="15">
        <f>-AH11/AH5</f>
        <v>0.1433700019761544</v>
      </c>
      <c r="AI12" s="15">
        <f>-AI11/AI5</f>
        <v>0.14976023607524899</v>
      </c>
      <c r="AJ12" s="16">
        <f t="shared" ref="AJ12:AO12" si="33">AI12</f>
        <v>0.14976023607524899</v>
      </c>
      <c r="AK12" s="16">
        <f t="shared" si="33"/>
        <v>0.14976023607524899</v>
      </c>
      <c r="AL12" s="16">
        <f t="shared" si="33"/>
        <v>0.14976023607524899</v>
      </c>
      <c r="AM12" s="16">
        <f t="shared" si="33"/>
        <v>0.14976023607524899</v>
      </c>
      <c r="AN12" s="16">
        <f t="shared" si="33"/>
        <v>0.14976023607524899</v>
      </c>
      <c r="AO12" s="16">
        <f t="shared" si="33"/>
        <v>0.14976023607524899</v>
      </c>
    </row>
    <row r="13" spans="1:43" x14ac:dyDescent="0.3">
      <c r="A13" t="s">
        <v>7</v>
      </c>
      <c r="B13" s="4">
        <v>-911</v>
      </c>
      <c r="C13" s="4">
        <f t="shared" si="5"/>
        <v>-1048</v>
      </c>
      <c r="D13" s="4">
        <v>-1959</v>
      </c>
      <c r="E13" s="4">
        <v>-1480</v>
      </c>
      <c r="F13" s="4">
        <f>AE13-E13</f>
        <v>-1394</v>
      </c>
      <c r="G13" s="4">
        <v>-870</v>
      </c>
      <c r="H13" s="4">
        <f>AF13-G13</f>
        <v>-1089</v>
      </c>
      <c r="I13" s="4">
        <v>-932</v>
      </c>
      <c r="J13" s="4">
        <f>AG13-I13</f>
        <v>-954</v>
      </c>
      <c r="K13" s="4">
        <v>-1244</v>
      </c>
      <c r="L13" s="4">
        <f>AH13-K13</f>
        <v>-1852</v>
      </c>
      <c r="M13" s="4">
        <v>-1367</v>
      </c>
      <c r="N13" s="4">
        <f>AI13-M13</f>
        <v>-1238</v>
      </c>
      <c r="O13" s="4">
        <f>-('Balance Sheet'!O58+'Balance Sheet'!O68)</f>
        <v>-1692.54</v>
      </c>
      <c r="P13" s="4">
        <f>AJ13-O13</f>
        <v>-1425.7200000000003</v>
      </c>
      <c r="Q13" s="4">
        <f>-('Balance Sheet'!Q58+'Balance Sheet'!Q68)</f>
        <v>-1766.7081680802803</v>
      </c>
      <c r="R13" s="4">
        <f>AK13-Q13</f>
        <v>-1514.0154381908105</v>
      </c>
      <c r="S13" s="4">
        <f>-('Balance Sheet'!S58+'Balance Sheet'!S68)</f>
        <v>-1848.0132155794938</v>
      </c>
      <c r="T13" s="4">
        <f>AL13-S13</f>
        <v>-1610.8071614041589</v>
      </c>
      <c r="U13" s="4">
        <f>-('Balance Sheet'!U58+'Balance Sheet'!U68)</f>
        <v>-1937.8441918754284</v>
      </c>
      <c r="V13" s="4">
        <f>AM13-U13</f>
        <v>-1717.7487998517004</v>
      </c>
      <c r="W13" s="4">
        <f>-('Balance Sheet'!W58+'Balance Sheet'!W68)</f>
        <v>-2037.7756132951386</v>
      </c>
      <c r="X13" s="4">
        <f>AN13-W13</f>
        <v>-1836.7147777323084</v>
      </c>
      <c r="Y13" s="4">
        <f>-('Balance Sheet'!Y58+'Balance Sheet'!Y68)</f>
        <v>-2149.6332707486345</v>
      </c>
      <c r="Z13" s="4">
        <f>AO13-Y13</f>
        <v>-1969.8786556531368</v>
      </c>
      <c r="AB13" s="3"/>
      <c r="AE13" s="4">
        <v>-2874</v>
      </c>
      <c r="AF13" s="4">
        <v>-1959</v>
      </c>
      <c r="AG13" s="4">
        <v>-1886</v>
      </c>
      <c r="AH13" s="4">
        <v>-3096</v>
      </c>
      <c r="AI13" s="4">
        <v>-2605</v>
      </c>
      <c r="AJ13" s="4">
        <f>-'Balance Sheet'!AJ58-'Balance Sheet'!AJ68</f>
        <v>-3118.26</v>
      </c>
      <c r="AK13" s="4">
        <f>-'Balance Sheet'!AK58-'Balance Sheet'!AK68</f>
        <v>-3280.7236062710908</v>
      </c>
      <c r="AL13" s="4">
        <f>-'Balance Sheet'!AL58-'Balance Sheet'!AL68</f>
        <v>-3458.8203769836527</v>
      </c>
      <c r="AM13" s="4">
        <f>-'Balance Sheet'!AM58-'Balance Sheet'!AM68</f>
        <v>-3655.5929917271287</v>
      </c>
      <c r="AN13" s="4">
        <f>-'Balance Sheet'!AN58-'Balance Sheet'!AN68</f>
        <v>-3874.490391027447</v>
      </c>
      <c r="AO13" s="4">
        <f>-'Balance Sheet'!AO58-'Balance Sheet'!AO68</f>
        <v>-4119.5119264017712</v>
      </c>
    </row>
    <row r="14" spans="1:43" x14ac:dyDescent="0.3">
      <c r="A14" s="3" t="s">
        <v>125</v>
      </c>
      <c r="B14" s="5">
        <f t="shared" ref="B14:O14" si="34">B5+B7+B9+B11+B13</f>
        <v>1648</v>
      </c>
      <c r="C14" s="5">
        <f t="shared" si="34"/>
        <v>1985</v>
      </c>
      <c r="D14" s="5">
        <f t="shared" si="34"/>
        <v>3633</v>
      </c>
      <c r="E14" s="5">
        <f t="shared" si="34"/>
        <v>85</v>
      </c>
      <c r="F14" s="5">
        <f t="shared" si="34"/>
        <v>693</v>
      </c>
      <c r="G14" s="5">
        <f t="shared" si="34"/>
        <v>1717</v>
      </c>
      <c r="H14" s="5">
        <f t="shared" si="34"/>
        <v>2766</v>
      </c>
      <c r="I14" s="5">
        <f t="shared" si="34"/>
        <v>2070</v>
      </c>
      <c r="J14" s="5">
        <f t="shared" si="34"/>
        <v>2213</v>
      </c>
      <c r="K14" s="5">
        <f t="shared" si="34"/>
        <v>1611</v>
      </c>
      <c r="L14" s="5">
        <f t="shared" si="34"/>
        <v>1618</v>
      </c>
      <c r="M14" s="5">
        <f t="shared" si="34"/>
        <v>1542</v>
      </c>
      <c r="N14" s="5">
        <f t="shared" si="34"/>
        <v>1326.4869999999996</v>
      </c>
      <c r="O14" s="5">
        <f t="shared" si="34"/>
        <v>1617.5257931738079</v>
      </c>
      <c r="P14" s="5">
        <f t="shared" ref="P14" si="35">P5+P7+P9+P11+P13</f>
        <v>2514.7379666483148</v>
      </c>
      <c r="Q14" s="5">
        <f>Q5+Q7+Q9+Q11+Q13</f>
        <v>1747.9370582466208</v>
      </c>
      <c r="R14" s="5">
        <f t="shared" ref="R14" si="36">R5+R7+R9+R11+R13</f>
        <v>2919.5493822563694</v>
      </c>
      <c r="S14" s="5">
        <f>S5+S7+S9+S11+S13</f>
        <v>1943.7155329588561</v>
      </c>
      <c r="T14" s="5">
        <f t="shared" ref="T14" si="37">T5+T7+T9+T11+T13</f>
        <v>3379.1509627424739</v>
      </c>
      <c r="U14" s="5">
        <f>U5+U7+U9+U11+U13</f>
        <v>2208.2590254009906</v>
      </c>
      <c r="V14" s="5">
        <f t="shared" ref="V14" si="38">V5+V7+V9+V11+V13</f>
        <v>3905.2330784096307</v>
      </c>
      <c r="W14" s="5">
        <f>W5+W7+W9+W11+W13</f>
        <v>2548.7321756356519</v>
      </c>
      <c r="X14" s="5">
        <f t="shared" ref="X14" si="39">X5+X7+X9+X11+X13</f>
        <v>4511.7462221945752</v>
      </c>
      <c r="Y14" s="5">
        <f>Y5+Y7+Y9+Y11+Y13</f>
        <v>2975.9099490358312</v>
      </c>
      <c r="Z14" s="5">
        <f t="shared" ref="Z14" si="40">Z5+Z7+Z9+Z11+Z13</f>
        <v>5215.3931171932554</v>
      </c>
      <c r="AB14" s="3"/>
      <c r="AE14" s="5">
        <f t="shared" ref="AE14:AO14" si="41">AE5+AE7+AE9+AE11+AE13</f>
        <v>-18937</v>
      </c>
      <c r="AF14" s="5">
        <f t="shared" si="41"/>
        <v>4483</v>
      </c>
      <c r="AG14" s="5">
        <f t="shared" si="41"/>
        <v>4283</v>
      </c>
      <c r="AH14" s="5">
        <f t="shared" si="41"/>
        <v>3229</v>
      </c>
      <c r="AI14" s="5">
        <f t="shared" ref="AI14" si="42">AI5+AI7+AI9+AI11+AI13</f>
        <v>3517</v>
      </c>
      <c r="AJ14" s="5">
        <f t="shared" si="41"/>
        <v>4132.2637598221227</v>
      </c>
      <c r="AK14" s="5">
        <f t="shared" si="41"/>
        <v>4667.4864405029866</v>
      </c>
      <c r="AL14" s="5">
        <f t="shared" si="41"/>
        <v>5322.8664957013298</v>
      </c>
      <c r="AM14" s="5">
        <f t="shared" si="41"/>
        <v>6113.4921038106249</v>
      </c>
      <c r="AN14" s="5">
        <f t="shared" si="41"/>
        <v>7060.4783978302248</v>
      </c>
      <c r="AO14" s="5">
        <f t="shared" si="41"/>
        <v>8191.3030662290794</v>
      </c>
      <c r="AQ14" s="3"/>
    </row>
    <row r="15" spans="1:43" x14ac:dyDescent="0.3">
      <c r="A15" s="3" t="s">
        <v>126</v>
      </c>
      <c r="B15" s="5">
        <f>B14-B13</f>
        <v>2559</v>
      </c>
      <c r="C15" s="5">
        <f t="shared" ref="C15:Y15" si="43">C14-C13</f>
        <v>3033</v>
      </c>
      <c r="D15" s="5">
        <f t="shared" si="43"/>
        <v>5592</v>
      </c>
      <c r="E15" s="5">
        <f t="shared" si="43"/>
        <v>1565</v>
      </c>
      <c r="F15" s="5">
        <f t="shared" si="43"/>
        <v>2087</v>
      </c>
      <c r="G15" s="5">
        <f t="shared" si="43"/>
        <v>2587</v>
      </c>
      <c r="H15" s="5">
        <f t="shared" si="43"/>
        <v>3855</v>
      </c>
      <c r="I15" s="5">
        <f t="shared" si="43"/>
        <v>3002</v>
      </c>
      <c r="J15" s="5">
        <f t="shared" si="43"/>
        <v>3167</v>
      </c>
      <c r="K15" s="5">
        <f t="shared" si="43"/>
        <v>2855</v>
      </c>
      <c r="L15" s="5">
        <f t="shared" si="43"/>
        <v>3470</v>
      </c>
      <c r="M15" s="5">
        <f t="shared" si="43"/>
        <v>2909</v>
      </c>
      <c r="N15" s="5">
        <f t="shared" si="43"/>
        <v>2564.4869999999996</v>
      </c>
      <c r="O15" s="5">
        <f t="shared" si="43"/>
        <v>3310.0657931738078</v>
      </c>
      <c r="P15" s="5">
        <f t="shared" ref="P15" si="44">P14-P13</f>
        <v>3940.4579666483151</v>
      </c>
      <c r="Q15" s="5">
        <f t="shared" si="43"/>
        <v>3514.6452263269011</v>
      </c>
      <c r="R15" s="5">
        <f t="shared" ref="R15" si="45">R14-R13</f>
        <v>4433.56482044718</v>
      </c>
      <c r="S15" s="5">
        <f t="shared" si="43"/>
        <v>3791.7287485383499</v>
      </c>
      <c r="T15" s="5">
        <f t="shared" ref="T15" si="46">T14-T13</f>
        <v>4989.9581241466331</v>
      </c>
      <c r="U15" s="5">
        <f t="shared" si="43"/>
        <v>4146.1032172764189</v>
      </c>
      <c r="V15" s="5">
        <f t="shared" ref="V15" si="47">V14-V13</f>
        <v>5622.9818782613311</v>
      </c>
      <c r="W15" s="5">
        <f t="shared" si="43"/>
        <v>4586.5077889307904</v>
      </c>
      <c r="X15" s="5">
        <f t="shared" ref="X15" si="48">X14-X13</f>
        <v>6348.4609999268832</v>
      </c>
      <c r="Y15" s="5">
        <f t="shared" si="43"/>
        <v>5125.5432197844657</v>
      </c>
      <c r="Z15" s="5">
        <f t="shared" ref="Z15" si="49">Z14-Z13</f>
        <v>7185.2717728463922</v>
      </c>
      <c r="AB15" s="3"/>
      <c r="AE15" s="5">
        <f t="shared" ref="AE15:AO15" si="50">AE14-AE13</f>
        <v>-16063</v>
      </c>
      <c r="AF15" s="5">
        <f t="shared" si="50"/>
        <v>6442</v>
      </c>
      <c r="AG15" s="5">
        <f t="shared" si="50"/>
        <v>6169</v>
      </c>
      <c r="AH15" s="5">
        <f t="shared" si="50"/>
        <v>6325</v>
      </c>
      <c r="AI15" s="5">
        <f t="shared" ref="AI15" si="51">AI14-AI13</f>
        <v>6122</v>
      </c>
      <c r="AJ15" s="5">
        <f t="shared" si="50"/>
        <v>7250.5237598221229</v>
      </c>
      <c r="AK15" s="5">
        <f t="shared" si="50"/>
        <v>7948.2100467740775</v>
      </c>
      <c r="AL15" s="5">
        <f t="shared" si="50"/>
        <v>8781.6868726849825</v>
      </c>
      <c r="AM15" s="5">
        <f t="shared" si="50"/>
        <v>9769.0850955377537</v>
      </c>
      <c r="AN15" s="5">
        <f t="shared" si="50"/>
        <v>10934.968788857672</v>
      </c>
      <c r="AO15" s="5">
        <f t="shared" si="50"/>
        <v>12310.814992630851</v>
      </c>
      <c r="AQ15" s="3"/>
    </row>
    <row r="16" spans="1:43" x14ac:dyDescent="0.3">
      <c r="A16" t="s">
        <v>8</v>
      </c>
      <c r="B16">
        <v>28</v>
      </c>
      <c r="C16" s="4">
        <f t="shared" ref="C16:C18" si="52">D16-B16</f>
        <v>47</v>
      </c>
      <c r="D16" s="4">
        <v>75</v>
      </c>
      <c r="E16" s="4">
        <v>32</v>
      </c>
      <c r="F16" s="4">
        <f>AE16-E16</f>
        <v>18</v>
      </c>
      <c r="G16" s="4">
        <v>24</v>
      </c>
      <c r="H16" s="4">
        <f>AF16-G16</f>
        <v>25</v>
      </c>
      <c r="I16" s="4">
        <v>29</v>
      </c>
      <c r="J16" s="4">
        <f>AG16-I16</f>
        <v>45</v>
      </c>
      <c r="K16" s="4">
        <v>46</v>
      </c>
      <c r="L16" s="4">
        <f>AH16-K16</f>
        <v>44</v>
      </c>
      <c r="M16" s="4">
        <v>47</v>
      </c>
      <c r="N16" s="4">
        <f>AI16-M16</f>
        <v>63</v>
      </c>
      <c r="P16" s="4">
        <f>AK16-O16</f>
        <v>0</v>
      </c>
      <c r="R16" s="4">
        <f>AM16-Q16</f>
        <v>0</v>
      </c>
      <c r="T16" s="4">
        <f>AO16-S16</f>
        <v>0</v>
      </c>
      <c r="V16" s="4">
        <f>AQ16-U16</f>
        <v>0</v>
      </c>
      <c r="X16" s="4">
        <f>AS16-W16</f>
        <v>0</v>
      </c>
      <c r="Z16" s="4">
        <f>AU16-Y16</f>
        <v>0</v>
      </c>
      <c r="AB16" s="3"/>
      <c r="AE16" s="4">
        <v>50</v>
      </c>
      <c r="AF16" s="4">
        <v>49</v>
      </c>
      <c r="AG16" s="4">
        <v>74</v>
      </c>
      <c r="AH16" s="4">
        <v>90</v>
      </c>
      <c r="AI16" s="4">
        <v>110</v>
      </c>
    </row>
    <row r="17" spans="1:43" x14ac:dyDescent="0.3">
      <c r="A17" t="s">
        <v>9</v>
      </c>
      <c r="B17">
        <v>-255</v>
      </c>
      <c r="C17" s="4">
        <f t="shared" si="52"/>
        <v>-274</v>
      </c>
      <c r="D17" s="4">
        <v>-529</v>
      </c>
      <c r="E17" s="4">
        <v>-239</v>
      </c>
      <c r="F17" s="4">
        <f>AE17-E17</f>
        <v>-258</v>
      </c>
      <c r="G17" s="4">
        <v>-226</v>
      </c>
      <c r="H17" s="4">
        <f>AF17-G17</f>
        <v>-236</v>
      </c>
      <c r="I17" s="4">
        <v>-214</v>
      </c>
      <c r="J17" s="4">
        <f>AG17-I17</f>
        <v>-244</v>
      </c>
      <c r="K17" s="4">
        <v>-295</v>
      </c>
      <c r="L17" s="4">
        <f>AH17-K17</f>
        <v>-345</v>
      </c>
      <c r="M17" s="4">
        <v>-342</v>
      </c>
      <c r="N17" s="38">
        <f>+'Balance Sheet'!N90</f>
        <v>-377</v>
      </c>
      <c r="O17" s="38">
        <f>+'Balance Sheet'!O90</f>
        <v>-364.5</v>
      </c>
      <c r="P17" s="38">
        <f>+'Balance Sheet'!P90</f>
        <v>-374.5</v>
      </c>
      <c r="Q17" s="38">
        <f>+'Balance Sheet'!Q90</f>
        <v>-374.5</v>
      </c>
      <c r="R17" s="38">
        <f>+'Balance Sheet'!R90</f>
        <v>-384.5</v>
      </c>
      <c r="S17" s="38">
        <f>+'Balance Sheet'!S90</f>
        <v>-384.5</v>
      </c>
      <c r="T17" s="38">
        <f>+'Balance Sheet'!T90</f>
        <v>-394.5</v>
      </c>
      <c r="U17" s="38">
        <f>+'Balance Sheet'!U90</f>
        <v>-394.5</v>
      </c>
      <c r="V17" s="38">
        <f>+'Balance Sheet'!V90</f>
        <v>-404.5</v>
      </c>
      <c r="W17" s="38">
        <f>+'Balance Sheet'!W90</f>
        <v>-404.5</v>
      </c>
      <c r="X17" s="38">
        <f>+'Balance Sheet'!X90</f>
        <v>-414.5</v>
      </c>
      <c r="Y17" s="38">
        <f>+'Balance Sheet'!Y90</f>
        <v>-414.5</v>
      </c>
      <c r="Z17" s="38">
        <f>+'Balance Sheet'!Z90</f>
        <v>-424.5</v>
      </c>
      <c r="AB17" s="3"/>
      <c r="AE17" s="4">
        <v>-497</v>
      </c>
      <c r="AF17" s="4">
        <v>-462</v>
      </c>
      <c r="AG17" s="4">
        <v>-458</v>
      </c>
      <c r="AH17" s="4">
        <v>-640</v>
      </c>
      <c r="AI17" s="4">
        <v>-680</v>
      </c>
      <c r="AJ17" s="38">
        <f>+'Balance Sheet'!AJ90</f>
        <v>-739</v>
      </c>
      <c r="AK17" s="38">
        <f>+'Balance Sheet'!AK90</f>
        <v>-759</v>
      </c>
      <c r="AL17" s="38">
        <f>+'Balance Sheet'!AL90</f>
        <v>-779</v>
      </c>
      <c r="AM17" s="38">
        <f>+'Balance Sheet'!AM90</f>
        <v>-799</v>
      </c>
      <c r="AN17" s="38">
        <f>+'Balance Sheet'!AN90</f>
        <v>-819</v>
      </c>
      <c r="AO17" s="38">
        <f>+'Balance Sheet'!AO90</f>
        <v>-839</v>
      </c>
    </row>
    <row r="18" spans="1:43" x14ac:dyDescent="0.3">
      <c r="A18" t="s">
        <v>10</v>
      </c>
      <c r="B18">
        <v>-25</v>
      </c>
      <c r="C18" s="4">
        <f t="shared" si="52"/>
        <v>-34</v>
      </c>
      <c r="D18" s="4">
        <v>-59</v>
      </c>
      <c r="E18" s="4">
        <v>-58</v>
      </c>
      <c r="F18" s="4">
        <f>AE18-E18</f>
        <v>-85</v>
      </c>
      <c r="G18" s="4">
        <v>24</v>
      </c>
      <c r="H18" s="4">
        <f>AF18-G18</f>
        <v>-10</v>
      </c>
      <c r="I18" s="4">
        <v>37</v>
      </c>
      <c r="J18" s="4">
        <f>AG18-I18</f>
        <v>11</v>
      </c>
      <c r="K18" s="4">
        <v>-186</v>
      </c>
      <c r="L18" s="4">
        <f>AH18-K18</f>
        <v>-189</v>
      </c>
      <c r="M18" s="4">
        <v>-142</v>
      </c>
      <c r="N18" s="4">
        <f>AI18-M18</f>
        <v>-93</v>
      </c>
      <c r="P18" s="4">
        <f>AK18-O18</f>
        <v>0</v>
      </c>
      <c r="R18" s="4">
        <f>AM18-Q18</f>
        <v>0</v>
      </c>
      <c r="T18" s="4">
        <f>AO18-S18</f>
        <v>0</v>
      </c>
      <c r="V18" s="4">
        <f>AQ18-U18</f>
        <v>0</v>
      </c>
      <c r="X18" s="4">
        <f>AS18-W18</f>
        <v>0</v>
      </c>
      <c r="Z18" s="4">
        <f>AU18-Y18</f>
        <v>0</v>
      </c>
      <c r="AB18" s="3"/>
      <c r="AE18" s="4">
        <v>-143</v>
      </c>
      <c r="AF18" s="4">
        <v>14</v>
      </c>
      <c r="AG18" s="4">
        <v>48</v>
      </c>
      <c r="AH18" s="4">
        <v>-375</v>
      </c>
      <c r="AI18" s="4">
        <v>-235</v>
      </c>
    </row>
    <row r="19" spans="1:43" x14ac:dyDescent="0.3">
      <c r="A19" s="3" t="s">
        <v>127</v>
      </c>
      <c r="B19" s="3">
        <f>SUM(B16:B18)</f>
        <v>-252</v>
      </c>
      <c r="C19" s="5">
        <f t="shared" ref="C19:Y19" si="53">SUM(C16:C18)</f>
        <v>-261</v>
      </c>
      <c r="D19" s="5">
        <f t="shared" si="53"/>
        <v>-513</v>
      </c>
      <c r="E19" s="5">
        <f t="shared" si="53"/>
        <v>-265</v>
      </c>
      <c r="F19" s="5">
        <f t="shared" si="53"/>
        <v>-325</v>
      </c>
      <c r="G19" s="5">
        <f t="shared" si="53"/>
        <v>-178</v>
      </c>
      <c r="H19" s="5">
        <f t="shared" si="53"/>
        <v>-221</v>
      </c>
      <c r="I19" s="5">
        <f t="shared" si="53"/>
        <v>-148</v>
      </c>
      <c r="J19" s="5">
        <f t="shared" si="53"/>
        <v>-188</v>
      </c>
      <c r="K19" s="5">
        <f t="shared" si="53"/>
        <v>-435</v>
      </c>
      <c r="L19" s="5">
        <f t="shared" si="53"/>
        <v>-490</v>
      </c>
      <c r="M19" s="5">
        <f t="shared" si="53"/>
        <v>-437</v>
      </c>
      <c r="N19" s="5">
        <f t="shared" si="53"/>
        <v>-407</v>
      </c>
      <c r="O19" s="5">
        <f t="shared" si="53"/>
        <v>-364.5</v>
      </c>
      <c r="P19" s="5">
        <f t="shared" ref="P19" si="54">SUM(P16:P18)</f>
        <v>-374.5</v>
      </c>
      <c r="Q19" s="5">
        <f t="shared" si="53"/>
        <v>-374.5</v>
      </c>
      <c r="R19" s="5">
        <f t="shared" ref="R19" si="55">SUM(R16:R18)</f>
        <v>-384.5</v>
      </c>
      <c r="S19" s="5">
        <f t="shared" si="53"/>
        <v>-384.5</v>
      </c>
      <c r="T19" s="5">
        <f t="shared" ref="T19" si="56">SUM(T16:T18)</f>
        <v>-394.5</v>
      </c>
      <c r="U19" s="5">
        <f t="shared" si="53"/>
        <v>-394.5</v>
      </c>
      <c r="V19" s="5">
        <f t="shared" ref="V19" si="57">SUM(V16:V18)</f>
        <v>-404.5</v>
      </c>
      <c r="W19" s="5">
        <f t="shared" si="53"/>
        <v>-404.5</v>
      </c>
      <c r="X19" s="5">
        <f t="shared" ref="X19" si="58">SUM(X16:X18)</f>
        <v>-414.5</v>
      </c>
      <c r="Y19" s="5">
        <f t="shared" si="53"/>
        <v>-414.5</v>
      </c>
      <c r="Z19" s="5">
        <f t="shared" ref="Z19" si="59">SUM(Z16:Z18)</f>
        <v>-424.5</v>
      </c>
      <c r="AB19" s="3"/>
      <c r="AE19" s="5">
        <f t="shared" ref="AE19:AO19" si="60">SUM(AE16:AE18)</f>
        <v>-590</v>
      </c>
      <c r="AF19" s="5">
        <f t="shared" si="60"/>
        <v>-399</v>
      </c>
      <c r="AG19" s="5">
        <f t="shared" si="60"/>
        <v>-336</v>
      </c>
      <c r="AH19" s="5">
        <f t="shared" si="60"/>
        <v>-925</v>
      </c>
      <c r="AI19" s="5">
        <f t="shared" ref="AI19" si="61">SUM(AI16:AI18)</f>
        <v>-805</v>
      </c>
      <c r="AJ19" s="5">
        <f t="shared" si="60"/>
        <v>-739</v>
      </c>
      <c r="AK19" s="5">
        <f t="shared" si="60"/>
        <v>-759</v>
      </c>
      <c r="AL19" s="5">
        <f t="shared" si="60"/>
        <v>-779</v>
      </c>
      <c r="AM19" s="5">
        <f t="shared" si="60"/>
        <v>-799</v>
      </c>
      <c r="AN19" s="5">
        <f t="shared" si="60"/>
        <v>-819</v>
      </c>
      <c r="AO19" s="5">
        <f t="shared" si="60"/>
        <v>-839</v>
      </c>
    </row>
    <row r="20" spans="1:43" x14ac:dyDescent="0.3">
      <c r="A20" t="s">
        <v>11</v>
      </c>
      <c r="B20">
        <v>80</v>
      </c>
      <c r="C20" s="4">
        <f>D20-B20</f>
        <v>84</v>
      </c>
      <c r="D20" s="4">
        <v>164</v>
      </c>
      <c r="E20" s="4">
        <v>-41</v>
      </c>
      <c r="F20" s="4">
        <f>AE20-E20</f>
        <v>10</v>
      </c>
      <c r="G20" s="4">
        <v>70</v>
      </c>
      <c r="H20" s="4">
        <f>AF20-G20</f>
        <v>180</v>
      </c>
      <c r="I20" s="4">
        <v>80</v>
      </c>
      <c r="J20" s="4">
        <f>AG20-I20</f>
        <v>143</v>
      </c>
      <c r="K20" s="4">
        <v>100</v>
      </c>
      <c r="L20" s="4">
        <f>AH20-K20</f>
        <v>118</v>
      </c>
      <c r="M20" s="4">
        <v>-766</v>
      </c>
      <c r="N20" s="4">
        <f>AI20-M20</f>
        <v>61</v>
      </c>
      <c r="P20" s="4">
        <f>AK20-O20</f>
        <v>0</v>
      </c>
      <c r="R20" s="4">
        <f>AM20-Q20</f>
        <v>0</v>
      </c>
      <c r="T20" s="4">
        <f>AO20-S20</f>
        <v>0</v>
      </c>
      <c r="V20" s="4">
        <f>AQ20-U20</f>
        <v>0</v>
      </c>
      <c r="X20" s="4">
        <f>AS20-W20</f>
        <v>0</v>
      </c>
      <c r="Z20" s="4">
        <f>AU20-Y20</f>
        <v>0</v>
      </c>
      <c r="AB20" s="3"/>
      <c r="AE20" s="4">
        <v>-31</v>
      </c>
      <c r="AF20" s="4">
        <v>250</v>
      </c>
      <c r="AG20" s="4">
        <v>223</v>
      </c>
      <c r="AH20" s="4">
        <v>218</v>
      </c>
      <c r="AI20" s="4">
        <v>-705</v>
      </c>
    </row>
    <row r="21" spans="1:43" x14ac:dyDescent="0.3">
      <c r="A21" s="3" t="s">
        <v>12</v>
      </c>
      <c r="B21" s="5">
        <f>B14+B19+B20</f>
        <v>1476</v>
      </c>
      <c r="C21" s="5">
        <f t="shared" ref="C21:Y21" si="62">C14+C19+C20</f>
        <v>1808</v>
      </c>
      <c r="D21" s="5">
        <f t="shared" si="62"/>
        <v>3284</v>
      </c>
      <c r="E21" s="5">
        <f t="shared" si="62"/>
        <v>-221</v>
      </c>
      <c r="F21" s="5">
        <f t="shared" si="62"/>
        <v>378</v>
      </c>
      <c r="G21" s="5">
        <f t="shared" si="62"/>
        <v>1609</v>
      </c>
      <c r="H21" s="5">
        <f t="shared" si="62"/>
        <v>2725</v>
      </c>
      <c r="I21" s="5">
        <f t="shared" si="62"/>
        <v>2002</v>
      </c>
      <c r="J21" s="5">
        <f t="shared" si="62"/>
        <v>2168</v>
      </c>
      <c r="K21" s="5">
        <f t="shared" si="62"/>
        <v>1276</v>
      </c>
      <c r="L21" s="5">
        <f t="shared" si="62"/>
        <v>1246</v>
      </c>
      <c r="M21" s="5">
        <f t="shared" si="62"/>
        <v>339</v>
      </c>
      <c r="N21" s="5">
        <f t="shared" si="62"/>
        <v>980.48699999999963</v>
      </c>
      <c r="O21" s="5">
        <f t="shared" si="62"/>
        <v>1253.0257931738079</v>
      </c>
      <c r="P21" s="5">
        <f t="shared" ref="P21" si="63">P14+P19+P20</f>
        <v>2140.2379666483148</v>
      </c>
      <c r="Q21" s="5">
        <f t="shared" si="62"/>
        <v>1373.4370582466208</v>
      </c>
      <c r="R21" s="5">
        <f t="shared" ref="R21" si="64">R14+R19+R20</f>
        <v>2535.0493822563694</v>
      </c>
      <c r="S21" s="5">
        <f t="shared" si="62"/>
        <v>1559.2155329588561</v>
      </c>
      <c r="T21" s="5">
        <f t="shared" ref="T21" si="65">T14+T19+T20</f>
        <v>2984.6509627424739</v>
      </c>
      <c r="U21" s="5">
        <f t="shared" si="62"/>
        <v>1813.7590254009906</v>
      </c>
      <c r="V21" s="5">
        <f t="shared" ref="V21" si="66">V14+V19+V20</f>
        <v>3500.7330784096307</v>
      </c>
      <c r="W21" s="5">
        <f t="shared" si="62"/>
        <v>2144.2321756356519</v>
      </c>
      <c r="X21" s="5">
        <f t="shared" ref="X21" si="67">X14+X19+X20</f>
        <v>4097.2462221945752</v>
      </c>
      <c r="Y21" s="5">
        <f t="shared" si="62"/>
        <v>2561.4099490358312</v>
      </c>
      <c r="Z21" s="5">
        <f t="shared" ref="Z21" si="68">Z14+Z19+Z20</f>
        <v>4790.8931171932554</v>
      </c>
      <c r="AB21" s="3"/>
      <c r="AE21" s="5">
        <f t="shared" ref="AE21:AO21" si="69">AE14+AE19+AE20</f>
        <v>-19558</v>
      </c>
      <c r="AF21" s="5">
        <f t="shared" si="69"/>
        <v>4334</v>
      </c>
      <c r="AG21" s="5">
        <f t="shared" si="69"/>
        <v>4170</v>
      </c>
      <c r="AH21" s="5">
        <f t="shared" si="69"/>
        <v>2522</v>
      </c>
      <c r="AI21" s="5">
        <f t="shared" ref="AI21" si="70">AI14+AI19+AI20</f>
        <v>2007</v>
      </c>
      <c r="AJ21" s="5">
        <f t="shared" si="69"/>
        <v>3393.2637598221227</v>
      </c>
      <c r="AK21" s="5">
        <f t="shared" si="69"/>
        <v>3908.4864405029866</v>
      </c>
      <c r="AL21" s="5">
        <f t="shared" si="69"/>
        <v>4543.8664957013298</v>
      </c>
      <c r="AM21" s="5">
        <f t="shared" si="69"/>
        <v>5314.4921038106249</v>
      </c>
      <c r="AN21" s="5">
        <f t="shared" si="69"/>
        <v>6241.4783978302248</v>
      </c>
      <c r="AO21" s="5">
        <f t="shared" si="69"/>
        <v>7352.3030662290794</v>
      </c>
      <c r="AQ21" s="3"/>
    </row>
    <row r="22" spans="1:43" x14ac:dyDescent="0.3">
      <c r="A22" t="s">
        <v>14</v>
      </c>
      <c r="B22">
        <v>-438</v>
      </c>
      <c r="C22" s="4">
        <f>D22-B22</f>
        <v>-472</v>
      </c>
      <c r="D22" s="4">
        <v>-910</v>
      </c>
      <c r="E22" s="4">
        <v>-51</v>
      </c>
      <c r="F22" s="4">
        <f>AE22-E22</f>
        <v>-194</v>
      </c>
      <c r="G22" s="4">
        <v>-440</v>
      </c>
      <c r="H22" s="4">
        <f>AF22-G22</f>
        <v>-359</v>
      </c>
      <c r="I22" s="4">
        <v>-547</v>
      </c>
      <c r="J22" s="4">
        <f>AG22-I22</f>
        <v>-584</v>
      </c>
      <c r="K22" s="4">
        <v>-89</v>
      </c>
      <c r="L22" s="4">
        <f>AH22-K22</f>
        <v>-32</v>
      </c>
      <c r="M22" s="4">
        <v>-387</v>
      </c>
      <c r="N22" s="4">
        <f>-N23*N21</f>
        <v>-137.26817999999997</v>
      </c>
      <c r="O22" s="4">
        <f>-O21*O23</f>
        <v>-175.42361104433311</v>
      </c>
      <c r="P22" s="4">
        <f>AJ22-O22</f>
        <v>-1254.9207540824809</v>
      </c>
      <c r="Q22" s="4">
        <f>-Q21*Q23</f>
        <v>-192.28118815452694</v>
      </c>
      <c r="R22" s="4">
        <f>AK22-Q22</f>
        <v>-1455.2422441651177</v>
      </c>
      <c r="S22" s="4">
        <f>-S21*S23</f>
        <v>-218.29017461423987</v>
      </c>
      <c r="T22" s="4">
        <f>AL22-S22</f>
        <v>-1697.0616217800425</v>
      </c>
      <c r="U22" s="4">
        <f>-U21*U23</f>
        <v>-253.92626355613871</v>
      </c>
      <c r="V22" s="4">
        <f>AM22-U22</f>
        <v>-1986.2632331173979</v>
      </c>
      <c r="W22" s="4">
        <f>-W21*W23</f>
        <v>-300.19250458899131</v>
      </c>
      <c r="X22" s="4">
        <f>AN22-W22</f>
        <v>-2330.744577904467</v>
      </c>
      <c r="Y22" s="4">
        <f>-Y21*Y23</f>
        <v>-358.59739286501639</v>
      </c>
      <c r="Z22" s="4">
        <f>AO22-Y22</f>
        <v>-2740.5796843795283</v>
      </c>
      <c r="AB22" s="3"/>
      <c r="AE22" s="4">
        <v>-245</v>
      </c>
      <c r="AF22" s="4">
        <v>-799</v>
      </c>
      <c r="AG22" s="4">
        <v>-1131</v>
      </c>
      <c r="AH22" s="4">
        <v>-121</v>
      </c>
      <c r="AI22" s="4">
        <v>-846</v>
      </c>
      <c r="AJ22" s="34">
        <f t="shared" ref="AJ22:AO22" si="71">-AJ23*AJ21</f>
        <v>-1430.344365126814</v>
      </c>
      <c r="AK22" s="34">
        <f t="shared" si="71"/>
        <v>-1647.5234323196446</v>
      </c>
      <c r="AL22" s="34">
        <f t="shared" si="71"/>
        <v>-1915.3517963942825</v>
      </c>
      <c r="AM22" s="34">
        <f t="shared" si="71"/>
        <v>-2240.1894966735367</v>
      </c>
      <c r="AN22" s="34">
        <f t="shared" si="71"/>
        <v>-2630.9370824934581</v>
      </c>
      <c r="AO22" s="34">
        <f t="shared" si="71"/>
        <v>-3099.1770772445448</v>
      </c>
      <c r="AQ22" s="3"/>
    </row>
    <row r="23" spans="1:43" x14ac:dyDescent="0.3">
      <c r="B23" s="10">
        <f>-B22/B21</f>
        <v>0.2967479674796748</v>
      </c>
      <c r="C23" s="10">
        <f t="shared" ref="C23:M23" si="72">-C22/C21</f>
        <v>0.26106194690265488</v>
      </c>
      <c r="D23" s="10">
        <f t="shared" si="72"/>
        <v>0.27710109622411694</v>
      </c>
      <c r="E23" s="10">
        <f t="shared" si="72"/>
        <v>-0.23076923076923078</v>
      </c>
      <c r="F23" s="10">
        <f t="shared" si="72"/>
        <v>0.51322751322751325</v>
      </c>
      <c r="G23" s="10">
        <f t="shared" si="72"/>
        <v>0.27346177750155376</v>
      </c>
      <c r="H23" s="10">
        <f t="shared" si="72"/>
        <v>0.13174311926605506</v>
      </c>
      <c r="I23" s="10">
        <f t="shared" si="72"/>
        <v>0.27322677322677325</v>
      </c>
      <c r="J23" s="10">
        <f t="shared" si="72"/>
        <v>0.26937269372693728</v>
      </c>
      <c r="K23" s="10">
        <f t="shared" si="72"/>
        <v>6.9749216300940442E-2</v>
      </c>
      <c r="L23" s="10">
        <f t="shared" si="72"/>
        <v>2.5682182985553772E-2</v>
      </c>
      <c r="M23" s="10">
        <f t="shared" si="72"/>
        <v>1.1415929203539823</v>
      </c>
      <c r="N23" s="16">
        <v>0.14000000000000001</v>
      </c>
      <c r="O23" s="16">
        <v>0.14000000000000001</v>
      </c>
      <c r="P23" s="10">
        <f>-P22/P21</f>
        <v>0.58634636598271794</v>
      </c>
      <c r="Q23" s="16">
        <v>0.14000000000000001</v>
      </c>
      <c r="R23" s="10">
        <f>-R22/R21</f>
        <v>0.57404887429445317</v>
      </c>
      <c r="S23" s="16">
        <v>0.14000000000000001</v>
      </c>
      <c r="T23" s="10">
        <f>-T22/T21</f>
        <v>0.56859634274309978</v>
      </c>
      <c r="U23" s="16">
        <v>0.14000000000000001</v>
      </c>
      <c r="V23" s="10">
        <f>-V22/V21</f>
        <v>0.56738494156193975</v>
      </c>
      <c r="W23" s="16">
        <v>0.14000000000000001</v>
      </c>
      <c r="X23" s="10">
        <f>-X22/X21</f>
        <v>0.5688563614456319</v>
      </c>
      <c r="Y23" s="16">
        <v>0.14000000000000001</v>
      </c>
      <c r="Z23" s="10">
        <f>-Z22/Z21</f>
        <v>0.57203941255635793</v>
      </c>
      <c r="AE23" s="10">
        <f>-AE22/AE21</f>
        <v>-1.2526843235504653E-2</v>
      </c>
      <c r="AF23" s="15">
        <f>-AF22/AF21</f>
        <v>0.18435625288417168</v>
      </c>
      <c r="AG23" s="15">
        <f>-AG22/AG21</f>
        <v>0.27122302158273381</v>
      </c>
      <c r="AH23" s="15">
        <f>-AH22/AH21</f>
        <v>4.7977795400475816E-2</v>
      </c>
      <c r="AI23" s="15">
        <f>-AI22/AI21</f>
        <v>0.42152466367713004</v>
      </c>
      <c r="AJ23" s="16">
        <f t="shared" ref="AJ23" si="73">AI23</f>
        <v>0.42152466367713004</v>
      </c>
      <c r="AK23" s="16">
        <f t="shared" ref="AK23" si="74">AJ23</f>
        <v>0.42152466367713004</v>
      </c>
      <c r="AL23" s="16">
        <f t="shared" ref="AL23" si="75">AK23</f>
        <v>0.42152466367713004</v>
      </c>
      <c r="AM23" s="16">
        <f t="shared" ref="AM23" si="76">AL23</f>
        <v>0.42152466367713004</v>
      </c>
      <c r="AN23" s="16">
        <f t="shared" ref="AN23" si="77">AM23</f>
        <v>0.42152466367713004</v>
      </c>
      <c r="AO23" s="16">
        <f t="shared" ref="AO23" si="78">AN23</f>
        <v>0.42152466367713004</v>
      </c>
    </row>
    <row r="24" spans="1:43" x14ac:dyDescent="0.3">
      <c r="A24" s="3" t="s">
        <v>13</v>
      </c>
      <c r="B24" s="5">
        <f>B21+B22</f>
        <v>1038</v>
      </c>
      <c r="C24" s="5">
        <f t="shared" ref="C24:Y24" si="79">C21+C22</f>
        <v>1336</v>
      </c>
      <c r="D24" s="5">
        <f t="shared" si="79"/>
        <v>2374</v>
      </c>
      <c r="E24" s="5">
        <f t="shared" si="79"/>
        <v>-272</v>
      </c>
      <c r="F24" s="5">
        <f t="shared" si="79"/>
        <v>184</v>
      </c>
      <c r="G24" s="5">
        <f t="shared" si="79"/>
        <v>1169</v>
      </c>
      <c r="H24" s="5">
        <f t="shared" si="79"/>
        <v>2366</v>
      </c>
      <c r="I24" s="5">
        <f t="shared" si="79"/>
        <v>1455</v>
      </c>
      <c r="J24" s="5">
        <f t="shared" si="79"/>
        <v>1584</v>
      </c>
      <c r="K24" s="5">
        <f t="shared" si="79"/>
        <v>1187</v>
      </c>
      <c r="L24" s="5">
        <f t="shared" si="79"/>
        <v>1214</v>
      </c>
      <c r="M24" s="5">
        <f t="shared" si="79"/>
        <v>-48</v>
      </c>
      <c r="N24" s="5">
        <f t="shared" si="79"/>
        <v>843.2188199999996</v>
      </c>
      <c r="O24" s="5">
        <f t="shared" si="79"/>
        <v>1077.6021821294748</v>
      </c>
      <c r="P24" s="5">
        <f t="shared" ref="P24" si="80">P21+P22</f>
        <v>885.31721256583387</v>
      </c>
      <c r="Q24" s="5">
        <f t="shared" si="79"/>
        <v>1181.1558700920939</v>
      </c>
      <c r="R24" s="5">
        <f t="shared" ref="R24" si="81">R21+R22</f>
        <v>1079.8071380912518</v>
      </c>
      <c r="S24" s="5">
        <f t="shared" si="79"/>
        <v>1340.9253583446161</v>
      </c>
      <c r="T24" s="5">
        <f t="shared" ref="T24" si="82">T21+T22</f>
        <v>1287.5893409624314</v>
      </c>
      <c r="U24" s="5">
        <f t="shared" si="79"/>
        <v>1559.8327618448518</v>
      </c>
      <c r="V24" s="5">
        <f t="shared" ref="V24" si="83">V21+V22</f>
        <v>1514.4698452922328</v>
      </c>
      <c r="W24" s="5">
        <f t="shared" si="79"/>
        <v>1844.0396710466605</v>
      </c>
      <c r="X24" s="5">
        <f t="shared" ref="X24" si="84">X21+X22</f>
        <v>1766.5016442901083</v>
      </c>
      <c r="Y24" s="5">
        <f t="shared" si="79"/>
        <v>2202.8125561708148</v>
      </c>
      <c r="Z24" s="5">
        <f t="shared" ref="Z24" si="85">Z21+Z22</f>
        <v>2050.3134328137271</v>
      </c>
      <c r="AB24" s="3"/>
      <c r="AE24" s="5">
        <f t="shared" ref="AE24:AO24" si="86">AE21+AE22</f>
        <v>-19803</v>
      </c>
      <c r="AF24" s="5">
        <f t="shared" si="86"/>
        <v>3535</v>
      </c>
      <c r="AG24" s="5">
        <f t="shared" si="86"/>
        <v>3039</v>
      </c>
      <c r="AH24" s="5">
        <f t="shared" si="86"/>
        <v>2401</v>
      </c>
      <c r="AI24" s="5">
        <f t="shared" ref="AI24" si="87">AI21+AI22</f>
        <v>1161</v>
      </c>
      <c r="AJ24" s="5">
        <f t="shared" si="86"/>
        <v>1962.9193946953087</v>
      </c>
      <c r="AK24" s="5">
        <f t="shared" si="86"/>
        <v>2260.963008183342</v>
      </c>
      <c r="AL24" s="5">
        <f t="shared" si="86"/>
        <v>2628.5146993070475</v>
      </c>
      <c r="AM24" s="5">
        <f t="shared" si="86"/>
        <v>3074.3026071370882</v>
      </c>
      <c r="AN24" s="5">
        <f t="shared" si="86"/>
        <v>3610.5413153367667</v>
      </c>
      <c r="AO24" s="5">
        <f t="shared" si="86"/>
        <v>4253.1259889845351</v>
      </c>
      <c r="AQ24" s="3"/>
    </row>
    <row r="25" spans="1:43" x14ac:dyDescent="0.3">
      <c r="M25" s="10"/>
    </row>
    <row r="26" spans="1:43" x14ac:dyDescent="0.3">
      <c r="A26" t="s">
        <v>15</v>
      </c>
      <c r="AB26" s="3"/>
    </row>
    <row r="27" spans="1:43" x14ac:dyDescent="0.3">
      <c r="A27" t="s">
        <v>16</v>
      </c>
      <c r="B27">
        <v>471</v>
      </c>
      <c r="C27" s="4">
        <f t="shared" ref="C27:C28" si="88">D27-B27</f>
        <v>616</v>
      </c>
      <c r="D27" s="4">
        <v>1087</v>
      </c>
      <c r="E27" s="4">
        <v>-297</v>
      </c>
      <c r="F27" s="4">
        <f>AE27-E27</f>
        <v>93</v>
      </c>
      <c r="G27" s="4">
        <v>1034</v>
      </c>
      <c r="H27" s="4">
        <f>AF27-G27</f>
        <v>2290</v>
      </c>
      <c r="I27" s="4">
        <v>1265</v>
      </c>
      <c r="J27" s="4">
        <f>AG27-I27</f>
        <v>1417</v>
      </c>
      <c r="K27" s="4">
        <v>1156</v>
      </c>
      <c r="L27" s="4">
        <f>AH27-K27</f>
        <v>1148</v>
      </c>
      <c r="M27" s="4">
        <v>-95</v>
      </c>
      <c r="N27" s="4">
        <f>M27/M24*N24</f>
        <v>1668.8705812499993</v>
      </c>
      <c r="O27" s="4">
        <f>N27/N24*O24</f>
        <v>2132.754318797919</v>
      </c>
      <c r="P27" s="4">
        <f>AJ27-O27</f>
        <v>-479.23565556621202</v>
      </c>
      <c r="Q27" s="4">
        <f>Q30</f>
        <v>2337.7043262239358</v>
      </c>
      <c r="R27" s="4">
        <f>AJ27-Q27</f>
        <v>-684.1856629922288</v>
      </c>
      <c r="S27" s="4">
        <f>S30</f>
        <v>2653.9147717237197</v>
      </c>
      <c r="T27" s="4">
        <f>AL27-S27</f>
        <v>-439.71375887075465</v>
      </c>
      <c r="U27" s="4">
        <f>U30</f>
        <v>3087.1690078179358</v>
      </c>
      <c r="V27" s="4">
        <f>AM27-U27</f>
        <v>-497.44639818824407</v>
      </c>
      <c r="W27" s="4">
        <f>W30</f>
        <v>3649.6618489465159</v>
      </c>
      <c r="X27" s="4">
        <f>AN27-W27</f>
        <v>-608.22394507109993</v>
      </c>
      <c r="Y27" s="4">
        <f>Y30</f>
        <v>4359.7331840880715</v>
      </c>
      <c r="Z27" s="4">
        <f>AO27-Y27</f>
        <v>-776.99656287629296</v>
      </c>
      <c r="AB27" s="3"/>
      <c r="AE27" s="4">
        <v>-204</v>
      </c>
      <c r="AF27" s="4">
        <v>3324</v>
      </c>
      <c r="AG27" s="4">
        <v>2682</v>
      </c>
      <c r="AH27" s="4">
        <v>2304</v>
      </c>
      <c r="AI27" s="4">
        <v>978</v>
      </c>
      <c r="AJ27" s="4">
        <f t="shared" ref="AJ27:AO27" si="89">AI27/AI24*AJ24</f>
        <v>1653.518663231707</v>
      </c>
      <c r="AK27" s="4">
        <f t="shared" si="89"/>
        <v>1904.5838260149083</v>
      </c>
      <c r="AL27" s="4">
        <f t="shared" si="89"/>
        <v>2214.2010128529651</v>
      </c>
      <c r="AM27" s="4">
        <f t="shared" si="89"/>
        <v>2589.7226096296918</v>
      </c>
      <c r="AN27" s="4">
        <f t="shared" si="89"/>
        <v>3041.4379038754159</v>
      </c>
      <c r="AO27" s="4">
        <f t="shared" si="89"/>
        <v>3582.7366212117786</v>
      </c>
      <c r="AQ27" s="3"/>
    </row>
    <row r="28" spans="1:43" x14ac:dyDescent="0.3">
      <c r="A28" t="s">
        <v>17</v>
      </c>
      <c r="B28">
        <f>465+102</f>
        <v>567</v>
      </c>
      <c r="C28" s="4">
        <f t="shared" si="88"/>
        <v>720</v>
      </c>
      <c r="D28" s="4">
        <f>1079+208</f>
        <v>1287</v>
      </c>
      <c r="E28" s="4">
        <v>25</v>
      </c>
      <c r="F28" s="4">
        <f>AE28-E28</f>
        <v>91</v>
      </c>
      <c r="G28" s="4">
        <v>135</v>
      </c>
      <c r="H28" s="4">
        <f>AF28-G28</f>
        <v>76</v>
      </c>
      <c r="I28" s="4">
        <v>190</v>
      </c>
      <c r="J28" s="4">
        <f>AG28-I28</f>
        <v>167</v>
      </c>
      <c r="K28" s="4">
        <v>31</v>
      </c>
      <c r="L28" s="4">
        <f>AH28-K28</f>
        <v>66</v>
      </c>
      <c r="M28" s="4">
        <v>47</v>
      </c>
      <c r="N28" s="4">
        <f>M28/M24*N24</f>
        <v>-825.65176124999959</v>
      </c>
      <c r="O28" s="4">
        <f>N28/N24*O24</f>
        <v>-1055.152136668444</v>
      </c>
      <c r="P28" s="4">
        <f>AJ28-O28</f>
        <v>1364.5528681320457</v>
      </c>
      <c r="Q28" s="4">
        <f>Q31</f>
        <v>-1156.5484561318419</v>
      </c>
      <c r="R28" s="4">
        <f>AK28-Q28</f>
        <v>1512.9276383002757</v>
      </c>
      <c r="S28" s="4">
        <f>S31</f>
        <v>-1312.9894133791033</v>
      </c>
      <c r="T28" s="4">
        <f>AL28-S28</f>
        <v>1727.3030998331858</v>
      </c>
      <c r="U28" s="4">
        <f>U31</f>
        <v>-1527.336245973084</v>
      </c>
      <c r="V28" s="4">
        <f>AM28-U28</f>
        <v>2011.9162434804803</v>
      </c>
      <c r="W28" s="4">
        <f>W31</f>
        <v>-1805.6221778998549</v>
      </c>
      <c r="X28" s="4">
        <f>AN28-W28</f>
        <v>2374.7255893612055</v>
      </c>
      <c r="Y28" s="4">
        <f>Y31</f>
        <v>-2156.9206279172558</v>
      </c>
      <c r="Z28" s="4">
        <f>AO28-Y28</f>
        <v>2827.3099956900119</v>
      </c>
      <c r="AB28" s="3"/>
      <c r="AE28" s="4">
        <v>116</v>
      </c>
      <c r="AF28" s="4">
        <v>211</v>
      </c>
      <c r="AG28" s="4">
        <v>357</v>
      </c>
      <c r="AH28" s="4">
        <v>97</v>
      </c>
      <c r="AI28" s="4">
        <v>183</v>
      </c>
      <c r="AJ28" s="4">
        <f t="shared" ref="AJ28:AO28" si="90">AI28/AI24*AJ24</f>
        <v>309.40073146360163</v>
      </c>
      <c r="AK28" s="4">
        <f t="shared" si="90"/>
        <v>356.37918216843372</v>
      </c>
      <c r="AL28" s="4">
        <f t="shared" si="90"/>
        <v>414.31368645408241</v>
      </c>
      <c r="AM28" s="4">
        <f t="shared" si="90"/>
        <v>484.57999750739629</v>
      </c>
      <c r="AN28" s="4">
        <f t="shared" si="90"/>
        <v>569.10341146135079</v>
      </c>
      <c r="AO28" s="4">
        <f t="shared" si="90"/>
        <v>670.38936777275615</v>
      </c>
      <c r="AQ28" s="3"/>
    </row>
    <row r="29" spans="1:43" x14ac:dyDescent="0.3">
      <c r="O29" s="4"/>
      <c r="Q29" s="4"/>
      <c r="AB29" s="3"/>
      <c r="AJ29" s="4"/>
      <c r="AK29" s="4"/>
      <c r="AL29" s="4"/>
      <c r="AM29" s="4"/>
      <c r="AN29" s="4"/>
      <c r="AO29" s="4"/>
      <c r="AQ29" s="3"/>
    </row>
    <row r="30" spans="1:43" x14ac:dyDescent="0.3">
      <c r="M30" s="10"/>
      <c r="N30" s="10">
        <f>N27/N24</f>
        <v>1.9791666666666667</v>
      </c>
      <c r="O30" s="4"/>
      <c r="Q30" s="4">
        <f>N$30*Q24</f>
        <v>2337.7043262239358</v>
      </c>
      <c r="S30" s="4">
        <f>$N$30*S24</f>
        <v>2653.9147717237197</v>
      </c>
      <c r="U30" s="4">
        <f>$N$30*U24</f>
        <v>3087.1690078179358</v>
      </c>
      <c r="W30" s="4">
        <f>$N$30*W24</f>
        <v>3649.6618489465159</v>
      </c>
      <c r="Y30" s="4">
        <f>$N$30*Y24</f>
        <v>4359.7331840880715</v>
      </c>
      <c r="AB30" s="3"/>
      <c r="AJ30" s="4"/>
      <c r="AK30" s="4"/>
      <c r="AL30" s="4"/>
      <c r="AM30" s="4"/>
      <c r="AN30" s="4"/>
      <c r="AO30" s="4"/>
      <c r="AQ30" s="3"/>
    </row>
    <row r="31" spans="1:43" x14ac:dyDescent="0.3">
      <c r="M31" s="10"/>
      <c r="N31" s="10">
        <f>N28/N24</f>
        <v>-0.97916666666666663</v>
      </c>
      <c r="O31" s="4"/>
      <c r="Q31" s="34">
        <f>N$31*Q24</f>
        <v>-1156.5484561318419</v>
      </c>
      <c r="S31" s="34">
        <f>$N$31*S24</f>
        <v>-1312.9894133791033</v>
      </c>
      <c r="U31" s="34">
        <f>$N$31*U24</f>
        <v>-1527.336245973084</v>
      </c>
      <c r="W31" s="34">
        <f>$N$31*W24</f>
        <v>-1805.6221778998549</v>
      </c>
      <c r="Y31" s="34">
        <f>$N$31*Y24</f>
        <v>-2156.9206279172558</v>
      </c>
    </row>
    <row r="32" spans="1:43" x14ac:dyDescent="0.3">
      <c r="A32" s="3" t="s">
        <v>18</v>
      </c>
    </row>
    <row r="33" spans="1:43" x14ac:dyDescent="0.3">
      <c r="A33" t="s">
        <v>19</v>
      </c>
      <c r="B33" s="19">
        <f>B27/B37</f>
        <v>1.6352453747136655</v>
      </c>
      <c r="C33" s="19">
        <f t="shared" ref="C33:Z33" si="91">C27/C37</f>
        <v>2.1386648637444114</v>
      </c>
      <c r="D33" s="19">
        <f t="shared" si="91"/>
        <v>3.7739102384580772</v>
      </c>
      <c r="E33" s="19">
        <f t="shared" si="91"/>
        <v>-0.51604854774147646</v>
      </c>
      <c r="F33" s="19">
        <f t="shared" ref="F33" si="92">F27/F37</f>
        <v>0.1615633500718639</v>
      </c>
      <c r="G33" s="19">
        <f t="shared" si="91"/>
        <v>1.7959493266123605</v>
      </c>
      <c r="H33" s="19">
        <f t="shared" ref="H33" si="93">H27/H37</f>
        <v>3.977487980782529</v>
      </c>
      <c r="I33" s="19">
        <f t="shared" si="91"/>
        <v>2.1977011892676699</v>
      </c>
      <c r="J33" s="19">
        <f t="shared" ref="J33" si="94">J27/J37</f>
        <v>2.4619351082727179</v>
      </c>
      <c r="K33" s="19">
        <f t="shared" si="91"/>
        <v>2.039951327961286</v>
      </c>
      <c r="L33" s="19">
        <f t="shared" ref="L33" si="95">L27/L37</f>
        <v>2.0374520423411284</v>
      </c>
      <c r="M33" s="19">
        <f t="shared" si="91"/>
        <v>-0.16957802716025588</v>
      </c>
      <c r="N33" s="19">
        <f t="shared" ref="N33:P33" si="96">N27/N37</f>
        <v>2.9791207921535596</v>
      </c>
      <c r="O33" s="19">
        <f t="shared" si="91"/>
        <v>3.8072051883898497</v>
      </c>
      <c r="P33" s="19">
        <f t="shared" si="96"/>
        <v>-0.85548928831214877</v>
      </c>
      <c r="Q33" s="19">
        <f t="shared" si="91"/>
        <v>4.1730638926744863</v>
      </c>
      <c r="R33" s="19">
        <f t="shared" si="91"/>
        <v>-1.2213479925967854</v>
      </c>
      <c r="S33" s="19">
        <f t="shared" si="91"/>
        <v>4.7375349328308527</v>
      </c>
      <c r="T33" s="19">
        <f t="shared" si="91"/>
        <v>-0.7849382788368704</v>
      </c>
      <c r="U33" s="19">
        <f t="shared" si="91"/>
        <v>5.5109422404664921</v>
      </c>
      <c r="V33" s="19">
        <f t="shared" si="91"/>
        <v>-0.88799750230751895</v>
      </c>
      <c r="W33" s="19">
        <f t="shared" si="91"/>
        <v>6.5150549243802685</v>
      </c>
      <c r="X33" s="19">
        <f t="shared" si="91"/>
        <v>-1.0857478233511637</v>
      </c>
      <c r="Y33" s="19">
        <f t="shared" si="91"/>
        <v>7.7826117392700134</v>
      </c>
      <c r="Z33" s="19">
        <f t="shared" si="91"/>
        <v>-1.3870258376553284</v>
      </c>
      <c r="AB33" s="3"/>
      <c r="AE33" s="19">
        <f t="shared" ref="AE33:AO33" si="97">AE27/AE37</f>
        <v>-0.35439702596408856</v>
      </c>
      <c r="AF33" s="19">
        <f t="shared" si="97"/>
        <v>5.7734367022362996</v>
      </c>
      <c r="AG33" s="19">
        <f t="shared" si="97"/>
        <v>4.6597811999911292</v>
      </c>
      <c r="AH33" s="19">
        <f t="shared" si="97"/>
        <v>4.0891023567543208</v>
      </c>
      <c r="AI33" s="19">
        <f t="shared" ref="AI33" si="98">AI27/AI37</f>
        <v>1.7458394721919557</v>
      </c>
      <c r="AJ33" s="6">
        <f t="shared" si="97"/>
        <v>2.9517159000777009</v>
      </c>
      <c r="AK33" s="6">
        <f t="shared" si="97"/>
        <v>3.3998953185636025</v>
      </c>
      <c r="AL33" s="6">
        <f t="shared" si="97"/>
        <v>3.9525966539939819</v>
      </c>
      <c r="AM33" s="6">
        <f t="shared" si="97"/>
        <v>4.6229447381589726</v>
      </c>
      <c r="AN33" s="6">
        <f t="shared" si="97"/>
        <v>5.4293071010291047</v>
      </c>
      <c r="AO33" s="6">
        <f t="shared" si="97"/>
        <v>6.3955859016146857</v>
      </c>
      <c r="AQ33" s="3"/>
    </row>
    <row r="34" spans="1:43" x14ac:dyDescent="0.3">
      <c r="A34" t="s">
        <v>20</v>
      </c>
      <c r="B34" s="19">
        <f>B27/B38</f>
        <v>1.6352453747136655</v>
      </c>
      <c r="C34" s="19">
        <f t="shared" ref="C34:Z34" si="99">C27/C38</f>
        <v>2.1386648637444114</v>
      </c>
      <c r="D34" s="19">
        <f t="shared" si="99"/>
        <v>3.7739102384580772</v>
      </c>
      <c r="E34" s="19">
        <f t="shared" si="99"/>
        <v>-0.51604854774147646</v>
      </c>
      <c r="F34" s="19">
        <f t="shared" ref="F34" si="100">F27/F38</f>
        <v>0.1615633500718639</v>
      </c>
      <c r="G34" s="19">
        <f t="shared" si="99"/>
        <v>1.7957600379213114</v>
      </c>
      <c r="H34" s="19">
        <f t="shared" ref="H34" si="101">H27/H38</f>
        <v>3.9759056989477717</v>
      </c>
      <c r="I34" s="19">
        <f t="shared" si="99"/>
        <v>2.1971903743337262</v>
      </c>
      <c r="J34" s="19">
        <f t="shared" ref="J34" si="102">J27/J38</f>
        <v>2.45995789218725</v>
      </c>
      <c r="K34" s="19">
        <f t="shared" si="99"/>
        <v>2.039159856543058</v>
      </c>
      <c r="L34" s="19">
        <f t="shared" ref="L34" si="103">L27/L38</f>
        <v>2.0355345464433627</v>
      </c>
      <c r="M34" s="19">
        <f t="shared" si="99"/>
        <v>-0.16950762426291238</v>
      </c>
      <c r="N34" s="19">
        <f t="shared" ref="N34:P34" si="104">N27/N38</f>
        <v>2.9767292178177449</v>
      </c>
      <c r="O34" s="19">
        <f t="shared" si="99"/>
        <v>3.8041488456447974</v>
      </c>
      <c r="P34" s="19">
        <f t="shared" si="104"/>
        <v>-0.85480251984278011</v>
      </c>
      <c r="Q34" s="19">
        <f t="shared" si="99"/>
        <v>4.169713846401196</v>
      </c>
      <c r="R34" s="19">
        <f t="shared" si="99"/>
        <v>-1.2203675205991791</v>
      </c>
      <c r="S34" s="19">
        <f t="shared" si="99"/>
        <v>4.73373174130192</v>
      </c>
      <c r="T34" s="19">
        <f t="shared" si="99"/>
        <v>-0.78430814720615261</v>
      </c>
      <c r="U34" s="19">
        <f t="shared" si="99"/>
        <v>5.5065181741234381</v>
      </c>
      <c r="V34" s="19">
        <f t="shared" si="99"/>
        <v>-0.88728463694053561</v>
      </c>
      <c r="W34" s="19">
        <f t="shared" si="99"/>
        <v>6.509824777890536</v>
      </c>
      <c r="X34" s="19">
        <f t="shared" si="99"/>
        <v>-1.084876208263809</v>
      </c>
      <c r="Y34" s="19">
        <f t="shared" si="99"/>
        <v>7.7763640253302935</v>
      </c>
      <c r="Z34" s="19">
        <f t="shared" si="99"/>
        <v>-1.3859123630338275</v>
      </c>
      <c r="AB34" s="3"/>
      <c r="AE34" s="19">
        <f t="shared" ref="AE34:AO34" si="105">AE27/AE38</f>
        <v>-0.35439702596408856</v>
      </c>
      <c r="AF34" s="19">
        <f t="shared" si="105"/>
        <v>5.7711399752412191</v>
      </c>
      <c r="AG34" s="19">
        <f t="shared" si="105"/>
        <v>4.6560388615710693</v>
      </c>
      <c r="AH34" s="19">
        <f t="shared" si="105"/>
        <v>4.0852540026180382</v>
      </c>
      <c r="AI34" s="19">
        <f t="shared" ref="AI34" si="106">AI27/AI38</f>
        <v>1.7444379496732505</v>
      </c>
      <c r="AJ34" s="6">
        <f t="shared" si="105"/>
        <v>2.9493463258020172</v>
      </c>
      <c r="AK34" s="6">
        <f t="shared" si="105"/>
        <v>3.3971659554542755</v>
      </c>
      <c r="AL34" s="6">
        <f t="shared" si="105"/>
        <v>3.9494235940957676</v>
      </c>
      <c r="AM34" s="6">
        <f t="shared" si="105"/>
        <v>4.619233537182903</v>
      </c>
      <c r="AN34" s="6">
        <f t="shared" si="105"/>
        <v>5.4249485696267268</v>
      </c>
      <c r="AO34" s="6">
        <f t="shared" si="105"/>
        <v>6.3904516622964662</v>
      </c>
      <c r="AQ34" s="3"/>
    </row>
    <row r="36" spans="1:43" x14ac:dyDescent="0.3">
      <c r="A36" s="3" t="s">
        <v>21</v>
      </c>
    </row>
    <row r="37" spans="1:43" x14ac:dyDescent="0.3">
      <c r="A37" t="s">
        <v>22</v>
      </c>
      <c r="B37">
        <v>288.030168</v>
      </c>
      <c r="C37" s="4">
        <f>D37</f>
        <v>288.030168</v>
      </c>
      <c r="D37" s="4">
        <v>288.030168</v>
      </c>
      <c r="E37" s="4">
        <v>575.52724699999999</v>
      </c>
      <c r="F37" s="4">
        <f>AE37</f>
        <v>575.62559799999997</v>
      </c>
      <c r="G37" s="4">
        <v>575.74007500000005</v>
      </c>
      <c r="H37" s="4">
        <f>AF37</f>
        <v>575.74026900000001</v>
      </c>
      <c r="I37" s="4">
        <v>575.60145399999999</v>
      </c>
      <c r="J37" s="4">
        <f>AG37</f>
        <v>575.56350499999996</v>
      </c>
      <c r="K37" s="4">
        <v>566.68018700000005</v>
      </c>
      <c r="L37" s="4">
        <f>AH37</f>
        <v>563.44884500000001</v>
      </c>
      <c r="M37" s="4">
        <v>560.21408899999994</v>
      </c>
      <c r="N37" s="4">
        <f>AI37</f>
        <v>560.18896099999995</v>
      </c>
      <c r="O37" s="4">
        <f>N37</f>
        <v>560.18896099999995</v>
      </c>
      <c r="P37" s="4">
        <f>AJ37</f>
        <v>560.18896099999995</v>
      </c>
      <c r="Q37" s="4">
        <f t="shared" ref="Q37:Y37" si="107">P37</f>
        <v>560.18896099999995</v>
      </c>
      <c r="R37" s="4">
        <f>AK37</f>
        <v>560.18896099999995</v>
      </c>
      <c r="S37" s="4">
        <f t="shared" si="107"/>
        <v>560.18896099999995</v>
      </c>
      <c r="T37" s="4">
        <f>AL37</f>
        <v>560.18896099999995</v>
      </c>
      <c r="U37" s="4">
        <f t="shared" si="107"/>
        <v>560.18896099999995</v>
      </c>
      <c r="V37" s="4">
        <f>AM37</f>
        <v>560.18896099999995</v>
      </c>
      <c r="W37" s="4">
        <f t="shared" si="107"/>
        <v>560.18896099999995</v>
      </c>
      <c r="X37" s="4">
        <f>AN37</f>
        <v>560.18896099999995</v>
      </c>
      <c r="Y37" s="4">
        <f t="shared" si="107"/>
        <v>560.18896099999995</v>
      </c>
      <c r="Z37" s="4">
        <f>AO37</f>
        <v>560.18896099999995</v>
      </c>
      <c r="AE37" s="4">
        <v>575.62559799999997</v>
      </c>
      <c r="AF37" s="4">
        <v>575.74026900000001</v>
      </c>
      <c r="AG37" s="4">
        <v>575.56350499999996</v>
      </c>
      <c r="AH37" s="4">
        <v>563.44884500000001</v>
      </c>
      <c r="AI37" s="4">
        <v>560.18896099999995</v>
      </c>
      <c r="AJ37" s="4">
        <f t="shared" ref="AJ37:AO37" si="108">AI37</f>
        <v>560.18896099999995</v>
      </c>
      <c r="AK37" s="4">
        <f t="shared" si="108"/>
        <v>560.18896099999995</v>
      </c>
      <c r="AL37" s="4">
        <f t="shared" si="108"/>
        <v>560.18896099999995</v>
      </c>
      <c r="AM37" s="4">
        <f t="shared" si="108"/>
        <v>560.18896099999995</v>
      </c>
      <c r="AN37" s="4">
        <f t="shared" si="108"/>
        <v>560.18896099999995</v>
      </c>
      <c r="AO37" s="4">
        <f t="shared" si="108"/>
        <v>560.18896099999995</v>
      </c>
    </row>
    <row r="38" spans="1:43" x14ac:dyDescent="0.3">
      <c r="A38" t="s">
        <v>23</v>
      </c>
      <c r="B38">
        <v>288.030168</v>
      </c>
      <c r="C38" s="4">
        <f>D38</f>
        <v>288.030168</v>
      </c>
      <c r="D38" s="4">
        <v>288.030168</v>
      </c>
      <c r="E38" s="4">
        <v>575.52724699999999</v>
      </c>
      <c r="F38" s="4">
        <f>AE38</f>
        <v>575.62559799999997</v>
      </c>
      <c r="G38" s="4">
        <v>575.80076299999996</v>
      </c>
      <c r="H38" s="4">
        <f>AF38</f>
        <v>575.96939499999996</v>
      </c>
      <c r="I38" s="4">
        <v>575.73527300000001</v>
      </c>
      <c r="J38" s="4">
        <f>AG38</f>
        <v>576.02611999999999</v>
      </c>
      <c r="K38" s="4">
        <v>566.90013599999997</v>
      </c>
      <c r="L38" s="4">
        <f>AH38</f>
        <v>563.97961999999995</v>
      </c>
      <c r="M38" s="4">
        <v>560.44676700000002</v>
      </c>
      <c r="N38" s="4">
        <f>AI38</f>
        <v>560.63903000000005</v>
      </c>
      <c r="O38" s="4">
        <f>N38</f>
        <v>560.63903000000005</v>
      </c>
      <c r="P38" s="4">
        <f>O38</f>
        <v>560.63903000000005</v>
      </c>
      <c r="Q38" s="4">
        <f t="shared" ref="Q38:Z38" si="109">P38</f>
        <v>560.63903000000005</v>
      </c>
      <c r="R38" s="4">
        <f t="shared" si="109"/>
        <v>560.63903000000005</v>
      </c>
      <c r="S38" s="4">
        <f t="shared" si="109"/>
        <v>560.63903000000005</v>
      </c>
      <c r="T38" s="4">
        <f t="shared" si="109"/>
        <v>560.63903000000005</v>
      </c>
      <c r="U38" s="4">
        <f t="shared" si="109"/>
        <v>560.63903000000005</v>
      </c>
      <c r="V38" s="4">
        <f t="shared" si="109"/>
        <v>560.63903000000005</v>
      </c>
      <c r="W38" s="4">
        <f t="shared" si="109"/>
        <v>560.63903000000005</v>
      </c>
      <c r="X38" s="4">
        <f t="shared" si="109"/>
        <v>560.63903000000005</v>
      </c>
      <c r="Y38" s="4">
        <f t="shared" si="109"/>
        <v>560.63903000000005</v>
      </c>
      <c r="Z38" s="4">
        <f t="shared" si="109"/>
        <v>560.63903000000005</v>
      </c>
      <c r="AE38" s="4">
        <v>575.62559799999997</v>
      </c>
      <c r="AF38" s="4">
        <v>575.96939499999996</v>
      </c>
      <c r="AG38" s="4">
        <v>576.02611999999999</v>
      </c>
      <c r="AH38" s="4">
        <v>563.97961999999995</v>
      </c>
      <c r="AI38" s="4">
        <v>560.63903000000005</v>
      </c>
      <c r="AJ38" s="4">
        <f t="shared" ref="AJ38:AO38" si="110">AI38</f>
        <v>560.63903000000005</v>
      </c>
      <c r="AK38" s="4">
        <f t="shared" si="110"/>
        <v>560.63903000000005</v>
      </c>
      <c r="AL38" s="4">
        <f t="shared" si="110"/>
        <v>560.63903000000005</v>
      </c>
      <c r="AM38" s="4">
        <f t="shared" si="110"/>
        <v>560.63903000000005</v>
      </c>
      <c r="AN38" s="4">
        <f t="shared" si="110"/>
        <v>560.63903000000005</v>
      </c>
      <c r="AO38" s="4">
        <f t="shared" si="110"/>
        <v>560.63903000000005</v>
      </c>
    </row>
    <row r="41" spans="1:43" x14ac:dyDescent="0.3">
      <c r="A41" t="s">
        <v>176</v>
      </c>
      <c r="AG41" s="4">
        <f>AG42-AG5</f>
        <v>-25</v>
      </c>
      <c r="AH41" s="4">
        <f>AH42-AH5</f>
        <v>-54</v>
      </c>
      <c r="AI41" s="4">
        <f>AI42-AI5</f>
        <v>2702.6240279446647</v>
      </c>
    </row>
    <row r="42" spans="1:43" x14ac:dyDescent="0.3">
      <c r="A42" t="s">
        <v>157</v>
      </c>
      <c r="I42" s="4">
        <f>Total!I17</f>
        <v>13485</v>
      </c>
      <c r="J42" s="4">
        <f>J5</f>
        <v>15234</v>
      </c>
      <c r="K42" s="4">
        <f>Total!K17</f>
        <v>14514</v>
      </c>
      <c r="L42" s="4">
        <f>L5</f>
        <v>15838</v>
      </c>
      <c r="M42" s="4">
        <f>Total!M17</f>
        <v>14815</v>
      </c>
      <c r="N42" s="4">
        <f>N5</f>
        <v>14997</v>
      </c>
      <c r="O42" s="4">
        <f>Total!O17</f>
        <v>15432.842891922115</v>
      </c>
      <c r="P42" s="4">
        <f>P5</f>
        <v>19885.332384401878</v>
      </c>
      <c r="Q42" s="4">
        <f>Total!Q17</f>
        <v>16386.673555131645</v>
      </c>
      <c r="R42" s="4">
        <f>R5</f>
        <v>22330.015730208077</v>
      </c>
      <c r="S42" s="4">
        <f>Total!S17</f>
        <v>17678.547110952884</v>
      </c>
      <c r="T42" s="4">
        <f>T5</f>
        <v>25098.108268063585</v>
      </c>
      <c r="U42" s="4">
        <f>Total!U17</f>
        <v>19330.78179227599</v>
      </c>
      <c r="V42" s="4">
        <f>V5</f>
        <v>28255.609359966966</v>
      </c>
      <c r="W42" s="4">
        <f>Total!W17</f>
        <v>21384.123021094667</v>
      </c>
      <c r="X42" s="4">
        <f>X5</f>
        <v>31881.428147236722</v>
      </c>
      <c r="Y42" s="4">
        <f>Total!Y17</f>
        <v>23897.320533573071</v>
      </c>
      <c r="Z42" s="4">
        <f>Z5</f>
        <v>36070.143350001672</v>
      </c>
      <c r="AG42" s="4">
        <f>Total!AG17</f>
        <v>28694</v>
      </c>
      <c r="AH42" s="4">
        <f>Total!AH17</f>
        <v>30308</v>
      </c>
      <c r="AI42" s="4">
        <f>Total!AI17</f>
        <v>32523.624027944665</v>
      </c>
      <c r="AJ42" s="4">
        <f>Total!AJ17</f>
        <v>35318.175276323993</v>
      </c>
      <c r="AK42" s="4">
        <f>Total!AK17</f>
        <v>38716.689285339722</v>
      </c>
      <c r="AL42" s="4">
        <f>Total!AL17</f>
        <v>42776.655379016469</v>
      </c>
      <c r="AM42" s="4">
        <f>Total!AM17</f>
        <v>47586.391152242955</v>
      </c>
      <c r="AN42" s="4">
        <f>Total!AN17</f>
        <v>53265.551168331389</v>
      </c>
      <c r="AO42" s="4">
        <f>Total!AO17</f>
        <v>59967.463883574739</v>
      </c>
    </row>
  </sheetData>
  <phoneticPr fontId="8" type="noConversion"/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high="1" low="1" negative="1" xr2:uid="{69949E80-EA7E-4873-BCA2-51CD087DEDD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'Profit and Loss Statement '!AE34:AO34</xm:f>
              <xm:sqref>AQ34</xm:sqref>
            </x14:sparkline>
          </x14:sparklines>
        </x14:sparklineGroup>
        <x14:sparklineGroup displayEmptyCellsAs="gap" markers="1" high="1" low="1" negative="1" xr2:uid="{64F15B0C-E7F5-49B2-9521-E4A5E71A2D4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'Profit and Loss Statement '!AE33:AO33</xm:f>
              <xm:sqref>AQ33</xm:sqref>
            </x14:sparkline>
          </x14:sparklines>
        </x14:sparklineGroup>
        <x14:sparklineGroup displayEmptyCellsAs="gap" markers="1" high="1" low="1" negative="1" xr2:uid="{2BEF145A-8BDE-4E99-BDEE-D19B419CC72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'Profit and Loss Statement '!AE28:AO28</xm:f>
              <xm:sqref>AQ28</xm:sqref>
            </x14:sparkline>
            <x14:sparkline>
              <xm:f>'Profit and Loss Statement '!AE29:AO29</xm:f>
              <xm:sqref>AQ29</xm:sqref>
            </x14:sparkline>
            <x14:sparkline>
              <xm:f>'Profit and Loss Statement '!AE30:AO30</xm:f>
              <xm:sqref>AQ30</xm:sqref>
            </x14:sparkline>
          </x14:sparklines>
        </x14:sparklineGroup>
        <x14:sparklineGroup displayEmptyCellsAs="gap" markers="1" high="1" low="1" negative="1" xr2:uid="{467DA01A-F963-40A0-984B-05446DA43A0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'Profit and Loss Statement '!AE27:AO27</xm:f>
              <xm:sqref>AQ27</xm:sqref>
            </x14:sparkline>
          </x14:sparklines>
        </x14:sparklineGroup>
        <x14:sparklineGroup displayEmptyCellsAs="gap" markers="1" high="1" low="1" negative="1" xr2:uid="{F041F5A1-CB67-4BC0-AC2B-9C7ABE099BC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'Profit and Loss Statement '!AE22:AO22</xm:f>
              <xm:sqref>AQ22</xm:sqref>
            </x14:sparkline>
          </x14:sparklines>
        </x14:sparklineGroup>
        <x14:sparklineGroup displayEmptyCellsAs="gap" markers="1" high="1" low="1" negative="1" xr2:uid="{E03C606E-2BC4-4882-9784-8AC58917000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'Profit and Loss Statement '!AE24:AO24</xm:f>
              <xm:sqref>AQ24</xm:sqref>
            </x14:sparkline>
          </x14:sparklines>
        </x14:sparklineGroup>
        <x14:sparklineGroup displayEmptyCellsAs="gap" markers="1" high="1" low="1" negative="1" xr2:uid="{72C3B1F7-1737-44F4-9DBE-C8A118C256C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'Profit and Loss Statement '!AE21:AO21</xm:f>
              <xm:sqref>AQ21</xm:sqref>
            </x14:sparkline>
          </x14:sparklines>
        </x14:sparklineGroup>
        <x14:sparklineGroup displayEmptyCellsAs="gap" markers="1" high="1" low="1" negative="1" xr2:uid="{79DE580A-542E-4DDC-916B-3B1E7A660E6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'Profit and Loss Statement '!AE15:AO15</xm:f>
              <xm:sqref>AQ15</xm:sqref>
            </x14:sparkline>
          </x14:sparklines>
        </x14:sparklineGroup>
        <x14:sparklineGroup displayEmptyCellsAs="gap" markers="1" high="1" low="1" negative="1" xr2:uid="{97011675-CF81-473F-B1B3-841672C60BB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'Profit and Loss Statement '!AE14:AO14</xm:f>
              <xm:sqref>AQ14</xm:sqref>
            </x14:sparkline>
          </x14:sparklines>
        </x14:sparklineGroup>
        <x14:sparklineGroup displayEmptyCellsAs="gap" markers="1" high="1" low="1" negative="1" xr2:uid="{AFDE798E-96E5-4B8C-9300-0925F26E8EF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'Profit and Loss Statement '!AE11:AO11</xm:f>
              <xm:sqref>AQ11</xm:sqref>
            </x14:sparkline>
          </x14:sparklines>
        </x14:sparklineGroup>
        <x14:sparklineGroup displayEmptyCellsAs="gap" markers="1" high="1" low="1" negative="1" xr2:uid="{6842D5E0-A44B-4531-9DD7-4FF106FC0FC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'Profit and Loss Statement '!AE9:AO9</xm:f>
              <xm:sqref>AQ9</xm:sqref>
            </x14:sparkline>
          </x14:sparklines>
        </x14:sparklineGroup>
        <x14:sparklineGroup displayEmptyCellsAs="gap" markers="1" high="1" low="1" negative="1" xr2:uid="{2CA05BD2-6644-46F0-A57A-51B354DF89D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'Profit and Loss Statement '!AE7:AO7</xm:f>
              <xm:sqref>AQ7</xm:sqref>
            </x14:sparkline>
            <x14:sparkline>
              <xm:f>'Profit and Loss Statement '!AE8:AO8</xm:f>
              <xm:sqref>AQ8</xm:sqref>
            </x14:sparkline>
          </x14:sparklines>
        </x14:sparklineGroup>
        <x14:sparklineGroup displayEmptyCellsAs="gap" markers="1" high="1" low="1" negative="1" xr2:uid="{23E8C15B-8A20-4D49-BF31-5578B44DEEC2}">
          <x14:colorSeries rgb="FF32323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'Profit and Loss Statement '!E28:M28</xm:f>
              <xm:sqref>AB28</xm:sqref>
            </x14:sparkline>
            <x14:sparkline>
              <xm:f>'Profit and Loss Statement '!E29:M29</xm:f>
              <xm:sqref>AB29</xm:sqref>
            </x14:sparkline>
            <x14:sparkline>
              <xm:f>'Profit and Loss Statement '!E30:M30</xm:f>
              <xm:sqref>AB30</xm:sqref>
            </x14:sparkline>
          </x14:sparklines>
        </x14:sparklineGroup>
        <x14:sparklineGroup displayEmptyCellsAs="gap" markers="1" high="1" low="1" negative="1" xr2:uid="{9CF6D818-2EDE-4923-B272-9AEDB138AB7B}">
          <x14:colorSeries rgb="FF32323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'Profit and Loss Statement '!E27:M27</xm:f>
              <xm:sqref>AB27</xm:sqref>
            </x14:sparkline>
          </x14:sparklines>
        </x14:sparklineGroup>
        <x14:sparklineGroup displayEmptyCellsAs="gap" markers="1" high="1" low="1" negative="1" xr2:uid="{DAD8B926-D915-442E-9A82-5E9E65A2CD4A}">
          <x14:colorSeries rgb="FF32323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'Profit and Loss Statement '!E26:M26</xm:f>
              <xm:sqref>AB26</xm:sqref>
            </x14:sparkline>
          </x14:sparklines>
        </x14:sparklineGroup>
        <x14:sparklineGroup displayEmptyCellsAs="gap" markers="1" high="1" low="1" negative="1" xr2:uid="{D2F604B9-334E-4771-9970-8C093E467BE3}">
          <x14:colorSeries rgb="FF32323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'Profit and Loss Statement '!E20:M20</xm:f>
              <xm:sqref>AB20</xm:sqref>
            </x14:sparkline>
          </x14:sparklines>
        </x14:sparklineGroup>
        <x14:sparklineGroup displayEmptyCellsAs="gap" markers="1" high="1" low="1" negative="1" xr2:uid="{8CEA7BA9-1B0D-4ED9-A3FE-30F21ED837AD}">
          <x14:colorSeries rgb="FF32323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'Profit and Loss Statement '!E18:M18</xm:f>
              <xm:sqref>AB18</xm:sqref>
            </x14:sparkline>
          </x14:sparklines>
        </x14:sparklineGroup>
        <x14:sparklineGroup displayEmptyCellsAs="gap" markers="1" high="1" low="1" negative="1" xr2:uid="{E8004DFD-AB2B-477E-B81C-7DDFDF47507D}">
          <x14:colorSeries rgb="FF32323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'Profit and Loss Statement '!E16:M16</xm:f>
              <xm:sqref>AB16</xm:sqref>
            </x14:sparkline>
          </x14:sparklines>
        </x14:sparklineGroup>
        <x14:sparklineGroup displayEmptyCellsAs="gap" markers="1" high="1" low="1" negative="1" xr2:uid="{1ADF51E4-92F6-420D-A742-15CB37E46832}">
          <x14:colorSeries rgb="FF32323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'Profit and Loss Statement '!E17:M17</xm:f>
              <xm:sqref>AB17</xm:sqref>
            </x14:sparkline>
          </x14:sparklines>
        </x14:sparklineGroup>
        <x14:sparklineGroup displayEmptyCellsAs="gap" markers="1" high="1" low="1" negative="1" xr2:uid="{2A3F0FA6-DEC1-43CA-9388-7A8D28F428E2}">
          <x14:colorSeries rgb="FF32323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'Profit and Loss Statement '!E4:M4</xm:f>
              <xm:sqref>AB4</xm:sqref>
            </x14:sparkline>
          </x14:sparklines>
        </x14:sparklineGroup>
        <x14:sparklineGroup displayEmptyCellsAs="gap" markers="1" high="1" low="1" negative="1" xr2:uid="{C36A26AA-464E-4A66-9065-35AA3BEA6D21}">
          <x14:colorSeries rgb="FF32323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'Profit and Loss Statement '!E7:M7</xm:f>
              <xm:sqref>AB7</xm:sqref>
            </x14:sparkline>
            <x14:sparkline>
              <xm:f>'Profit and Loss Statement '!E8:M8</xm:f>
              <xm:sqref>AB8</xm:sqref>
            </x14:sparkline>
          </x14:sparklines>
        </x14:sparklineGroup>
        <x14:sparklineGroup displayEmptyCellsAs="gap" markers="1" high="1" low="1" negative="1" xr2:uid="{71FD56F8-71DA-4620-9D99-681216454AA1}">
          <x14:colorSeries rgb="FF32323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'Profit and Loss Statement '!E11:M11</xm:f>
              <xm:sqref>AB11</xm:sqref>
            </x14:sparkline>
          </x14:sparklines>
        </x14:sparklineGroup>
        <x14:sparklineGroup displayEmptyCellsAs="gap" markers="1" high="1" low="1" negative="1" xr2:uid="{A7271E1B-C290-4F1F-A210-0290138F3F5D}">
          <x14:colorSeries rgb="FF32323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'Profit and Loss Statement '!E9:M9</xm:f>
              <xm:sqref>AB9</xm:sqref>
            </x14:sparkline>
          </x14:sparklines>
        </x14:sparklineGroup>
        <x14:sparklineGroup displayEmptyCellsAs="gap" markers="1" high="1" low="1" negative="1" xr2:uid="{B5D810CD-44B9-44F5-AB42-F40B555EFE8F}">
          <x14:colorSeries rgb="FF32323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'Profit and Loss Statement '!E13:M13</xm:f>
              <xm:sqref>AB13</xm:sqref>
            </x14:sparkline>
          </x14:sparklines>
        </x14:sparklineGroup>
        <x14:sparklineGroup displayEmptyCellsAs="gap" markers="1" high="1" low="1" negative="1" xr2:uid="{C65B1835-2279-4917-B1B5-A42BACE3408B}">
          <x14:colorSeries rgb="FF32323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'Profit and Loss Statement '!E22:M22</xm:f>
              <xm:sqref>AB22</xm:sqref>
            </x14:sparkline>
          </x14:sparklines>
        </x14:sparklineGroup>
        <x14:sparklineGroup displayEmptyCellsAs="gap" markers="1" high="1" low="1" negative="1" xr2:uid="{79DE58C8-48CF-4351-AEF2-3A412A77AF60}">
          <x14:colorSeries rgb="FF32323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'Profit and Loss Statement '!E34:M34</xm:f>
              <xm:sqref>AB34</xm:sqref>
            </x14:sparkline>
          </x14:sparklines>
        </x14:sparklineGroup>
        <x14:sparklineGroup displayEmptyCellsAs="gap" markers="1" high="1" low="1" negative="1" xr2:uid="{4931F471-3E5A-4759-AB0F-552D49D83F58}">
          <x14:colorSeries rgb="FF32323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'Profit and Loss Statement '!E33:M33</xm:f>
              <xm:sqref>AB33</xm:sqref>
            </x14:sparkline>
          </x14:sparklines>
        </x14:sparklineGroup>
        <x14:sparklineGroup displayEmptyCellsAs="gap" markers="1" high="1" low="1" negative="1" xr2:uid="{1FE9AC41-183A-42CA-B498-36D9460671C0}">
          <x14:colorSeries rgb="FF32323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'Profit and Loss Statement '!E24:M24</xm:f>
              <xm:sqref>AB24</xm:sqref>
            </x14:sparkline>
          </x14:sparklines>
        </x14:sparklineGroup>
        <x14:sparklineGroup displayEmptyCellsAs="gap" markers="1" high="1" low="1" negative="1" xr2:uid="{00A0F4FC-A172-4C5C-A9E9-14118D3BC2F7}">
          <x14:colorSeries rgb="FF32323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'Profit and Loss Statement '!E21:M21</xm:f>
              <xm:sqref>AB21</xm:sqref>
            </x14:sparkline>
          </x14:sparklines>
        </x14:sparklineGroup>
        <x14:sparklineGroup displayEmptyCellsAs="gap" markers="1" high="1" low="1" negative="1" xr2:uid="{65920DE7-1D60-47A2-8C89-B204A36E7ECE}">
          <x14:colorSeries rgb="FF32323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'Profit and Loss Statement '!E19:M19</xm:f>
              <xm:sqref>AB19</xm:sqref>
            </x14:sparkline>
          </x14:sparklines>
        </x14:sparklineGroup>
        <x14:sparklineGroup displayEmptyCellsAs="gap" markers="1" high="1" low="1" negative="1" xr2:uid="{A1C0B222-9C7B-4D40-8707-6A5191D20C82}">
          <x14:colorSeries rgb="FF32323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'Profit and Loss Statement '!E15:M15</xm:f>
              <xm:sqref>AB15</xm:sqref>
            </x14:sparkline>
          </x14:sparklines>
        </x14:sparklineGroup>
        <x14:sparklineGroup displayEmptyCellsAs="gap" markers="1" high="1" low="1" negative="1" xr2:uid="{48300EB3-E1BC-4A85-A0E0-376712B53298}">
          <x14:colorSeries rgb="FF32323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'Profit and Loss Statement '!E14:M14</xm:f>
              <xm:sqref>AB14</xm:sqref>
            </x14:sparkline>
          </x14:sparklines>
        </x14:sparklineGroup>
        <x14:sparklineGroup displayEmptyCellsAs="gap" markers="1" high="1" low="1" negative="1" xr2:uid="{240A4D9E-D415-4708-A72D-F0F1C0E8C17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'Profit and Loss Statement '!AE5:AO5</xm:f>
              <xm:sqref>AQ5</xm:sqref>
            </x14:sparkline>
            <x14:sparkline>
              <xm:f>'Profit and Loss Statement '!AE6:AO6</xm:f>
              <xm:sqref>AQ6</xm:sqref>
            </x14:sparkline>
          </x14:sparklines>
        </x14:sparklineGroup>
        <x14:sparklineGroup displayEmptyCellsAs="gap" markers="1" high="1" low="1" negative="1" xr2:uid="{54B0EB44-8296-4D29-9B7F-0B9F614BE1A9}">
          <x14:colorSeries rgb="FF32323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'Profit and Loss Statement '!E5:M5</xm:f>
              <xm:sqref>AB5</xm:sqref>
            </x14:sparkline>
            <x14:sparkline>
              <xm:f>'Profit and Loss Statement '!E6:M6</xm:f>
              <xm:sqref>AB6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9F359-7BA4-4504-B78E-4E7815710812}">
  <dimension ref="A1:AW107"/>
  <sheetViews>
    <sheetView workbookViewId="0">
      <pane xSplit="1" ySplit="1" topLeftCell="AD2" activePane="bottomRight" state="frozen"/>
      <selection pane="topRight" activeCell="B1" sqref="B1"/>
      <selection pane="bottomLeft" activeCell="A2" sqref="A2"/>
      <selection pane="bottomRight" activeCell="AJ38" activeCellId="1" sqref="AJ31 AJ38"/>
    </sheetView>
  </sheetViews>
  <sheetFormatPr defaultRowHeight="14.4" x14ac:dyDescent="0.3"/>
  <cols>
    <col min="1" max="1" width="28.77734375" bestFit="1" customWidth="1"/>
    <col min="2" max="13" width="8.33203125" style="4" customWidth="1"/>
    <col min="14" max="14" width="9.109375" customWidth="1"/>
    <col min="15" max="15" width="8" customWidth="1"/>
    <col min="16" max="16" width="9.109375" customWidth="1"/>
    <col min="17" max="17" width="9" customWidth="1"/>
    <col min="18" max="18" width="9.109375" customWidth="1"/>
    <col min="19" max="19" width="9" customWidth="1"/>
    <col min="20" max="20" width="9.109375" customWidth="1"/>
    <col min="21" max="21" width="9" customWidth="1"/>
    <col min="22" max="22" width="9.109375" customWidth="1"/>
    <col min="23" max="23" width="9" customWidth="1"/>
    <col min="24" max="24" width="9.109375" customWidth="1"/>
    <col min="25" max="25" width="9" customWidth="1"/>
    <col min="26" max="26" width="9.109375" customWidth="1"/>
    <col min="27" max="27" width="8.88671875" customWidth="1"/>
    <col min="28" max="28" width="17.109375" customWidth="1"/>
    <col min="29" max="30" width="8.88671875" customWidth="1"/>
    <col min="31" max="32" width="8.33203125" style="4" customWidth="1"/>
    <col min="33" max="34" width="6.5546875" style="4" customWidth="1"/>
    <col min="35" max="35" width="7.109375" customWidth="1"/>
    <col min="36" max="36" width="8.5546875" customWidth="1"/>
    <col min="37" max="41" width="9.44140625" customWidth="1"/>
    <col min="42" max="43" width="8.88671875" customWidth="1"/>
    <col min="44" max="44" width="8.21875" customWidth="1"/>
    <col min="45" max="45" width="8.88671875" customWidth="1"/>
  </cols>
  <sheetData>
    <row r="1" spans="1:49" x14ac:dyDescent="0.3">
      <c r="A1" s="1" t="str">
        <f>'Profit and Loss Statement '!A1</f>
        <v>In millions of €</v>
      </c>
      <c r="B1" s="4" t="str">
        <f>'Profit and Loss Statement '!B1</f>
        <v>H1'19</v>
      </c>
      <c r="C1" s="4" t="str">
        <f>'Profit and Loss Statement '!C1</f>
        <v>H2'19</v>
      </c>
      <c r="D1" s="4" t="str">
        <f>'Profit and Loss Statement '!D1</f>
        <v>FY'19</v>
      </c>
      <c r="E1" s="4" t="str">
        <f>'Profit and Loss Statement '!E1</f>
        <v>H1'20</v>
      </c>
      <c r="F1" s="4" t="str">
        <f>'Profit and Loss Statement '!F1</f>
        <v>H2'20</v>
      </c>
      <c r="G1" s="4" t="str">
        <f>'Profit and Loss Statement '!G1</f>
        <v>H1'21</v>
      </c>
      <c r="H1" s="4" t="str">
        <f>'Profit and Loss Statement '!H1</f>
        <v>H2'21</v>
      </c>
      <c r="I1" s="4" t="str">
        <f>'Profit and Loss Statement '!I1</f>
        <v>H1'22</v>
      </c>
      <c r="J1" s="4" t="str">
        <f>'Profit and Loss Statement '!J1</f>
        <v>H2'22</v>
      </c>
      <c r="K1" s="4" t="str">
        <f>'Profit and Loss Statement '!K1</f>
        <v>H1'23</v>
      </c>
      <c r="L1" s="4" t="str">
        <f>'Profit and Loss Statement '!L1</f>
        <v>H2'23</v>
      </c>
      <c r="M1" s="4" t="str">
        <f>'Profit and Loss Statement '!M1</f>
        <v>H1'24</v>
      </c>
      <c r="N1" t="str">
        <f>'Profit and Loss Statement '!N1</f>
        <v>H2'24</v>
      </c>
      <c r="O1" t="str">
        <f>'Profit and Loss Statement '!O1</f>
        <v>H1'25</v>
      </c>
      <c r="P1" t="str">
        <f>'Profit and Loss Statement '!P1</f>
        <v>H2'25</v>
      </c>
      <c r="Q1" t="str">
        <f>'Profit and Loss Statement '!Q1</f>
        <v>H1'26</v>
      </c>
      <c r="R1" t="str">
        <f>'Profit and Loss Statement '!R1</f>
        <v>H2'26</v>
      </c>
      <c r="S1" t="str">
        <f>'Profit and Loss Statement '!S1</f>
        <v>H1'27</v>
      </c>
      <c r="T1" t="str">
        <f>'Profit and Loss Statement '!T1</f>
        <v>H2'27</v>
      </c>
      <c r="U1" t="str">
        <f>'Profit and Loss Statement '!U1</f>
        <v>H1'28</v>
      </c>
      <c r="V1" t="str">
        <f>'Profit and Loss Statement '!V1</f>
        <v>H2'28</v>
      </c>
      <c r="W1" t="str">
        <f>'Profit and Loss Statement '!W1</f>
        <v>H1'29</v>
      </c>
      <c r="X1" t="str">
        <f>'Profit and Loss Statement '!X1</f>
        <v>H2'29</v>
      </c>
      <c r="Y1" t="str">
        <f>'Profit and Loss Statement '!Y1</f>
        <v>H1'30</v>
      </c>
      <c r="Z1" t="str">
        <f>'Profit and Loss Statement '!Z1</f>
        <v>H2'30</v>
      </c>
      <c r="AE1" s="4" t="str">
        <f>'Profit and Loss Statement '!AE1</f>
        <v>FY'20</v>
      </c>
      <c r="AF1" s="4" t="str">
        <f>'Profit and Loss Statement '!AF1</f>
        <v>FY'21</v>
      </c>
      <c r="AG1" s="4" t="str">
        <f>'Profit and Loss Statement '!AG1</f>
        <v>FY'22</v>
      </c>
      <c r="AH1" s="4" t="str">
        <f>'Profit and Loss Statement '!AH1</f>
        <v>FY'23</v>
      </c>
      <c r="AI1" t="str">
        <f>'Profit and Loss Statement '!AI1</f>
        <v>FY'24</v>
      </c>
      <c r="AJ1" t="str">
        <f>'Profit and Loss Statement '!AJ1</f>
        <v>FY'25</v>
      </c>
      <c r="AK1" t="str">
        <f>'Profit and Loss Statement '!AK1</f>
        <v>FY'26</v>
      </c>
      <c r="AL1" t="str">
        <f>'Profit and Loss Statement '!AL1</f>
        <v>FY'27</v>
      </c>
      <c r="AM1" t="str">
        <f>'Profit and Loss Statement '!AM1</f>
        <v>FY'28</v>
      </c>
      <c r="AN1" t="str">
        <f>'Profit and Loss Statement '!AN1</f>
        <v>FY'29</v>
      </c>
      <c r="AO1" t="str">
        <f>'Profit and Loss Statement '!AO1</f>
        <v>FY'30</v>
      </c>
    </row>
    <row r="3" spans="1:49" x14ac:dyDescent="0.3">
      <c r="A3" t="s">
        <v>60</v>
      </c>
      <c r="B3" s="4">
        <v>17569</v>
      </c>
      <c r="C3" s="4">
        <f>D3</f>
        <v>17769</v>
      </c>
      <c r="D3" s="4">
        <v>17769</v>
      </c>
      <c r="E3" s="4">
        <v>16461</v>
      </c>
      <c r="F3" s="4">
        <f>AE3</f>
        <v>15767</v>
      </c>
      <c r="G3" s="4">
        <v>16112</v>
      </c>
      <c r="H3" s="4">
        <f>AF3</f>
        <v>20762</v>
      </c>
      <c r="I3" s="4">
        <v>21357</v>
      </c>
      <c r="J3" s="4">
        <f>AG3</f>
        <v>21408</v>
      </c>
      <c r="K3" s="4">
        <v>22653</v>
      </c>
      <c r="L3" s="4">
        <f>AH3</f>
        <v>21781</v>
      </c>
      <c r="M3" s="4">
        <v>21771</v>
      </c>
      <c r="N3" s="4">
        <f>AI3</f>
        <v>21701</v>
      </c>
      <c r="O3" s="4">
        <f t="shared" ref="O3:Z3" si="0">O70</f>
        <v>21024.32842891922</v>
      </c>
      <c r="P3" s="4">
        <f t="shared" si="0"/>
        <v>20946.181752763241</v>
      </c>
      <c r="Q3" s="4">
        <f t="shared" si="0"/>
        <v>20268.453035731658</v>
      </c>
      <c r="R3" s="4">
        <f t="shared" si="0"/>
        <v>20211.221375506109</v>
      </c>
      <c r="S3" s="4">
        <f t="shared" si="0"/>
        <v>19534.796387247137</v>
      </c>
      <c r="T3" s="4">
        <f t="shared" si="0"/>
        <v>19501.373983471607</v>
      </c>
      <c r="U3" s="4">
        <f t="shared" si="0"/>
        <v>18828.638345412164</v>
      </c>
      <c r="V3" s="4">
        <f t="shared" si="0"/>
        <v>18822.513287017762</v>
      </c>
      <c r="W3" s="4">
        <f t="shared" si="0"/>
        <v>18156.035143900834</v>
      </c>
      <c r="X3" s="4">
        <f t="shared" si="0"/>
        <v>18181.409634263913</v>
      </c>
      <c r="Y3" s="4">
        <f t="shared" si="0"/>
        <v>17524.083800921264</v>
      </c>
      <c r="Z3" s="4">
        <f t="shared" si="0"/>
        <v>17586.018888195154</v>
      </c>
      <c r="AE3" s="4">
        <v>15767</v>
      </c>
      <c r="AF3" s="4">
        <v>20762</v>
      </c>
      <c r="AG3" s="4">
        <v>21408</v>
      </c>
      <c r="AH3" s="4">
        <v>21781</v>
      </c>
      <c r="AI3" s="4">
        <v>21701</v>
      </c>
      <c r="AJ3" s="4">
        <f t="shared" ref="AJ3:AO3" si="1">AJ70</f>
        <v>20946.181752763241</v>
      </c>
      <c r="AK3" s="4">
        <f t="shared" si="1"/>
        <v>20211.221375506109</v>
      </c>
      <c r="AL3" s="4">
        <f t="shared" si="1"/>
        <v>19501.373983471607</v>
      </c>
      <c r="AM3" s="4">
        <f t="shared" si="1"/>
        <v>18822.513287017762</v>
      </c>
      <c r="AN3" s="4">
        <f t="shared" si="1"/>
        <v>18181.409634263913</v>
      </c>
      <c r="AO3" s="4">
        <f t="shared" si="1"/>
        <v>17586.018888195154</v>
      </c>
      <c r="AS3" s="4"/>
      <c r="AT3" s="4"/>
      <c r="AU3" s="4">
        <f t="shared" ref="AU3:AU4" si="2">P3-Q3</f>
        <v>677.72871703158307</v>
      </c>
      <c r="AV3" s="4"/>
      <c r="AW3" s="4"/>
    </row>
    <row r="4" spans="1:49" x14ac:dyDescent="0.3">
      <c r="A4" t="s">
        <v>61</v>
      </c>
      <c r="B4" s="4">
        <v>12545</v>
      </c>
      <c r="C4" s="4">
        <f>D4</f>
        <v>13269</v>
      </c>
      <c r="D4" s="4">
        <v>13269</v>
      </c>
      <c r="E4" s="4">
        <v>11857</v>
      </c>
      <c r="F4" s="4">
        <f>AE4</f>
        <v>11551</v>
      </c>
      <c r="G4" s="4">
        <v>11668</v>
      </c>
      <c r="H4" s="4">
        <f>AF4</f>
        <v>12401</v>
      </c>
      <c r="I4" s="4">
        <v>12697</v>
      </c>
      <c r="J4" s="4">
        <f>AG4</f>
        <v>13623</v>
      </c>
      <c r="K4" s="4">
        <v>14299</v>
      </c>
      <c r="L4" s="4">
        <f>AH4</f>
        <v>14772</v>
      </c>
      <c r="M4" s="4">
        <v>14463</v>
      </c>
      <c r="N4" s="4">
        <f>AI4</f>
        <v>14677</v>
      </c>
      <c r="O4" s="4">
        <f>O60</f>
        <v>14741.430573515325</v>
      </c>
      <c r="P4" s="4">
        <f>P60+P61</f>
        <v>14785.830516579437</v>
      </c>
      <c r="Q4" s="4">
        <f>Q60</f>
        <v>14843.918214389952</v>
      </c>
      <c r="R4" s="4">
        <f>R60+R61</f>
        <v>14950.235537539258</v>
      </c>
      <c r="S4" s="4">
        <f>S60</f>
        <v>15016.145607985438</v>
      </c>
      <c r="T4" s="4">
        <f>T60+T61</f>
        <v>15195.628429121265</v>
      </c>
      <c r="U4" s="4">
        <f>U60</f>
        <v>15283.674600764598</v>
      </c>
      <c r="V4" s="4">
        <f>V60+V61</f>
        <v>15549.943514504983</v>
      </c>
      <c r="W4" s="4">
        <f>W60</f>
        <v>15675.5346558034</v>
      </c>
      <c r="X4" s="4">
        <f>X60+X61</f>
        <v>16045.14535801459</v>
      </c>
      <c r="Y4" s="4">
        <f>Y60</f>
        <v>16225.650357958715</v>
      </c>
      <c r="Z4" s="4">
        <f>Z60+Z61</f>
        <v>16718.746649531804</v>
      </c>
      <c r="AE4" s="4">
        <v>11551</v>
      </c>
      <c r="AF4" s="4">
        <v>12401</v>
      </c>
      <c r="AG4" s="4">
        <v>13623</v>
      </c>
      <c r="AH4" s="4">
        <v>14772</v>
      </c>
      <c r="AI4" s="4">
        <v>14677</v>
      </c>
      <c r="AJ4" s="4">
        <f>AJ60</f>
        <v>14785.830516579439</v>
      </c>
      <c r="AK4" s="4">
        <f>AK60+$AI$61</f>
        <v>14950.235537539258</v>
      </c>
      <c r="AL4" s="4">
        <f t="shared" ref="AL4:AO4" si="3">AL60+$AI$61</f>
        <v>15195.628429121256</v>
      </c>
      <c r="AM4" s="4">
        <f t="shared" si="3"/>
        <v>15549.943514504981</v>
      </c>
      <c r="AN4" s="4">
        <f t="shared" si="3"/>
        <v>16045.145358014586</v>
      </c>
      <c r="AO4" s="4">
        <f t="shared" si="3"/>
        <v>16718.7466495318</v>
      </c>
      <c r="AS4" s="4"/>
      <c r="AT4" s="4"/>
      <c r="AU4" s="4">
        <f t="shared" si="2"/>
        <v>-58.087697810515238</v>
      </c>
      <c r="AV4" s="4"/>
    </row>
    <row r="5" spans="1:49" x14ac:dyDescent="0.3"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T5" s="4"/>
    </row>
    <row r="6" spans="1:49" x14ac:dyDescent="0.3">
      <c r="A6" t="s">
        <v>128</v>
      </c>
      <c r="B6" s="4">
        <v>4884</v>
      </c>
      <c r="C6" s="4">
        <f>D6</f>
        <v>4868</v>
      </c>
      <c r="D6" s="4">
        <v>4868</v>
      </c>
      <c r="E6" s="4">
        <v>4705</v>
      </c>
      <c r="F6" s="4">
        <f>AE6</f>
        <v>4437</v>
      </c>
      <c r="G6" s="4">
        <v>5248</v>
      </c>
      <c r="H6" s="4">
        <f>AF6</f>
        <v>4148</v>
      </c>
      <c r="I6" s="4">
        <v>4412</v>
      </c>
      <c r="J6" s="4">
        <f>AG6</f>
        <v>4296</v>
      </c>
      <c r="K6" s="4">
        <v>4242</v>
      </c>
      <c r="L6" s="4">
        <f>AH6</f>
        <v>4130</v>
      </c>
      <c r="M6" s="4">
        <v>3452</v>
      </c>
      <c r="N6" s="4">
        <f>AI6</f>
        <v>3500</v>
      </c>
      <c r="O6" s="4">
        <f t="shared" ref="O6:Y10" si="4">N6</f>
        <v>3500</v>
      </c>
      <c r="P6" s="4">
        <f>AJ6</f>
        <v>3500</v>
      </c>
      <c r="Q6" s="4">
        <f t="shared" si="4"/>
        <v>3500</v>
      </c>
      <c r="R6" s="4">
        <f>AK6</f>
        <v>3500</v>
      </c>
      <c r="S6" s="4">
        <f t="shared" si="4"/>
        <v>3500</v>
      </c>
      <c r="T6" s="4">
        <f>AL6</f>
        <v>3500</v>
      </c>
      <c r="U6" s="4">
        <f t="shared" si="4"/>
        <v>3500</v>
      </c>
      <c r="V6" s="4">
        <f>AM6</f>
        <v>3500</v>
      </c>
      <c r="W6" s="4">
        <f t="shared" si="4"/>
        <v>3500</v>
      </c>
      <c r="X6" s="4">
        <f>AN6</f>
        <v>3500</v>
      </c>
      <c r="Y6" s="4">
        <f t="shared" si="4"/>
        <v>3500</v>
      </c>
      <c r="Z6" s="4">
        <f>AO6</f>
        <v>3500</v>
      </c>
      <c r="AE6" s="4">
        <v>4437</v>
      </c>
      <c r="AF6" s="4">
        <v>4148</v>
      </c>
      <c r="AG6" s="4">
        <v>4296</v>
      </c>
      <c r="AH6" s="4">
        <v>4130</v>
      </c>
      <c r="AI6" s="4">
        <v>3500</v>
      </c>
      <c r="AJ6" s="4">
        <f t="shared" ref="AJ6:AO6" si="5">AI6</f>
        <v>3500</v>
      </c>
      <c r="AK6" s="4">
        <f t="shared" si="5"/>
        <v>3500</v>
      </c>
      <c r="AL6" s="4">
        <f t="shared" si="5"/>
        <v>3500</v>
      </c>
      <c r="AM6" s="4">
        <f t="shared" si="5"/>
        <v>3500</v>
      </c>
      <c r="AN6" s="4">
        <f t="shared" si="5"/>
        <v>3500</v>
      </c>
      <c r="AO6" s="4">
        <f t="shared" si="5"/>
        <v>3500</v>
      </c>
      <c r="AT6" s="4"/>
      <c r="AU6" s="4">
        <f t="shared" ref="AU6:AU10" si="6">P6-Q6</f>
        <v>0</v>
      </c>
      <c r="AV6" s="4"/>
    </row>
    <row r="7" spans="1:49" x14ac:dyDescent="0.3">
      <c r="A7" t="s">
        <v>62</v>
      </c>
      <c r="B7" s="4">
        <v>348</v>
      </c>
      <c r="C7" s="4">
        <f>D7</f>
        <v>277</v>
      </c>
      <c r="D7" s="4">
        <v>277</v>
      </c>
      <c r="E7" s="4">
        <v>183</v>
      </c>
      <c r="F7" s="4">
        <f>AE7</f>
        <v>194</v>
      </c>
      <c r="G7" s="4">
        <v>195</v>
      </c>
      <c r="H7" s="4">
        <f>AF7</f>
        <v>209</v>
      </c>
      <c r="I7" s="4">
        <v>200</v>
      </c>
      <c r="J7" s="4">
        <f>AG7</f>
        <v>216</v>
      </c>
      <c r="K7" s="4">
        <v>251</v>
      </c>
      <c r="L7" s="4">
        <f>AH7</f>
        <v>239</v>
      </c>
      <c r="M7" s="4">
        <v>270</v>
      </c>
      <c r="N7" s="4">
        <f>AI7</f>
        <v>258</v>
      </c>
      <c r="O7" s="4">
        <f t="shared" si="4"/>
        <v>258</v>
      </c>
      <c r="P7" s="4">
        <f>AJ7</f>
        <v>258</v>
      </c>
      <c r="Q7" s="4">
        <f t="shared" si="4"/>
        <v>258</v>
      </c>
      <c r="R7" s="4">
        <f>AK7</f>
        <v>258</v>
      </c>
      <c r="S7" s="4">
        <f t="shared" si="4"/>
        <v>258</v>
      </c>
      <c r="T7" s="4">
        <f>AL7</f>
        <v>258</v>
      </c>
      <c r="U7" s="4">
        <f t="shared" si="4"/>
        <v>258</v>
      </c>
      <c r="V7" s="4">
        <f>AM7</f>
        <v>258</v>
      </c>
      <c r="W7" s="4">
        <f t="shared" si="4"/>
        <v>258</v>
      </c>
      <c r="X7" s="4">
        <f>AN7</f>
        <v>258</v>
      </c>
      <c r="Y7" s="4">
        <f t="shared" si="4"/>
        <v>258</v>
      </c>
      <c r="Z7" s="4">
        <f>AO7</f>
        <v>258</v>
      </c>
      <c r="AE7" s="4">
        <v>194</v>
      </c>
      <c r="AF7" s="4">
        <v>209</v>
      </c>
      <c r="AG7" s="4">
        <v>216</v>
      </c>
      <c r="AH7" s="4">
        <v>239</v>
      </c>
      <c r="AI7" s="4">
        <v>258</v>
      </c>
      <c r="AJ7" s="4">
        <f t="shared" ref="AJ7:AO10" si="7">AI7</f>
        <v>258</v>
      </c>
      <c r="AK7" s="4">
        <f t="shared" si="7"/>
        <v>258</v>
      </c>
      <c r="AL7" s="4">
        <f t="shared" si="7"/>
        <v>258</v>
      </c>
      <c r="AM7" s="4">
        <f t="shared" si="7"/>
        <v>258</v>
      </c>
      <c r="AN7" s="4">
        <f t="shared" si="7"/>
        <v>258</v>
      </c>
      <c r="AO7" s="4">
        <f t="shared" si="7"/>
        <v>258</v>
      </c>
      <c r="AT7" s="4"/>
      <c r="AU7" s="4">
        <f t="shared" si="6"/>
        <v>0</v>
      </c>
      <c r="AV7" s="4"/>
    </row>
    <row r="8" spans="1:49" x14ac:dyDescent="0.3">
      <c r="A8" t="s">
        <v>63</v>
      </c>
      <c r="B8" s="4">
        <v>662</v>
      </c>
      <c r="C8" s="4">
        <f>D8</f>
        <v>647</v>
      </c>
      <c r="D8" s="4">
        <v>647</v>
      </c>
      <c r="E8" s="4">
        <v>701</v>
      </c>
      <c r="F8" s="4">
        <f>AE8</f>
        <v>779</v>
      </c>
      <c r="G8" s="4">
        <v>740</v>
      </c>
      <c r="H8" s="4">
        <f>AF8</f>
        <v>682</v>
      </c>
      <c r="I8" s="4">
        <v>642</v>
      </c>
      <c r="J8" s="4">
        <f>AG8</f>
        <v>618</v>
      </c>
      <c r="K8" s="4">
        <v>871</v>
      </c>
      <c r="L8" s="4">
        <f>AH8</f>
        <v>1292</v>
      </c>
      <c r="M8" s="4">
        <v>1215</v>
      </c>
      <c r="N8" s="4">
        <f>AI8</f>
        <v>1264</v>
      </c>
      <c r="O8" s="4">
        <f t="shared" si="4"/>
        <v>1264</v>
      </c>
      <c r="P8" s="4">
        <f>AJ8</f>
        <v>1264</v>
      </c>
      <c r="Q8" s="4">
        <f t="shared" si="4"/>
        <v>1264</v>
      </c>
      <c r="R8" s="4">
        <f>AK8</f>
        <v>1264</v>
      </c>
      <c r="S8" s="4">
        <f t="shared" si="4"/>
        <v>1264</v>
      </c>
      <c r="T8" s="4">
        <f>AL8</f>
        <v>1264</v>
      </c>
      <c r="U8" s="4">
        <f t="shared" si="4"/>
        <v>1264</v>
      </c>
      <c r="V8" s="4">
        <f>AM8</f>
        <v>1264</v>
      </c>
      <c r="W8" s="4">
        <f t="shared" si="4"/>
        <v>1264</v>
      </c>
      <c r="X8" s="4">
        <f>AN8</f>
        <v>1264</v>
      </c>
      <c r="Y8" s="4">
        <f t="shared" si="4"/>
        <v>1264</v>
      </c>
      <c r="Z8" s="4">
        <f>AO8</f>
        <v>1264</v>
      </c>
      <c r="AE8" s="4">
        <v>779</v>
      </c>
      <c r="AF8" s="4">
        <v>682</v>
      </c>
      <c r="AG8" s="4">
        <v>618</v>
      </c>
      <c r="AH8" s="4">
        <v>1292</v>
      </c>
      <c r="AI8" s="4">
        <v>1264</v>
      </c>
      <c r="AJ8" s="4">
        <f t="shared" si="7"/>
        <v>1264</v>
      </c>
      <c r="AK8" s="4">
        <f t="shared" si="7"/>
        <v>1264</v>
      </c>
      <c r="AL8" s="4">
        <f t="shared" si="7"/>
        <v>1264</v>
      </c>
      <c r="AM8" s="4">
        <f t="shared" si="7"/>
        <v>1264</v>
      </c>
      <c r="AN8" s="4">
        <f t="shared" si="7"/>
        <v>1264</v>
      </c>
      <c r="AO8" s="4">
        <f t="shared" si="7"/>
        <v>1264</v>
      </c>
      <c r="AT8" s="4"/>
      <c r="AU8" s="4">
        <f t="shared" si="6"/>
        <v>0</v>
      </c>
      <c r="AV8" s="4"/>
    </row>
    <row r="9" spans="1:49" x14ac:dyDescent="0.3">
      <c r="A9" t="s">
        <v>135</v>
      </c>
      <c r="J9" s="4">
        <f>AG9</f>
        <v>145</v>
      </c>
      <c r="K9" s="4">
        <v>598</v>
      </c>
      <c r="L9" s="4">
        <f>AH9</f>
        <v>562</v>
      </c>
      <c r="M9" s="4">
        <v>535</v>
      </c>
      <c r="N9" s="4">
        <f>AI9</f>
        <v>465</v>
      </c>
      <c r="O9" s="4">
        <f t="shared" si="4"/>
        <v>465</v>
      </c>
      <c r="P9" s="4">
        <f>AJ9</f>
        <v>465</v>
      </c>
      <c r="Q9" s="4">
        <f t="shared" si="4"/>
        <v>465</v>
      </c>
      <c r="R9" s="4">
        <f>AK9</f>
        <v>465</v>
      </c>
      <c r="S9" s="4">
        <f t="shared" si="4"/>
        <v>465</v>
      </c>
      <c r="T9" s="4">
        <f>AL9</f>
        <v>465</v>
      </c>
      <c r="U9" s="4">
        <f t="shared" si="4"/>
        <v>465</v>
      </c>
      <c r="V9" s="4">
        <f>AM9</f>
        <v>465</v>
      </c>
      <c r="W9" s="4">
        <f t="shared" si="4"/>
        <v>465</v>
      </c>
      <c r="X9" s="4">
        <f>AN9</f>
        <v>465</v>
      </c>
      <c r="Y9" s="4">
        <f t="shared" si="4"/>
        <v>465</v>
      </c>
      <c r="Z9" s="4">
        <f>AO9</f>
        <v>465</v>
      </c>
      <c r="AG9" s="4">
        <v>145</v>
      </c>
      <c r="AH9" s="4">
        <v>562</v>
      </c>
      <c r="AI9" s="4">
        <v>465</v>
      </c>
      <c r="AJ9" s="4">
        <f t="shared" si="7"/>
        <v>465</v>
      </c>
      <c r="AK9" s="4">
        <f t="shared" si="7"/>
        <v>465</v>
      </c>
      <c r="AL9" s="4">
        <f t="shared" si="7"/>
        <v>465</v>
      </c>
      <c r="AM9" s="4">
        <f t="shared" si="7"/>
        <v>465</v>
      </c>
      <c r="AN9" s="4">
        <f t="shared" si="7"/>
        <v>465</v>
      </c>
      <c r="AO9" s="4">
        <f t="shared" si="7"/>
        <v>465</v>
      </c>
      <c r="AT9" s="4"/>
      <c r="AU9" s="4">
        <f t="shared" si="6"/>
        <v>0</v>
      </c>
      <c r="AV9" s="4"/>
    </row>
    <row r="10" spans="1:49" x14ac:dyDescent="0.3">
      <c r="A10" t="s">
        <v>64</v>
      </c>
      <c r="B10" s="4">
        <v>1401</v>
      </c>
      <c r="C10" s="4">
        <f>D10</f>
        <v>1255</v>
      </c>
      <c r="D10" s="4">
        <v>1255</v>
      </c>
      <c r="E10" s="4">
        <v>1115</v>
      </c>
      <c r="F10" s="4">
        <f>AE10</f>
        <v>884</v>
      </c>
      <c r="G10" s="4">
        <v>1112</v>
      </c>
      <c r="H10" s="4">
        <f>AF10</f>
        <v>1070</v>
      </c>
      <c r="I10" s="4">
        <v>1276</v>
      </c>
      <c r="J10" s="4">
        <f>AG10</f>
        <v>1085</v>
      </c>
      <c r="K10" s="4">
        <v>1155</v>
      </c>
      <c r="L10" s="4">
        <f>AH10</f>
        <v>978</v>
      </c>
      <c r="M10" s="4">
        <v>988</v>
      </c>
      <c r="N10" s="4">
        <f>AI10</f>
        <v>1009</v>
      </c>
      <c r="O10" s="4">
        <f t="shared" si="4"/>
        <v>1009</v>
      </c>
      <c r="P10" s="4">
        <f>AJ10</f>
        <v>1009</v>
      </c>
      <c r="Q10" s="4">
        <f t="shared" si="4"/>
        <v>1009</v>
      </c>
      <c r="R10" s="4">
        <f>AK10</f>
        <v>1009</v>
      </c>
      <c r="S10" s="4">
        <f t="shared" si="4"/>
        <v>1009</v>
      </c>
      <c r="T10" s="4">
        <f>AL10</f>
        <v>1009</v>
      </c>
      <c r="U10" s="4">
        <f t="shared" si="4"/>
        <v>1009</v>
      </c>
      <c r="V10" s="4">
        <f>AM10</f>
        <v>1009</v>
      </c>
      <c r="W10" s="4">
        <f t="shared" si="4"/>
        <v>1009</v>
      </c>
      <c r="X10" s="4">
        <f>AN10</f>
        <v>1009</v>
      </c>
      <c r="Y10" s="4">
        <f t="shared" si="4"/>
        <v>1009</v>
      </c>
      <c r="Z10" s="4">
        <f>AO10</f>
        <v>1009</v>
      </c>
      <c r="AE10" s="4">
        <v>884</v>
      </c>
      <c r="AF10" s="4">
        <v>1070</v>
      </c>
      <c r="AG10" s="4">
        <v>1085</v>
      </c>
      <c r="AH10" s="4">
        <v>978</v>
      </c>
      <c r="AI10" s="4">
        <v>1009</v>
      </c>
      <c r="AJ10" s="4">
        <f t="shared" si="7"/>
        <v>1009</v>
      </c>
      <c r="AK10" s="4">
        <f t="shared" si="7"/>
        <v>1009</v>
      </c>
      <c r="AL10" s="4">
        <f t="shared" si="7"/>
        <v>1009</v>
      </c>
      <c r="AM10" s="4">
        <f t="shared" si="7"/>
        <v>1009</v>
      </c>
      <c r="AN10" s="4">
        <f t="shared" si="7"/>
        <v>1009</v>
      </c>
      <c r="AO10" s="4">
        <f t="shared" si="7"/>
        <v>1009</v>
      </c>
      <c r="AT10" s="4"/>
      <c r="AU10" s="4">
        <f t="shared" si="6"/>
        <v>0</v>
      </c>
      <c r="AV10" s="4"/>
    </row>
    <row r="11" spans="1:49" x14ac:dyDescent="0.3">
      <c r="A11" s="3" t="s">
        <v>65</v>
      </c>
      <c r="B11" s="5">
        <f>SUM(B3:B4)+SUM(B6:B10)</f>
        <v>37409</v>
      </c>
      <c r="C11" s="5">
        <f t="shared" ref="C11:O11" si="8">SUM(C3:C4)+SUM(C6:C10)</f>
        <v>38085</v>
      </c>
      <c r="D11" s="5">
        <f>SUM(D3:D4)+SUM(D6:D10)</f>
        <v>38085</v>
      </c>
      <c r="E11" s="5">
        <f t="shared" si="8"/>
        <v>35022</v>
      </c>
      <c r="F11" s="5">
        <f t="shared" si="8"/>
        <v>33612</v>
      </c>
      <c r="G11" s="5">
        <f t="shared" si="8"/>
        <v>35075</v>
      </c>
      <c r="H11" s="5">
        <f t="shared" si="8"/>
        <v>39272</v>
      </c>
      <c r="I11" s="5">
        <f t="shared" si="8"/>
        <v>40584</v>
      </c>
      <c r="J11" s="5">
        <f t="shared" si="8"/>
        <v>41391</v>
      </c>
      <c r="K11" s="5">
        <f t="shared" si="8"/>
        <v>44069</v>
      </c>
      <c r="L11" s="5">
        <f t="shared" si="8"/>
        <v>43754</v>
      </c>
      <c r="M11" s="5">
        <f t="shared" si="8"/>
        <v>42694</v>
      </c>
      <c r="N11" s="5">
        <f t="shared" ref="N11:P11" si="9">SUM(N3:N4)+SUM(N6:N10)</f>
        <v>42874</v>
      </c>
      <c r="O11" s="5">
        <f t="shared" si="8"/>
        <v>42261.759002434541</v>
      </c>
      <c r="P11" s="5">
        <f t="shared" si="9"/>
        <v>42228.012269342682</v>
      </c>
      <c r="Q11" s="5">
        <f t="shared" ref="Q11:S11" si="10">SUM(Q3:Q4)+SUM(Q6:Q10)</f>
        <v>41608.371250121607</v>
      </c>
      <c r="R11" s="5">
        <f t="shared" ref="R11" si="11">SUM(R3:R4)+SUM(R6:R10)</f>
        <v>41657.456913045367</v>
      </c>
      <c r="S11" s="5">
        <f t="shared" si="10"/>
        <v>41046.941995232577</v>
      </c>
      <c r="T11" s="5">
        <f t="shared" ref="T11" si="12">SUM(T3:T4)+SUM(T6:T10)</f>
        <v>41193.002412592876</v>
      </c>
      <c r="U11" s="5">
        <f t="shared" ref="U11" si="13">SUM(U3:U4)+SUM(U6:U10)</f>
        <v>40608.31294617676</v>
      </c>
      <c r="V11" s="5">
        <f t="shared" ref="V11" si="14">SUM(V3:V4)+SUM(V6:V10)</f>
        <v>40868.456801522741</v>
      </c>
      <c r="W11" s="5">
        <f t="shared" ref="W11" si="15">SUM(W3:W4)+SUM(W6:W10)</f>
        <v>40327.56979970423</v>
      </c>
      <c r="X11" s="5">
        <f t="shared" ref="X11" si="16">SUM(X3:X4)+SUM(X6:X10)</f>
        <v>40722.554992278499</v>
      </c>
      <c r="Y11" s="5">
        <f t="shared" ref="Y11" si="17">SUM(Y3:Y4)+SUM(Y6:Y10)</f>
        <v>40245.734158879975</v>
      </c>
      <c r="Z11" s="5">
        <f t="shared" ref="Z11" si="18">SUM(Z3:Z4)+SUM(Z6:Z10)</f>
        <v>40800.765537726955</v>
      </c>
      <c r="AE11" s="5">
        <f t="shared" ref="AE11:AO11" si="19">SUM(AE3:AE4)+SUM(AE6:AE10)</f>
        <v>33612</v>
      </c>
      <c r="AF11" s="5">
        <f t="shared" si="19"/>
        <v>39272</v>
      </c>
      <c r="AG11" s="5">
        <f t="shared" si="19"/>
        <v>41391</v>
      </c>
      <c r="AH11" s="5">
        <f t="shared" si="19"/>
        <v>43754</v>
      </c>
      <c r="AI11" s="5">
        <f>SUM(AI3:AI4)+SUM(AI6:AI10)</f>
        <v>42874</v>
      </c>
      <c r="AJ11" s="5">
        <f t="shared" si="19"/>
        <v>42228.012269342682</v>
      </c>
      <c r="AK11" s="5">
        <f t="shared" si="19"/>
        <v>41657.456913045367</v>
      </c>
      <c r="AL11" s="5">
        <f t="shared" si="19"/>
        <v>41193.002412592861</v>
      </c>
      <c r="AM11" s="5">
        <f t="shared" si="19"/>
        <v>40868.456801522741</v>
      </c>
      <c r="AN11" s="5">
        <f t="shared" si="19"/>
        <v>40722.554992278499</v>
      </c>
      <c r="AO11" s="5">
        <f t="shared" si="19"/>
        <v>40800.765537726955</v>
      </c>
      <c r="AT11" s="4"/>
    </row>
    <row r="12" spans="1:49" x14ac:dyDescent="0.3"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T12" s="4"/>
    </row>
    <row r="13" spans="1:49" x14ac:dyDescent="0.3">
      <c r="A13" t="s">
        <v>66</v>
      </c>
      <c r="B13" s="4">
        <v>2275</v>
      </c>
      <c r="C13" s="4">
        <f t="shared" ref="C13:C19" si="20">D13</f>
        <v>2213</v>
      </c>
      <c r="D13" s="4">
        <v>2213</v>
      </c>
      <c r="E13" s="4">
        <v>2163</v>
      </c>
      <c r="F13" s="4">
        <f t="shared" ref="F13:F19" si="21">AE13</f>
        <v>1958</v>
      </c>
      <c r="G13" s="4">
        <v>2345</v>
      </c>
      <c r="H13" s="4">
        <f t="shared" ref="H13:H19" si="22">AF13</f>
        <v>2438</v>
      </c>
      <c r="I13" s="4">
        <v>3143</v>
      </c>
      <c r="J13" s="4">
        <f t="shared" ref="J13:J19" si="23">AG13</f>
        <v>3250</v>
      </c>
      <c r="K13" s="4">
        <v>4370</v>
      </c>
      <c r="L13" s="4">
        <f t="shared" ref="L13:L19" si="24">AH13</f>
        <v>3721</v>
      </c>
      <c r="M13" s="4">
        <v>3859</v>
      </c>
      <c r="N13" s="4">
        <f t="shared" ref="N13:N19" si="25">AI13</f>
        <v>3572</v>
      </c>
      <c r="O13" s="4">
        <f t="shared" ref="O13" si="26">O99</f>
        <v>3760.9108632466123</v>
      </c>
      <c r="P13" s="4">
        <f t="shared" ref="P13:P19" si="27">AJ13</f>
        <v>4328.4016271392393</v>
      </c>
      <c r="Q13" s="4">
        <f t="shared" ref="Q13:S13" si="28">Q99</f>
        <v>3566.8553639600009</v>
      </c>
      <c r="R13" s="4">
        <f t="shared" ref="R13:R19" si="29">AK13</f>
        <v>4744.9048425910378</v>
      </c>
      <c r="S13" s="4">
        <f t="shared" si="28"/>
        <v>3756.5143173301517</v>
      </c>
      <c r="T13" s="4">
        <f t="shared" ref="T13:T19" si="30">AL13</f>
        <v>5242.4719934563036</v>
      </c>
      <c r="U13" s="4">
        <f t="shared" ref="U13" si="31">U99</f>
        <v>4037.7976330022734</v>
      </c>
      <c r="V13" s="4">
        <f t="shared" ref="V13:V19" si="32">AM13</f>
        <v>5815.9925729787747</v>
      </c>
      <c r="W13" s="4">
        <f t="shared" ref="W13" si="33">W99</f>
        <v>4413.6595511167625</v>
      </c>
      <c r="X13" s="4">
        <f t="shared" ref="X13:X19" si="34">AN13</f>
        <v>6527.9334660879094</v>
      </c>
      <c r="Y13" s="4">
        <f t="shared" ref="Y13" si="35">Y99</f>
        <v>4893.1345779270714</v>
      </c>
      <c r="Z13" s="4">
        <f t="shared" ref="Z13:Z19" si="36">AO13</f>
        <v>7349.2830877669985</v>
      </c>
      <c r="AE13" s="4">
        <v>1958</v>
      </c>
      <c r="AF13" s="4">
        <v>2438</v>
      </c>
      <c r="AG13" s="4">
        <v>3250</v>
      </c>
      <c r="AH13" s="4">
        <v>3721</v>
      </c>
      <c r="AI13" s="4">
        <v>3572</v>
      </c>
      <c r="AJ13" s="4">
        <f t="shared" ref="AJ13:AO14" si="37">AJ99</f>
        <v>4328.4016271392393</v>
      </c>
      <c r="AK13" s="4">
        <f t="shared" si="37"/>
        <v>4744.9048425910378</v>
      </c>
      <c r="AL13" s="4">
        <f t="shared" si="37"/>
        <v>5242.4719934563036</v>
      </c>
      <c r="AM13" s="4">
        <f t="shared" si="37"/>
        <v>5815.9925729787747</v>
      </c>
      <c r="AN13" s="4">
        <f t="shared" si="37"/>
        <v>6527.9334660879094</v>
      </c>
      <c r="AO13" s="4">
        <f t="shared" si="37"/>
        <v>7349.2830877669985</v>
      </c>
      <c r="AS13" s="4"/>
      <c r="AT13" s="4"/>
      <c r="AU13" s="4">
        <f t="shared" ref="AU13:AU19" si="38">P13-Q13</f>
        <v>761.54626317923839</v>
      </c>
      <c r="AV13" s="4"/>
    </row>
    <row r="14" spans="1:49" x14ac:dyDescent="0.3">
      <c r="A14" t="s">
        <v>67</v>
      </c>
      <c r="B14" s="4">
        <v>4595</v>
      </c>
      <c r="C14" s="4">
        <f t="shared" si="20"/>
        <v>4123</v>
      </c>
      <c r="D14" s="4">
        <v>4123</v>
      </c>
      <c r="E14" s="4">
        <v>3983</v>
      </c>
      <c r="F14" s="4">
        <f t="shared" si="21"/>
        <v>2807</v>
      </c>
      <c r="G14" s="4">
        <v>3911</v>
      </c>
      <c r="H14" s="4">
        <f t="shared" si="22"/>
        <v>3662</v>
      </c>
      <c r="I14" s="4">
        <v>4966</v>
      </c>
      <c r="J14" s="4">
        <f t="shared" si="23"/>
        <v>4531</v>
      </c>
      <c r="K14" s="4">
        <v>5715</v>
      </c>
      <c r="L14" s="4">
        <f t="shared" si="24"/>
        <v>5019</v>
      </c>
      <c r="M14" s="4">
        <v>5385</v>
      </c>
      <c r="N14" s="4">
        <f t="shared" si="25"/>
        <v>4588</v>
      </c>
      <c r="O14" s="4">
        <f t="shared" ref="O14" si="39">O100</f>
        <v>5072.8330079641892</v>
      </c>
      <c r="P14" s="4">
        <f t="shared" si="27"/>
        <v>5838.2821194871913</v>
      </c>
      <c r="Q14" s="4">
        <f t="shared" ref="Q14:S14" si="40">Q100</f>
        <v>4811.0849426807963</v>
      </c>
      <c r="R14" s="4">
        <f t="shared" si="29"/>
        <v>6400.0745511863533</v>
      </c>
      <c r="S14" s="4">
        <f t="shared" si="40"/>
        <v>5066.9028107175573</v>
      </c>
      <c r="T14" s="4">
        <f t="shared" si="30"/>
        <v>7071.208528663582</v>
      </c>
      <c r="U14" s="4">
        <f t="shared" ref="U14" si="41">U100</f>
        <v>5446.3064552642863</v>
      </c>
      <c r="V14" s="4">
        <f t="shared" si="32"/>
        <v>7844.79084218771</v>
      </c>
      <c r="W14" s="4">
        <f t="shared" ref="W14" si="42">W100</f>
        <v>5953.2806468839108</v>
      </c>
      <c r="X14" s="4">
        <f t="shared" si="34"/>
        <v>8805.0787600900876</v>
      </c>
      <c r="Y14" s="4">
        <f t="shared" ref="Y14" si="43">Y100</f>
        <v>6600.0114073141558</v>
      </c>
      <c r="Z14" s="4">
        <f t="shared" si="36"/>
        <v>9912.9405583183452</v>
      </c>
      <c r="AE14" s="4">
        <v>2807</v>
      </c>
      <c r="AF14" s="4">
        <v>3662</v>
      </c>
      <c r="AG14" s="4">
        <v>4531</v>
      </c>
      <c r="AH14" s="4">
        <v>5019</v>
      </c>
      <c r="AI14" s="4">
        <v>4588</v>
      </c>
      <c r="AJ14" s="4">
        <f t="shared" si="37"/>
        <v>5838.2821194871913</v>
      </c>
      <c r="AK14" s="4">
        <f t="shared" si="37"/>
        <v>6400.0745511863533</v>
      </c>
      <c r="AL14" s="4">
        <f t="shared" si="37"/>
        <v>7071.208528663582</v>
      </c>
      <c r="AM14" s="4">
        <f t="shared" si="37"/>
        <v>7844.79084218771</v>
      </c>
      <c r="AN14" s="4">
        <f t="shared" si="37"/>
        <v>8805.0787600900876</v>
      </c>
      <c r="AO14" s="4">
        <f t="shared" si="37"/>
        <v>9912.9405583183452</v>
      </c>
      <c r="AS14" s="4"/>
      <c r="AT14" s="4"/>
      <c r="AU14" s="4">
        <f t="shared" si="38"/>
        <v>1027.197176806395</v>
      </c>
      <c r="AV14" s="4"/>
    </row>
    <row r="15" spans="1:49" x14ac:dyDescent="0.3">
      <c r="A15" t="s">
        <v>68</v>
      </c>
      <c r="B15" s="4">
        <v>65</v>
      </c>
      <c r="C15" s="4">
        <f t="shared" si="20"/>
        <v>123</v>
      </c>
      <c r="D15" s="4">
        <v>123</v>
      </c>
      <c r="E15" s="4">
        <v>204</v>
      </c>
      <c r="F15" s="4">
        <f t="shared" si="21"/>
        <v>154</v>
      </c>
      <c r="G15" s="4">
        <v>105</v>
      </c>
      <c r="H15" s="4">
        <f t="shared" si="22"/>
        <v>97</v>
      </c>
      <c r="I15" s="4">
        <v>107</v>
      </c>
      <c r="J15" s="4">
        <f t="shared" si="23"/>
        <v>84</v>
      </c>
      <c r="K15" s="4">
        <v>180</v>
      </c>
      <c r="L15" s="4">
        <f t="shared" si="24"/>
        <v>196</v>
      </c>
      <c r="M15" s="4">
        <v>166</v>
      </c>
      <c r="N15" s="4">
        <f t="shared" si="25"/>
        <v>165</v>
      </c>
      <c r="O15" s="4">
        <f>N15</f>
        <v>165</v>
      </c>
      <c r="P15" s="4">
        <f t="shared" si="27"/>
        <v>165</v>
      </c>
      <c r="Q15" s="4">
        <f>P15</f>
        <v>165</v>
      </c>
      <c r="R15" s="4">
        <f t="shared" si="29"/>
        <v>165</v>
      </c>
      <c r="S15" s="4">
        <f>R15</f>
        <v>165</v>
      </c>
      <c r="T15" s="4">
        <f t="shared" si="30"/>
        <v>165</v>
      </c>
      <c r="U15" s="4">
        <f>T15</f>
        <v>165</v>
      </c>
      <c r="V15" s="4">
        <f t="shared" si="32"/>
        <v>165</v>
      </c>
      <c r="W15" s="4">
        <f>V15</f>
        <v>165</v>
      </c>
      <c r="X15" s="4">
        <f t="shared" si="34"/>
        <v>165</v>
      </c>
      <c r="Y15" s="4">
        <f>X15</f>
        <v>165</v>
      </c>
      <c r="Z15" s="4">
        <f t="shared" si="36"/>
        <v>165</v>
      </c>
      <c r="AE15" s="4">
        <v>154</v>
      </c>
      <c r="AF15" s="4">
        <v>97</v>
      </c>
      <c r="AG15" s="4">
        <v>84</v>
      </c>
      <c r="AH15" s="4">
        <v>196</v>
      </c>
      <c r="AI15" s="4">
        <v>165</v>
      </c>
      <c r="AJ15" s="4">
        <f t="shared" ref="AJ15:AO16" si="44">AI15</f>
        <v>165</v>
      </c>
      <c r="AK15" s="4">
        <f t="shared" si="44"/>
        <v>165</v>
      </c>
      <c r="AL15" s="4">
        <f t="shared" si="44"/>
        <v>165</v>
      </c>
      <c r="AM15" s="4">
        <f t="shared" si="44"/>
        <v>165</v>
      </c>
      <c r="AN15" s="4">
        <f t="shared" si="44"/>
        <v>165</v>
      </c>
      <c r="AO15" s="4">
        <f t="shared" si="44"/>
        <v>165</v>
      </c>
      <c r="AT15" s="4"/>
      <c r="AU15" s="4">
        <f t="shared" si="38"/>
        <v>0</v>
      </c>
      <c r="AV15" s="4"/>
    </row>
    <row r="16" spans="1:49" x14ac:dyDescent="0.3">
      <c r="A16" t="s">
        <v>69</v>
      </c>
      <c r="B16" s="4">
        <v>24</v>
      </c>
      <c r="C16" s="4">
        <f t="shared" si="20"/>
        <v>28</v>
      </c>
      <c r="D16" s="4">
        <v>28</v>
      </c>
      <c r="E16" s="4">
        <v>97</v>
      </c>
      <c r="F16" s="4">
        <f t="shared" si="21"/>
        <v>77</v>
      </c>
      <c r="G16" s="4">
        <v>74</v>
      </c>
      <c r="H16" s="4">
        <f t="shared" si="22"/>
        <v>96</v>
      </c>
      <c r="I16" s="4">
        <v>68</v>
      </c>
      <c r="J16" s="4">
        <f t="shared" si="23"/>
        <v>70</v>
      </c>
      <c r="K16" s="4">
        <v>37</v>
      </c>
      <c r="L16" s="4">
        <f t="shared" si="24"/>
        <v>58</v>
      </c>
      <c r="M16" s="4">
        <v>143</v>
      </c>
      <c r="N16" s="4">
        <f t="shared" si="25"/>
        <v>169</v>
      </c>
      <c r="O16" s="4">
        <f>N16</f>
        <v>169</v>
      </c>
      <c r="P16" s="4">
        <f t="shared" si="27"/>
        <v>169</v>
      </c>
      <c r="Q16" s="4">
        <f>P16</f>
        <v>169</v>
      </c>
      <c r="R16" s="4">
        <f t="shared" si="29"/>
        <v>169</v>
      </c>
      <c r="S16" s="4">
        <f>R16</f>
        <v>169</v>
      </c>
      <c r="T16" s="4">
        <f t="shared" si="30"/>
        <v>169</v>
      </c>
      <c r="U16" s="4">
        <f>T16</f>
        <v>169</v>
      </c>
      <c r="V16" s="4">
        <f t="shared" si="32"/>
        <v>169</v>
      </c>
      <c r="W16" s="4">
        <f>V16</f>
        <v>169</v>
      </c>
      <c r="X16" s="4">
        <f t="shared" si="34"/>
        <v>169</v>
      </c>
      <c r="Y16" s="4">
        <f>X16</f>
        <v>169</v>
      </c>
      <c r="Z16" s="4">
        <f t="shared" si="36"/>
        <v>169</v>
      </c>
      <c r="AE16" s="4">
        <v>77</v>
      </c>
      <c r="AF16" s="4">
        <v>96</v>
      </c>
      <c r="AG16" s="4">
        <v>70</v>
      </c>
      <c r="AH16" s="4">
        <v>58</v>
      </c>
      <c r="AI16" s="4">
        <v>169</v>
      </c>
      <c r="AJ16" s="4">
        <f t="shared" si="44"/>
        <v>169</v>
      </c>
      <c r="AK16" s="4">
        <f t="shared" si="44"/>
        <v>169</v>
      </c>
      <c r="AL16" s="4">
        <f t="shared" si="44"/>
        <v>169</v>
      </c>
      <c r="AM16" s="4">
        <f t="shared" si="44"/>
        <v>169</v>
      </c>
      <c r="AN16" s="4">
        <f t="shared" si="44"/>
        <v>169</v>
      </c>
      <c r="AO16" s="4">
        <f t="shared" si="44"/>
        <v>169</v>
      </c>
      <c r="AT16" s="4"/>
      <c r="AU16" s="4">
        <f t="shared" si="38"/>
        <v>0</v>
      </c>
      <c r="AV16" s="4"/>
    </row>
    <row r="17" spans="1:48" x14ac:dyDescent="0.3">
      <c r="A17" t="s">
        <v>70</v>
      </c>
      <c r="B17" s="4">
        <v>1751</v>
      </c>
      <c r="C17" s="4">
        <f t="shared" si="20"/>
        <v>1821</v>
      </c>
      <c r="D17" s="4">
        <v>1821</v>
      </c>
      <c r="E17" s="4">
        <v>4266</v>
      </c>
      <c r="F17" s="4">
        <f t="shared" si="21"/>
        <v>4000</v>
      </c>
      <c r="G17" s="4">
        <v>1967</v>
      </c>
      <c r="H17" s="4">
        <f t="shared" si="22"/>
        <v>3248</v>
      </c>
      <c r="I17" s="4">
        <v>2889</v>
      </c>
      <c r="J17" s="4">
        <f t="shared" si="23"/>
        <v>2765</v>
      </c>
      <c r="K17" s="4">
        <v>2168</v>
      </c>
      <c r="L17" s="4">
        <f t="shared" si="24"/>
        <v>2377</v>
      </c>
      <c r="M17" s="4">
        <v>2277</v>
      </c>
      <c r="N17" s="4">
        <f t="shared" si="25"/>
        <v>2350</v>
      </c>
      <c r="O17" s="4">
        <f>'Cash Flow Statement'!O50+N17-'Cash Flow Statement'!N50</f>
        <v>4163.2654633193979</v>
      </c>
      <c r="P17" s="4">
        <f t="shared" si="27"/>
        <v>5437.8665249711084</v>
      </c>
      <c r="Q17" s="4">
        <f>'Cash Flow Statement'!Q50+P17-'Cash Flow Statement'!P50</f>
        <v>7347.0375034753351</v>
      </c>
      <c r="R17" s="4">
        <f t="shared" si="29"/>
        <v>8846.8426226129122</v>
      </c>
      <c r="S17" s="4">
        <f>'Cash Flow Statement'!S50+R17-'Cash Flow Statement'!R50</f>
        <v>10864.470417318957</v>
      </c>
      <c r="T17" s="4">
        <f t="shared" si="30"/>
        <v>12532.345138254954</v>
      </c>
      <c r="U17" s="4">
        <f>'Cash Flow Statement'!U50+T17-'Cash Flow Statement'!T50</f>
        <v>14702.832252988854</v>
      </c>
      <c r="V17" s="4">
        <f t="shared" si="32"/>
        <v>16537.851846392172</v>
      </c>
      <c r="W17" s="4">
        <f>'Cash Flow Statement'!W50+V17-'Cash Flow Statement'!V50</f>
        <v>18911.984525403943</v>
      </c>
      <c r="X17" s="4">
        <f t="shared" si="34"/>
        <v>20926.695696055562</v>
      </c>
      <c r="Y17" s="4">
        <f>'Cash Flow Statement'!Y50+X17-'Cash Flow Statement'!X50</f>
        <v>23552.303062887106</v>
      </c>
      <c r="Z17" s="4">
        <f t="shared" si="36"/>
        <v>25754.358771465304</v>
      </c>
      <c r="AE17" s="4">
        <v>4000</v>
      </c>
      <c r="AF17" s="4">
        <v>3248</v>
      </c>
      <c r="AG17" s="4">
        <v>2765</v>
      </c>
      <c r="AH17" s="4">
        <v>2377</v>
      </c>
      <c r="AI17" s="4">
        <v>2350</v>
      </c>
      <c r="AJ17" s="4">
        <f>'Cash Flow Statement'!AJ50</f>
        <v>5437.8665249711084</v>
      </c>
      <c r="AK17" s="4">
        <f>'Cash Flow Statement'!AK50</f>
        <v>8846.8426226129122</v>
      </c>
      <c r="AL17" s="4">
        <f>'Cash Flow Statement'!AL50</f>
        <v>12532.345138254954</v>
      </c>
      <c r="AM17" s="4">
        <f>'Cash Flow Statement'!AM50</f>
        <v>16537.851846392172</v>
      </c>
      <c r="AN17" s="4">
        <f>'Cash Flow Statement'!AN50</f>
        <v>20926.695696055562</v>
      </c>
      <c r="AO17" s="4">
        <f>'Cash Flow Statement'!AO50</f>
        <v>25754.358771465304</v>
      </c>
      <c r="AS17" s="4"/>
      <c r="AT17" s="4"/>
      <c r="AU17" s="4">
        <f t="shared" si="38"/>
        <v>-1909.1709785042267</v>
      </c>
      <c r="AV17" s="4"/>
    </row>
    <row r="18" spans="1:48" x14ac:dyDescent="0.3">
      <c r="A18" t="s">
        <v>71</v>
      </c>
      <c r="B18" s="4">
        <v>108</v>
      </c>
      <c r="C18" s="4">
        <f t="shared" si="20"/>
        <v>111</v>
      </c>
      <c r="D18" s="4">
        <v>111</v>
      </c>
      <c r="E18" s="4">
        <v>61</v>
      </c>
      <c r="F18" s="4">
        <f t="shared" si="21"/>
        <v>24</v>
      </c>
      <c r="G18" s="4">
        <v>17</v>
      </c>
      <c r="H18" s="4">
        <f t="shared" si="22"/>
        <v>37</v>
      </c>
      <c r="I18" s="4">
        <v>550</v>
      </c>
      <c r="J18" s="4">
        <f t="shared" si="23"/>
        <v>315</v>
      </c>
      <c r="K18" s="4">
        <v>374</v>
      </c>
      <c r="L18" s="4">
        <f t="shared" si="24"/>
        <v>28</v>
      </c>
      <c r="M18" s="4">
        <v>40</v>
      </c>
      <c r="N18" s="4">
        <f t="shared" si="25"/>
        <v>55</v>
      </c>
      <c r="O18" s="4">
        <f>N18</f>
        <v>55</v>
      </c>
      <c r="P18" s="4">
        <f t="shared" si="27"/>
        <v>55</v>
      </c>
      <c r="Q18" s="4">
        <f>P18</f>
        <v>55</v>
      </c>
      <c r="R18" s="4">
        <f t="shared" si="29"/>
        <v>55</v>
      </c>
      <c r="S18" s="4">
        <f>R18</f>
        <v>55</v>
      </c>
      <c r="T18" s="4">
        <f t="shared" si="30"/>
        <v>55</v>
      </c>
      <c r="U18" s="4">
        <f>T18</f>
        <v>55</v>
      </c>
      <c r="V18" s="4">
        <f t="shared" si="32"/>
        <v>55</v>
      </c>
      <c r="W18" s="4">
        <f>V18</f>
        <v>55</v>
      </c>
      <c r="X18" s="4">
        <f t="shared" si="34"/>
        <v>55</v>
      </c>
      <c r="Y18" s="4">
        <f>X18</f>
        <v>55</v>
      </c>
      <c r="Z18" s="4">
        <f t="shared" si="36"/>
        <v>55</v>
      </c>
      <c r="AE18" s="4">
        <v>24</v>
      </c>
      <c r="AF18" s="4">
        <v>37</v>
      </c>
      <c r="AG18" s="4">
        <v>315</v>
      </c>
      <c r="AH18" s="4">
        <v>28</v>
      </c>
      <c r="AI18" s="4">
        <v>55</v>
      </c>
      <c r="AJ18" s="4">
        <f t="shared" ref="AJ18:AO19" si="45">AI18</f>
        <v>55</v>
      </c>
      <c r="AK18" s="4">
        <f t="shared" si="45"/>
        <v>55</v>
      </c>
      <c r="AL18" s="4">
        <f t="shared" si="45"/>
        <v>55</v>
      </c>
      <c r="AM18" s="4">
        <f t="shared" si="45"/>
        <v>55</v>
      </c>
      <c r="AN18" s="4">
        <f t="shared" si="45"/>
        <v>55</v>
      </c>
      <c r="AO18" s="4">
        <f t="shared" si="45"/>
        <v>55</v>
      </c>
      <c r="AT18" s="4"/>
      <c r="AU18" s="4">
        <f t="shared" si="38"/>
        <v>0</v>
      </c>
      <c r="AV18" s="4"/>
    </row>
    <row r="19" spans="1:48" x14ac:dyDescent="0.3">
      <c r="A19" t="s">
        <v>136</v>
      </c>
      <c r="B19" s="4">
        <v>0</v>
      </c>
      <c r="C19" s="4">
        <f t="shared" si="20"/>
        <v>0</v>
      </c>
      <c r="D19" s="4">
        <v>0</v>
      </c>
      <c r="E19" s="4">
        <v>0</v>
      </c>
      <c r="F19" s="4">
        <f t="shared" si="21"/>
        <v>0</v>
      </c>
      <c r="G19" s="4">
        <v>0</v>
      </c>
      <c r="H19" s="4">
        <f t="shared" si="22"/>
        <v>0</v>
      </c>
      <c r="I19" s="4">
        <v>42</v>
      </c>
      <c r="J19" s="4">
        <f t="shared" si="23"/>
        <v>0</v>
      </c>
      <c r="K19" s="4">
        <v>0</v>
      </c>
      <c r="L19" s="4">
        <f t="shared" si="24"/>
        <v>0</v>
      </c>
      <c r="M19" s="4">
        <v>0</v>
      </c>
      <c r="N19" s="4">
        <f t="shared" si="25"/>
        <v>0</v>
      </c>
      <c r="O19" s="4">
        <f>N19</f>
        <v>0</v>
      </c>
      <c r="P19" s="4">
        <f t="shared" si="27"/>
        <v>0</v>
      </c>
      <c r="Q19" s="4">
        <f>P19</f>
        <v>0</v>
      </c>
      <c r="R19" s="4">
        <f t="shared" si="29"/>
        <v>0</v>
      </c>
      <c r="S19" s="4">
        <f>R19</f>
        <v>0</v>
      </c>
      <c r="T19" s="4">
        <f t="shared" si="30"/>
        <v>0</v>
      </c>
      <c r="U19" s="4">
        <f>T19</f>
        <v>0</v>
      </c>
      <c r="V19" s="4">
        <f t="shared" si="32"/>
        <v>0</v>
      </c>
      <c r="W19" s="4">
        <f>V19</f>
        <v>0</v>
      </c>
      <c r="X19" s="4">
        <f t="shared" si="34"/>
        <v>0</v>
      </c>
      <c r="Y19" s="4">
        <f>X19</f>
        <v>0</v>
      </c>
      <c r="Z19" s="4">
        <f t="shared" si="36"/>
        <v>0</v>
      </c>
      <c r="AE19" s="4">
        <v>0</v>
      </c>
      <c r="AF19" s="4">
        <v>0</v>
      </c>
      <c r="AG19" s="4">
        <v>0</v>
      </c>
      <c r="AH19" s="4">
        <v>0</v>
      </c>
      <c r="AI19" s="4">
        <f>AH19</f>
        <v>0</v>
      </c>
      <c r="AJ19" s="4">
        <f t="shared" si="45"/>
        <v>0</v>
      </c>
      <c r="AK19" s="4">
        <f t="shared" si="45"/>
        <v>0</v>
      </c>
      <c r="AL19" s="4">
        <f t="shared" si="45"/>
        <v>0</v>
      </c>
      <c r="AM19" s="4">
        <f t="shared" si="45"/>
        <v>0</v>
      </c>
      <c r="AN19" s="4">
        <f t="shared" si="45"/>
        <v>0</v>
      </c>
      <c r="AO19" s="4">
        <f t="shared" si="45"/>
        <v>0</v>
      </c>
      <c r="AT19" s="4"/>
      <c r="AU19" s="4">
        <f t="shared" si="38"/>
        <v>0</v>
      </c>
      <c r="AV19" s="4"/>
    </row>
    <row r="20" spans="1:48" x14ac:dyDescent="0.3">
      <c r="A20" s="3" t="s">
        <v>72</v>
      </c>
      <c r="B20" s="5">
        <f>SUM(B13:B19)</f>
        <v>8818</v>
      </c>
      <c r="C20" s="5">
        <f>SUM(C13:C19)</f>
        <v>8419</v>
      </c>
      <c r="D20" s="5">
        <f>SUM(D13:D19)</f>
        <v>8419</v>
      </c>
      <c r="E20" s="5">
        <f t="shared" ref="E20:O20" si="46">SUM(E13:E18)</f>
        <v>10774</v>
      </c>
      <c r="F20" s="5">
        <f t="shared" si="46"/>
        <v>9020</v>
      </c>
      <c r="G20" s="5">
        <f t="shared" ref="G20:M20" si="47">SUM(G13:G19)</f>
        <v>8419</v>
      </c>
      <c r="H20" s="5">
        <f t="shared" si="47"/>
        <v>9578</v>
      </c>
      <c r="I20" s="5">
        <f t="shared" si="47"/>
        <v>11765</v>
      </c>
      <c r="J20" s="5">
        <f t="shared" si="47"/>
        <v>11015</v>
      </c>
      <c r="K20" s="5">
        <f t="shared" si="47"/>
        <v>12844</v>
      </c>
      <c r="L20" s="5">
        <f t="shared" si="47"/>
        <v>11399</v>
      </c>
      <c r="M20" s="5">
        <f t="shared" si="47"/>
        <v>11870</v>
      </c>
      <c r="N20" s="5">
        <f t="shared" ref="N20:P20" si="48">SUM(N13:N19)</f>
        <v>10899</v>
      </c>
      <c r="O20" s="5">
        <f t="shared" si="46"/>
        <v>13386.009334530199</v>
      </c>
      <c r="P20" s="5">
        <f t="shared" si="48"/>
        <v>15993.550271597538</v>
      </c>
      <c r="Q20" s="5">
        <f t="shared" ref="Q20:S20" si="49">SUM(Q13:Q18)</f>
        <v>16113.977810116132</v>
      </c>
      <c r="R20" s="5">
        <f t="shared" ref="R20" si="50">SUM(R13:R19)</f>
        <v>20380.822016390302</v>
      </c>
      <c r="S20" s="5">
        <f t="shared" si="49"/>
        <v>20076.887545366666</v>
      </c>
      <c r="T20" s="5">
        <f t="shared" ref="T20" si="51">SUM(T13:T19)</f>
        <v>25235.025660374838</v>
      </c>
      <c r="U20" s="5">
        <f t="shared" ref="U20" si="52">SUM(U13:U18)</f>
        <v>24575.936341255416</v>
      </c>
      <c r="V20" s="5">
        <f t="shared" ref="V20" si="53">SUM(V13:V19)</f>
        <v>30587.635261558658</v>
      </c>
      <c r="W20" s="5">
        <f t="shared" ref="W20" si="54">SUM(W13:W18)</f>
        <v>29667.924723404616</v>
      </c>
      <c r="X20" s="5">
        <f t="shared" ref="X20" si="55">SUM(X13:X19)</f>
        <v>36648.70792223356</v>
      </c>
      <c r="Y20" s="5">
        <f t="shared" ref="Y20" si="56">SUM(Y13:Y18)</f>
        <v>35434.449048128328</v>
      </c>
      <c r="Z20" s="5">
        <f t="shared" ref="Z20" si="57">SUM(Z13:Z19)</f>
        <v>43405.58241755065</v>
      </c>
      <c r="AE20" s="5">
        <f>SUM(AE13:AE18)</f>
        <v>9020</v>
      </c>
      <c r="AF20" s="5">
        <f>SUM(AF13:AF19)</f>
        <v>9578</v>
      </c>
      <c r="AG20" s="5">
        <f>SUM(AG13:AG19)</f>
        <v>11015</v>
      </c>
      <c r="AH20" s="5">
        <f>SUM(AH13:AH19)</f>
        <v>11399</v>
      </c>
      <c r="AI20" s="5">
        <f>SUM(AI13:AI19)</f>
        <v>10899</v>
      </c>
      <c r="AJ20" s="5">
        <f t="shared" ref="AJ20:AO20" si="58">SUM(AJ13:AJ18)</f>
        <v>15993.550271597538</v>
      </c>
      <c r="AK20" s="5">
        <f t="shared" si="58"/>
        <v>20380.822016390302</v>
      </c>
      <c r="AL20" s="5">
        <f t="shared" si="58"/>
        <v>25235.025660374838</v>
      </c>
      <c r="AM20" s="5">
        <f t="shared" si="58"/>
        <v>30587.635261558658</v>
      </c>
      <c r="AN20" s="5">
        <f t="shared" si="58"/>
        <v>36648.70792223356</v>
      </c>
      <c r="AO20" s="5">
        <f t="shared" si="58"/>
        <v>43405.58241755065</v>
      </c>
      <c r="AT20" s="4"/>
    </row>
    <row r="21" spans="1:48" x14ac:dyDescent="0.3"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T21" s="4"/>
    </row>
    <row r="22" spans="1:48" x14ac:dyDescent="0.3">
      <c r="A22" s="3" t="s">
        <v>73</v>
      </c>
      <c r="B22" s="5">
        <f>B11+B20</f>
        <v>46227</v>
      </c>
      <c r="C22" s="5">
        <f t="shared" ref="C22:U22" si="59">C11+C20</f>
        <v>46504</v>
      </c>
      <c r="D22" s="5">
        <f>D11+D20</f>
        <v>46504</v>
      </c>
      <c r="E22" s="5">
        <f t="shared" si="59"/>
        <v>45796</v>
      </c>
      <c r="F22" s="5">
        <f t="shared" ref="F22" si="60">F11+F20</f>
        <v>42632</v>
      </c>
      <c r="G22" s="5">
        <f t="shared" si="59"/>
        <v>43494</v>
      </c>
      <c r="H22" s="5">
        <f t="shared" ref="H22" si="61">H11+H20</f>
        <v>48850</v>
      </c>
      <c r="I22" s="5">
        <f t="shared" si="59"/>
        <v>52349</v>
      </c>
      <c r="J22" s="5">
        <f t="shared" ref="J22" si="62">J11+J20</f>
        <v>52406</v>
      </c>
      <c r="K22" s="5">
        <f t="shared" si="59"/>
        <v>56913</v>
      </c>
      <c r="L22" s="5">
        <f t="shared" ref="L22:N22" si="63">L11+L20</f>
        <v>55153</v>
      </c>
      <c r="M22" s="5">
        <f t="shared" si="59"/>
        <v>54564</v>
      </c>
      <c r="N22" s="5">
        <f t="shared" si="63"/>
        <v>53773</v>
      </c>
      <c r="O22" s="5">
        <f t="shared" si="59"/>
        <v>55647.768336964742</v>
      </c>
      <c r="P22" s="5">
        <f t="shared" si="59"/>
        <v>58221.56254094022</v>
      </c>
      <c r="Q22" s="5">
        <f t="shared" ref="Q22:T22" si="64">Q11+Q20</f>
        <v>57722.349060237742</v>
      </c>
      <c r="R22" s="5">
        <f t="shared" si="64"/>
        <v>62038.27892943567</v>
      </c>
      <c r="S22" s="5">
        <f t="shared" si="64"/>
        <v>61123.829540599239</v>
      </c>
      <c r="T22" s="5">
        <f t="shared" si="64"/>
        <v>66428.028072967718</v>
      </c>
      <c r="U22" s="5">
        <f t="shared" si="59"/>
        <v>65184.249287432176</v>
      </c>
      <c r="V22" s="5">
        <f t="shared" ref="V22" si="65">V11+V20</f>
        <v>71456.092063081393</v>
      </c>
      <c r="W22" s="5">
        <f t="shared" ref="W22:X22" si="66">W11+W20</f>
        <v>69995.49452310885</v>
      </c>
      <c r="X22" s="5">
        <f t="shared" si="66"/>
        <v>77371.262914512059</v>
      </c>
      <c r="Y22" s="5">
        <f t="shared" ref="Y22:Z22" si="67">Y11+Y20</f>
        <v>75680.183207008304</v>
      </c>
      <c r="Z22" s="5">
        <f t="shared" si="67"/>
        <v>84206.347955277597</v>
      </c>
      <c r="AE22" s="5">
        <f t="shared" ref="AE22:AO22" si="68">AE11+AE20</f>
        <v>42632</v>
      </c>
      <c r="AF22" s="5">
        <f t="shared" si="68"/>
        <v>48850</v>
      </c>
      <c r="AG22" s="5">
        <f t="shared" si="68"/>
        <v>52406</v>
      </c>
      <c r="AH22" s="5">
        <f t="shared" si="68"/>
        <v>55153</v>
      </c>
      <c r="AI22" s="5">
        <f t="shared" si="68"/>
        <v>53773</v>
      </c>
      <c r="AJ22" s="5">
        <f t="shared" si="68"/>
        <v>58221.56254094022</v>
      </c>
      <c r="AK22" s="5">
        <f t="shared" si="68"/>
        <v>62038.27892943567</v>
      </c>
      <c r="AL22" s="5">
        <f t="shared" si="68"/>
        <v>66428.028072967703</v>
      </c>
      <c r="AM22" s="5">
        <f t="shared" si="68"/>
        <v>71456.092063081393</v>
      </c>
      <c r="AN22" s="5">
        <f t="shared" si="68"/>
        <v>77371.262914512059</v>
      </c>
      <c r="AO22" s="5">
        <f t="shared" si="68"/>
        <v>84206.347955277597</v>
      </c>
      <c r="AT22" s="4"/>
    </row>
    <row r="23" spans="1:48" x14ac:dyDescent="0.3"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T23" s="4"/>
    </row>
    <row r="24" spans="1:48" x14ac:dyDescent="0.3">
      <c r="A24" t="s">
        <v>129</v>
      </c>
      <c r="B24" s="4">
        <v>461</v>
      </c>
      <c r="C24" s="4">
        <f>D24</f>
        <v>461</v>
      </c>
      <c r="D24" s="4">
        <v>461</v>
      </c>
      <c r="E24" s="4">
        <v>922</v>
      </c>
      <c r="F24" s="4">
        <f>AE24</f>
        <v>922</v>
      </c>
      <c r="G24" s="4">
        <v>922</v>
      </c>
      <c r="H24" s="4">
        <f>AF24</f>
        <v>922</v>
      </c>
      <c r="I24" s="4">
        <v>922</v>
      </c>
      <c r="J24" s="4">
        <f>AG24</f>
        <v>922</v>
      </c>
      <c r="K24" s="4">
        <v>922</v>
      </c>
      <c r="L24" s="4">
        <f>AH24</f>
        <v>922</v>
      </c>
      <c r="M24" s="4">
        <v>922</v>
      </c>
      <c r="N24" s="4">
        <f>AI24</f>
        <v>922</v>
      </c>
      <c r="O24" s="4">
        <f>N24</f>
        <v>922</v>
      </c>
      <c r="P24" s="4">
        <f>AJ24</f>
        <v>922</v>
      </c>
      <c r="Q24" s="4">
        <f>P24</f>
        <v>922</v>
      </c>
      <c r="R24" s="4">
        <f>AK24</f>
        <v>922</v>
      </c>
      <c r="S24" s="4">
        <f>R24</f>
        <v>922</v>
      </c>
      <c r="T24" s="4">
        <f>AL24</f>
        <v>922</v>
      </c>
      <c r="U24" s="4">
        <f>T24</f>
        <v>922</v>
      </c>
      <c r="V24" s="4">
        <f>AM24</f>
        <v>922</v>
      </c>
      <c r="W24" s="4">
        <f>V24</f>
        <v>922</v>
      </c>
      <c r="X24" s="4">
        <f>AN24</f>
        <v>922</v>
      </c>
      <c r="Y24" s="4">
        <f>X24</f>
        <v>922</v>
      </c>
      <c r="Z24" s="4">
        <f>AO24</f>
        <v>922</v>
      </c>
      <c r="AE24" s="4">
        <v>922</v>
      </c>
      <c r="AF24" s="4">
        <v>922</v>
      </c>
      <c r="AG24" s="4">
        <v>922</v>
      </c>
      <c r="AH24" s="4">
        <v>922</v>
      </c>
      <c r="AI24" s="4">
        <v>922</v>
      </c>
      <c r="AJ24" s="4">
        <f t="shared" ref="AJ24:AO24" si="69">AI24</f>
        <v>922</v>
      </c>
      <c r="AK24" s="4">
        <f t="shared" si="69"/>
        <v>922</v>
      </c>
      <c r="AL24" s="4">
        <f t="shared" si="69"/>
        <v>922</v>
      </c>
      <c r="AM24" s="4">
        <f t="shared" si="69"/>
        <v>922</v>
      </c>
      <c r="AN24" s="4">
        <f t="shared" si="69"/>
        <v>922</v>
      </c>
      <c r="AO24" s="4">
        <f t="shared" si="69"/>
        <v>922</v>
      </c>
      <c r="AT24" s="4"/>
      <c r="AU24" s="4">
        <f>Q24-P24</f>
        <v>0</v>
      </c>
      <c r="AV24" s="4"/>
    </row>
    <row r="25" spans="1:48" x14ac:dyDescent="0.3">
      <c r="A25" t="s">
        <v>130</v>
      </c>
      <c r="B25" s="4">
        <v>1257</v>
      </c>
      <c r="C25" s="4">
        <f>D25</f>
        <v>1257</v>
      </c>
      <c r="D25" s="4">
        <v>1257</v>
      </c>
      <c r="E25" s="4">
        <v>2701</v>
      </c>
      <c r="F25" s="4">
        <f>AE25</f>
        <v>2701</v>
      </c>
      <c r="G25" s="4">
        <v>2701</v>
      </c>
      <c r="H25" s="4">
        <f>AF25</f>
        <v>2701</v>
      </c>
      <c r="I25" s="4">
        <v>2701</v>
      </c>
      <c r="J25" s="4">
        <f>AG25</f>
        <v>2701</v>
      </c>
      <c r="K25" s="4">
        <v>2701</v>
      </c>
      <c r="L25" s="4">
        <f>AH25</f>
        <v>2701</v>
      </c>
      <c r="M25" s="4">
        <v>2701</v>
      </c>
      <c r="N25" s="4">
        <f>AI25</f>
        <v>2701</v>
      </c>
      <c r="O25" s="4">
        <f>N25</f>
        <v>2701</v>
      </c>
      <c r="P25" s="4">
        <f>AJ25</f>
        <v>2701</v>
      </c>
      <c r="Q25" s="4">
        <f>P25</f>
        <v>2701</v>
      </c>
      <c r="R25" s="4">
        <f>AK25</f>
        <v>2701</v>
      </c>
      <c r="S25" s="4">
        <f>R25</f>
        <v>2701</v>
      </c>
      <c r="T25" s="4">
        <f>AL25</f>
        <v>2701</v>
      </c>
      <c r="U25" s="4">
        <f>T25</f>
        <v>2701</v>
      </c>
      <c r="V25" s="4">
        <f>AM25</f>
        <v>2701</v>
      </c>
      <c r="W25" s="4">
        <f>V25</f>
        <v>2701</v>
      </c>
      <c r="X25" s="4">
        <f>AN25</f>
        <v>2701</v>
      </c>
      <c r="Y25" s="4">
        <f>X25</f>
        <v>2701</v>
      </c>
      <c r="Z25" s="4">
        <f>AO25</f>
        <v>2701</v>
      </c>
      <c r="AE25" s="4">
        <v>2701</v>
      </c>
      <c r="AF25" s="4">
        <v>2701</v>
      </c>
      <c r="AG25" s="4">
        <v>2701</v>
      </c>
      <c r="AH25" s="4">
        <v>2701</v>
      </c>
      <c r="AI25" s="4">
        <f t="shared" ref="AI25" si="70">AH25</f>
        <v>2701</v>
      </c>
      <c r="AJ25" s="4">
        <f t="shared" ref="AJ25:AO25" si="71">AI25</f>
        <v>2701</v>
      </c>
      <c r="AK25" s="4">
        <f t="shared" si="71"/>
        <v>2701</v>
      </c>
      <c r="AL25" s="4">
        <f t="shared" si="71"/>
        <v>2701</v>
      </c>
      <c r="AM25" s="4">
        <f t="shared" si="71"/>
        <v>2701</v>
      </c>
      <c r="AN25" s="4">
        <f t="shared" si="71"/>
        <v>2701</v>
      </c>
      <c r="AO25" s="4">
        <f t="shared" si="71"/>
        <v>2701</v>
      </c>
      <c r="AT25" s="4"/>
      <c r="AU25" s="4">
        <f t="shared" ref="AU25:AU28" si="72">Q25-P25</f>
        <v>0</v>
      </c>
      <c r="AV25" s="4"/>
    </row>
    <row r="26" spans="1:48" x14ac:dyDescent="0.3">
      <c r="A26" t="s">
        <v>131</v>
      </c>
      <c r="B26" s="4">
        <f>-1591-13+2+185+534</f>
        <v>-883</v>
      </c>
      <c r="C26" s="4">
        <f>D26</f>
        <v>-799</v>
      </c>
      <c r="D26" s="4">
        <f>-1511-8+2+158+560</f>
        <v>-799</v>
      </c>
      <c r="E26" s="4">
        <f>-4527+33+1+171+1109-25</f>
        <v>-3238</v>
      </c>
      <c r="F26" s="4">
        <f>AE26</f>
        <v>-3714</v>
      </c>
      <c r="G26" s="4">
        <f>-4541+27-5+57+1180-23</f>
        <v>-3305</v>
      </c>
      <c r="H26" s="4">
        <f>AF26</f>
        <v>-2808</v>
      </c>
      <c r="I26" s="4">
        <f>-2935-79-9+56+1094-40</f>
        <v>-1913</v>
      </c>
      <c r="J26" s="4">
        <f>AG26</f>
        <v>-2423</v>
      </c>
      <c r="K26" s="4">
        <f>-3504-174-6+104+1339-966</f>
        <v>-3207</v>
      </c>
      <c r="L26" s="4">
        <f>AH26</f>
        <v>-2641</v>
      </c>
      <c r="M26" s="4">
        <f>-3798+99-7+61+1890-966</f>
        <v>-2721</v>
      </c>
      <c r="N26" s="4">
        <f>AI26</f>
        <v>-3248</v>
      </c>
      <c r="O26" s="4">
        <f>N26</f>
        <v>-3248</v>
      </c>
      <c r="P26" s="4">
        <f>AJ26</f>
        <v>-3248</v>
      </c>
      <c r="Q26" s="4">
        <f>P26</f>
        <v>-3248</v>
      </c>
      <c r="R26" s="4">
        <f>AK26</f>
        <v>-3248</v>
      </c>
      <c r="S26" s="4">
        <f>R26</f>
        <v>-3248</v>
      </c>
      <c r="T26" s="4">
        <f>AL26</f>
        <v>-3248</v>
      </c>
      <c r="U26" s="4">
        <f>T26</f>
        <v>-3248</v>
      </c>
      <c r="V26" s="4">
        <f>AM26</f>
        <v>-3248</v>
      </c>
      <c r="W26" s="4">
        <f>V26</f>
        <v>-3248</v>
      </c>
      <c r="X26" s="4">
        <f>AN26</f>
        <v>-3248</v>
      </c>
      <c r="Y26" s="4">
        <f>X26</f>
        <v>-3248</v>
      </c>
      <c r="Z26" s="4">
        <f>AO26</f>
        <v>-3248</v>
      </c>
      <c r="AE26" s="4">
        <f>-4940+28-2+54+1171-25</f>
        <v>-3714</v>
      </c>
      <c r="AF26" s="4">
        <f>-4003+56-8+56+1128-37</f>
        <v>-2808</v>
      </c>
      <c r="AG26" s="4">
        <f>-3619-47-9+70+1242-60</f>
        <v>-2423</v>
      </c>
      <c r="AH26" s="4">
        <f>-3705-14-7+71+1980-966</f>
        <v>-2641</v>
      </c>
      <c r="AI26" s="4">
        <f>-4297+100-8-32+1978-989</f>
        <v>-3248</v>
      </c>
      <c r="AJ26" s="4">
        <f t="shared" ref="AJ26:AO26" si="73">AI26</f>
        <v>-3248</v>
      </c>
      <c r="AK26" s="4">
        <f t="shared" si="73"/>
        <v>-3248</v>
      </c>
      <c r="AL26" s="4">
        <f t="shared" si="73"/>
        <v>-3248</v>
      </c>
      <c r="AM26" s="4">
        <f t="shared" si="73"/>
        <v>-3248</v>
      </c>
      <c r="AN26" s="4">
        <f t="shared" si="73"/>
        <v>-3248</v>
      </c>
      <c r="AO26" s="4">
        <f t="shared" si="73"/>
        <v>-3248</v>
      </c>
      <c r="AS26" s="4"/>
      <c r="AT26" s="4"/>
      <c r="AU26" s="4">
        <f t="shared" si="72"/>
        <v>0</v>
      </c>
      <c r="AV26" s="4"/>
    </row>
    <row r="27" spans="1:48" x14ac:dyDescent="0.3">
      <c r="A27" t="s">
        <v>132</v>
      </c>
      <c r="B27" s="4">
        <v>6689</v>
      </c>
      <c r="C27" s="4">
        <f>D27</f>
        <v>7074</v>
      </c>
      <c r="D27" s="4">
        <v>7074</v>
      </c>
      <c r="E27" s="4">
        <v>13208</v>
      </c>
      <c r="F27" s="4">
        <f>AE27</f>
        <v>13483</v>
      </c>
      <c r="G27" s="4">
        <v>14219</v>
      </c>
      <c r="H27" s="4">
        <f>AF27</f>
        <v>16541</v>
      </c>
      <c r="I27" s="4">
        <v>17434</v>
      </c>
      <c r="J27" s="4">
        <f>AG27</f>
        <v>18351</v>
      </c>
      <c r="K27" s="4">
        <v>18898</v>
      </c>
      <c r="L27" s="4">
        <f>AH27</f>
        <v>19074</v>
      </c>
      <c r="M27" s="4">
        <v>18506</v>
      </c>
      <c r="N27" s="4">
        <f>AI27</f>
        <v>19206</v>
      </c>
      <c r="O27" s="4">
        <f>N27+'Profit and Loss Statement '!O27</f>
        <v>21338.754318797917</v>
      </c>
      <c r="P27" s="4">
        <f>AJ27</f>
        <v>20859.518663231705</v>
      </c>
      <c r="Q27" s="4">
        <f>P27+'Profit and Loss Statement '!Q27</f>
        <v>23197.22298945564</v>
      </c>
      <c r="R27" s="4">
        <f>AK27</f>
        <v>22764.102489246612</v>
      </c>
      <c r="S27" s="4">
        <f>R27+'Profit and Loss Statement '!S27</f>
        <v>25418.017260970333</v>
      </c>
      <c r="T27" s="4">
        <f>AL27</f>
        <v>24978.303502099578</v>
      </c>
      <c r="U27" s="4">
        <f>T27+'Profit and Loss Statement '!U27</f>
        <v>28065.472509917512</v>
      </c>
      <c r="V27" s="4">
        <f>AM27</f>
        <v>27568.026111729268</v>
      </c>
      <c r="W27" s="4">
        <f>V27+'Profit and Loss Statement '!W27</f>
        <v>31217.687960675783</v>
      </c>
      <c r="X27" s="4">
        <f>AN27</f>
        <v>30609.464015604684</v>
      </c>
      <c r="Y27" s="4">
        <f>X27+'Profit and Loss Statement '!Y27</f>
        <v>34969.197199692753</v>
      </c>
      <c r="Z27" s="4">
        <f>AO27</f>
        <v>34192.200636816466</v>
      </c>
      <c r="AE27" s="4">
        <v>13483</v>
      </c>
      <c r="AF27" s="4">
        <v>16541</v>
      </c>
      <c r="AG27" s="4">
        <v>18351</v>
      </c>
      <c r="AH27" s="4">
        <v>19074</v>
      </c>
      <c r="AI27" s="4">
        <v>19206</v>
      </c>
      <c r="AJ27" s="4">
        <f>AI27+'Profit and Loss Statement '!AJ27</f>
        <v>20859.518663231705</v>
      </c>
      <c r="AK27" s="4">
        <f>AJ27+'Profit and Loss Statement '!AK27</f>
        <v>22764.102489246612</v>
      </c>
      <c r="AL27" s="4">
        <f>AK27+'Profit and Loss Statement '!AL27</f>
        <v>24978.303502099578</v>
      </c>
      <c r="AM27" s="4">
        <f>AL27+'Profit and Loss Statement '!AM27</f>
        <v>27568.026111729268</v>
      </c>
      <c r="AN27" s="4">
        <f>AM27+'Profit and Loss Statement '!AN27</f>
        <v>30609.464015604684</v>
      </c>
      <c r="AO27" s="4">
        <f>AN27+'Profit and Loss Statement '!AO27</f>
        <v>34192.200636816466</v>
      </c>
      <c r="AS27" s="4"/>
      <c r="AT27" s="4"/>
      <c r="AU27" s="4">
        <f t="shared" si="72"/>
        <v>2337.7043262239349</v>
      </c>
      <c r="AV27" s="4"/>
    </row>
    <row r="28" spans="1:48" x14ac:dyDescent="0.3">
      <c r="A28" t="s">
        <v>17</v>
      </c>
      <c r="B28" s="4">
        <f>7690+1069</f>
        <v>8759</v>
      </c>
      <c r="C28" s="4">
        <f>D28</f>
        <v>9318</v>
      </c>
      <c r="D28" s="4">
        <f>8154+1164</f>
        <v>9318</v>
      </c>
      <c r="E28" s="4">
        <v>967</v>
      </c>
      <c r="F28" s="4">
        <f>AE28</f>
        <v>1000</v>
      </c>
      <c r="G28" s="4">
        <v>970</v>
      </c>
      <c r="H28" s="4">
        <f>AF28</f>
        <v>2344</v>
      </c>
      <c r="I28" s="4">
        <v>2412</v>
      </c>
      <c r="J28" s="4">
        <f>AG28</f>
        <v>2369</v>
      </c>
      <c r="K28" s="4">
        <v>2749</v>
      </c>
      <c r="L28" s="4">
        <f>AH28</f>
        <v>2733</v>
      </c>
      <c r="M28" s="4">
        <v>2674</v>
      </c>
      <c r="N28" s="4">
        <f>AI28</f>
        <v>2821</v>
      </c>
      <c r="O28" s="4">
        <f>N28+'Profit and Loss Statement '!O28</f>
        <v>1765.847863331556</v>
      </c>
      <c r="P28" s="4">
        <f>AJ28</f>
        <v>3130.4007314636015</v>
      </c>
      <c r="Q28" s="4">
        <f>P28+'Profit and Loss Statement '!Q28</f>
        <v>1973.8522753317595</v>
      </c>
      <c r="R28" s="4">
        <f>AK28</f>
        <v>3486.779913632035</v>
      </c>
      <c r="S28" s="4">
        <f>R28+'Profit and Loss Statement '!S28</f>
        <v>2173.7905002529315</v>
      </c>
      <c r="T28" s="4">
        <f>AL28</f>
        <v>3901.0936000861175</v>
      </c>
      <c r="U28" s="4">
        <f>T28+'Profit and Loss Statement '!U28</f>
        <v>2373.7573541130332</v>
      </c>
      <c r="V28" s="4">
        <f>AM28</f>
        <v>4385.6735975935135</v>
      </c>
      <c r="W28" s="4">
        <f>V28+'Profit and Loss Statement '!W28</f>
        <v>2580.0514196936583</v>
      </c>
      <c r="X28" s="4">
        <f>AN28</f>
        <v>4954.7770090548638</v>
      </c>
      <c r="Y28" s="4">
        <f>X28+'Profit and Loss Statement '!Y28</f>
        <v>2797.856381137608</v>
      </c>
      <c r="Z28" s="4">
        <f>AO28</f>
        <v>5625.1663768276203</v>
      </c>
      <c r="AE28" s="4">
        <v>1000</v>
      </c>
      <c r="AF28" s="4">
        <v>2344</v>
      </c>
      <c r="AG28" s="4">
        <v>2369</v>
      </c>
      <c r="AH28" s="4">
        <v>2733</v>
      </c>
      <c r="AI28" s="4">
        <v>2821</v>
      </c>
      <c r="AJ28" s="4">
        <f>AI28+'Profit and Loss Statement '!AJ28</f>
        <v>3130.4007314636015</v>
      </c>
      <c r="AK28" s="4">
        <f>AJ28+'Profit and Loss Statement '!AK28</f>
        <v>3486.779913632035</v>
      </c>
      <c r="AL28" s="4">
        <f>AK28+'Profit and Loss Statement '!AL28</f>
        <v>3901.0936000861175</v>
      </c>
      <c r="AM28" s="4">
        <f>AL28+'Profit and Loss Statement '!AM28</f>
        <v>4385.6735975935135</v>
      </c>
      <c r="AN28" s="4">
        <f>AM28+'Profit and Loss Statement '!AN28</f>
        <v>4954.7770090548638</v>
      </c>
      <c r="AO28" s="4">
        <f>AN28+'Profit and Loss Statement '!AO28</f>
        <v>5625.1663768276203</v>
      </c>
      <c r="AS28" s="4"/>
      <c r="AT28" s="4"/>
      <c r="AU28" s="4">
        <f t="shared" si="72"/>
        <v>-1156.5484561318419</v>
      </c>
      <c r="AV28" s="4"/>
    </row>
    <row r="29" spans="1:48" x14ac:dyDescent="0.3">
      <c r="A29" s="3" t="s">
        <v>74</v>
      </c>
      <c r="B29" s="5">
        <f t="shared" ref="B29:O29" si="74">SUM(B24:B28)</f>
        <v>16283</v>
      </c>
      <c r="C29" s="5">
        <f t="shared" si="74"/>
        <v>17311</v>
      </c>
      <c r="D29" s="5">
        <f t="shared" si="74"/>
        <v>17311</v>
      </c>
      <c r="E29" s="5">
        <f t="shared" si="74"/>
        <v>14560</v>
      </c>
      <c r="F29" s="5">
        <f t="shared" si="74"/>
        <v>14392</v>
      </c>
      <c r="G29" s="5">
        <f t="shared" si="74"/>
        <v>15507</v>
      </c>
      <c r="H29" s="5">
        <f t="shared" si="74"/>
        <v>19700</v>
      </c>
      <c r="I29" s="5">
        <f t="shared" si="74"/>
        <v>21556</v>
      </c>
      <c r="J29" s="5">
        <f t="shared" si="74"/>
        <v>21920</v>
      </c>
      <c r="K29" s="5">
        <f t="shared" si="74"/>
        <v>22063</v>
      </c>
      <c r="L29" s="5">
        <f t="shared" si="74"/>
        <v>22789</v>
      </c>
      <c r="M29" s="5">
        <f t="shared" si="74"/>
        <v>22082</v>
      </c>
      <c r="N29" s="5">
        <f t="shared" ref="N29:P29" si="75">SUM(N24:N28)</f>
        <v>22402</v>
      </c>
      <c r="O29" s="5">
        <f t="shared" si="74"/>
        <v>23479.602182129474</v>
      </c>
      <c r="P29" s="5">
        <f t="shared" si="75"/>
        <v>24364.919394695306</v>
      </c>
      <c r="Q29" s="5">
        <f t="shared" ref="Q29:S29" si="76">SUM(Q24:Q28)</f>
        <v>25546.0752647874</v>
      </c>
      <c r="R29" s="5">
        <f t="shared" ref="R29" si="77">SUM(R24:R28)</f>
        <v>26625.882402878648</v>
      </c>
      <c r="S29" s="5">
        <f t="shared" si="76"/>
        <v>27966.807761223266</v>
      </c>
      <c r="T29" s="5">
        <f t="shared" ref="T29" si="78">SUM(T24:T28)</f>
        <v>29254.397102185696</v>
      </c>
      <c r="U29" s="5">
        <f t="shared" ref="U29" si="79">SUM(U24:U28)</f>
        <v>30814.229864030545</v>
      </c>
      <c r="V29" s="5">
        <f t="shared" ref="V29" si="80">SUM(V24:V28)</f>
        <v>32328.699709322784</v>
      </c>
      <c r="W29" s="5">
        <f t="shared" ref="W29" si="81">SUM(W24:W28)</f>
        <v>34172.739380369443</v>
      </c>
      <c r="X29" s="5">
        <f t="shared" ref="X29" si="82">SUM(X24:X28)</f>
        <v>35939.241024659546</v>
      </c>
      <c r="Y29" s="5">
        <f t="shared" ref="Y29" si="83">SUM(Y24:Y28)</f>
        <v>38142.053580830361</v>
      </c>
      <c r="Z29" s="5">
        <f t="shared" ref="Z29" si="84">SUM(Z24:Z28)</f>
        <v>40192.367013644085</v>
      </c>
      <c r="AE29" s="5">
        <f t="shared" ref="AE29:AO29" si="85">SUM(AE24:AE28)</f>
        <v>14392</v>
      </c>
      <c r="AF29" s="5">
        <f t="shared" si="85"/>
        <v>19700</v>
      </c>
      <c r="AG29" s="5">
        <f t="shared" si="85"/>
        <v>21920</v>
      </c>
      <c r="AH29" s="5">
        <f t="shared" si="85"/>
        <v>22789</v>
      </c>
      <c r="AI29" s="5">
        <f>SUM(AI24:AI28)</f>
        <v>22402</v>
      </c>
      <c r="AJ29" s="5">
        <f t="shared" si="85"/>
        <v>24364.919394695306</v>
      </c>
      <c r="AK29" s="5">
        <f t="shared" si="85"/>
        <v>26625.882402878648</v>
      </c>
      <c r="AL29" s="5">
        <f t="shared" si="85"/>
        <v>29254.397102185696</v>
      </c>
      <c r="AM29" s="5">
        <f t="shared" si="85"/>
        <v>32328.699709322784</v>
      </c>
      <c r="AN29" s="5">
        <f t="shared" si="85"/>
        <v>35939.241024659546</v>
      </c>
      <c r="AO29" s="5">
        <f t="shared" si="85"/>
        <v>40192.367013644085</v>
      </c>
      <c r="AT29" s="4"/>
    </row>
    <row r="30" spans="1:48" x14ac:dyDescent="0.3"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I30" s="4"/>
      <c r="AT30" s="4"/>
    </row>
    <row r="31" spans="1:48" x14ac:dyDescent="0.3">
      <c r="A31" t="s">
        <v>75</v>
      </c>
      <c r="B31" s="4">
        <v>14112</v>
      </c>
      <c r="C31" s="4">
        <f>D31</f>
        <v>13366</v>
      </c>
      <c r="D31" s="4">
        <v>13366</v>
      </c>
      <c r="E31" s="4">
        <v>15564</v>
      </c>
      <c r="F31" s="4">
        <f>AE31</f>
        <v>14616</v>
      </c>
      <c r="G31" s="4">
        <v>13831</v>
      </c>
      <c r="H31" s="4">
        <f>AF31</f>
        <v>13640</v>
      </c>
      <c r="I31" s="4">
        <v>13026</v>
      </c>
      <c r="J31" s="4">
        <f>AG31</f>
        <v>12893</v>
      </c>
      <c r="K31" s="4">
        <v>14441</v>
      </c>
      <c r="L31" s="4">
        <f>AH31</f>
        <v>14046</v>
      </c>
      <c r="M31" s="4">
        <v>13792</v>
      </c>
      <c r="N31" s="4">
        <f>AI31</f>
        <v>13783</v>
      </c>
      <c r="O31" s="4">
        <f t="shared" ref="O31" si="86">O82</f>
        <v>14033</v>
      </c>
      <c r="P31" s="4">
        <f>AJ31</f>
        <v>14283</v>
      </c>
      <c r="Q31" s="4">
        <f t="shared" ref="Q31:S31" si="87">Q82</f>
        <v>14533</v>
      </c>
      <c r="R31" s="4">
        <f>AK31</f>
        <v>14783</v>
      </c>
      <c r="S31" s="4">
        <f t="shared" si="87"/>
        <v>15033</v>
      </c>
      <c r="T31" s="4">
        <f>AL31</f>
        <v>15283</v>
      </c>
      <c r="U31" s="4">
        <f t="shared" ref="U31" si="88">U82</f>
        <v>15533</v>
      </c>
      <c r="V31" s="4">
        <f>AM31</f>
        <v>15783</v>
      </c>
      <c r="W31" s="4">
        <f t="shared" ref="W31" si="89">W82</f>
        <v>16033</v>
      </c>
      <c r="X31" s="4">
        <f>AN31</f>
        <v>16283</v>
      </c>
      <c r="Y31" s="4">
        <f t="shared" ref="Y31" si="90">Y82</f>
        <v>16533</v>
      </c>
      <c r="Z31" s="4">
        <f>AO31</f>
        <v>16783</v>
      </c>
      <c r="AE31" s="4">
        <v>14616</v>
      </c>
      <c r="AF31" s="4">
        <v>13640</v>
      </c>
      <c r="AG31" s="4">
        <v>12893</v>
      </c>
      <c r="AH31" s="4">
        <v>14046</v>
      </c>
      <c r="AI31" s="4">
        <v>13783</v>
      </c>
      <c r="AJ31" s="4">
        <f t="shared" ref="AJ31:AO31" si="91">AJ82</f>
        <v>14283</v>
      </c>
      <c r="AK31" s="4">
        <f t="shared" si="91"/>
        <v>14783</v>
      </c>
      <c r="AL31" s="4">
        <f t="shared" si="91"/>
        <v>15283</v>
      </c>
      <c r="AM31" s="4">
        <f t="shared" si="91"/>
        <v>15783</v>
      </c>
      <c r="AN31" s="4">
        <f t="shared" si="91"/>
        <v>16283</v>
      </c>
      <c r="AO31" s="4">
        <f t="shared" si="91"/>
        <v>16783</v>
      </c>
      <c r="AS31" s="4"/>
      <c r="AT31" s="4"/>
      <c r="AU31" s="4">
        <f t="shared" ref="AU31:AU35" si="92">Q31-P31</f>
        <v>250</v>
      </c>
      <c r="AV31" s="4"/>
    </row>
    <row r="32" spans="1:48" x14ac:dyDescent="0.3">
      <c r="A32" t="s">
        <v>184</v>
      </c>
      <c r="B32" s="4">
        <v>1101</v>
      </c>
      <c r="C32" s="4">
        <f>D32</f>
        <v>1189</v>
      </c>
      <c r="D32" s="4">
        <v>1189</v>
      </c>
      <c r="E32" s="4">
        <v>1206</v>
      </c>
      <c r="F32" s="4">
        <f>AE32</f>
        <v>938</v>
      </c>
      <c r="G32" s="4">
        <v>832</v>
      </c>
      <c r="H32" s="4">
        <f>AF32</f>
        <v>668</v>
      </c>
      <c r="I32" s="4">
        <v>555</v>
      </c>
      <c r="J32" s="4">
        <f>AG32</f>
        <v>568</v>
      </c>
      <c r="K32" s="4">
        <v>533</v>
      </c>
      <c r="L32" s="4">
        <f>AH32</f>
        <v>586</v>
      </c>
      <c r="M32" s="4">
        <v>628</v>
      </c>
      <c r="N32" s="4">
        <f>AI32</f>
        <v>519</v>
      </c>
      <c r="O32" s="4">
        <f t="shared" ref="O32:Y35" si="93">N32</f>
        <v>519</v>
      </c>
      <c r="P32" s="4">
        <f>AJ32</f>
        <v>519</v>
      </c>
      <c r="Q32" s="4">
        <f t="shared" si="93"/>
        <v>519</v>
      </c>
      <c r="R32" s="4">
        <f>AK32</f>
        <v>519</v>
      </c>
      <c r="S32" s="4">
        <f t="shared" si="93"/>
        <v>519</v>
      </c>
      <c r="T32" s="4">
        <f>AL32</f>
        <v>519</v>
      </c>
      <c r="U32" s="4">
        <f t="shared" si="93"/>
        <v>519</v>
      </c>
      <c r="V32" s="4">
        <f>AM32</f>
        <v>519</v>
      </c>
      <c r="W32" s="4">
        <f t="shared" si="93"/>
        <v>519</v>
      </c>
      <c r="X32" s="4">
        <f>AN32</f>
        <v>519</v>
      </c>
      <c r="Y32" s="4">
        <f t="shared" si="93"/>
        <v>519</v>
      </c>
      <c r="Z32" s="4">
        <f>AO32</f>
        <v>519</v>
      </c>
      <c r="AE32" s="4">
        <v>938</v>
      </c>
      <c r="AF32" s="4">
        <v>668</v>
      </c>
      <c r="AG32" s="4">
        <v>568</v>
      </c>
      <c r="AH32" s="4">
        <v>586</v>
      </c>
      <c r="AI32" s="4">
        <v>519</v>
      </c>
      <c r="AJ32" s="4">
        <f t="shared" ref="AJ32:AO32" si="94">AI32</f>
        <v>519</v>
      </c>
      <c r="AK32" s="4">
        <f t="shared" si="94"/>
        <v>519</v>
      </c>
      <c r="AL32" s="4">
        <f t="shared" si="94"/>
        <v>519</v>
      </c>
      <c r="AM32" s="4">
        <f t="shared" si="94"/>
        <v>519</v>
      </c>
      <c r="AN32" s="4">
        <f t="shared" si="94"/>
        <v>519</v>
      </c>
      <c r="AO32" s="4">
        <f t="shared" si="94"/>
        <v>519</v>
      </c>
      <c r="AS32" s="4"/>
      <c r="AT32" s="4"/>
      <c r="AU32" s="4">
        <f t="shared" si="92"/>
        <v>0</v>
      </c>
      <c r="AV32" s="4"/>
    </row>
    <row r="33" spans="1:48" x14ac:dyDescent="0.3">
      <c r="A33" t="s">
        <v>76</v>
      </c>
      <c r="B33" s="4">
        <v>769</v>
      </c>
      <c r="C33" s="4">
        <f>D33</f>
        <v>756</v>
      </c>
      <c r="D33" s="4">
        <v>756</v>
      </c>
      <c r="E33" s="4">
        <v>602</v>
      </c>
      <c r="F33" s="4">
        <f>AE33</f>
        <v>688</v>
      </c>
      <c r="G33" s="4">
        <v>676</v>
      </c>
      <c r="H33" s="4">
        <f>AF33</f>
        <v>636</v>
      </c>
      <c r="I33" s="4">
        <v>636</v>
      </c>
      <c r="J33" s="4">
        <f>AG33</f>
        <v>572</v>
      </c>
      <c r="K33" s="4">
        <v>651</v>
      </c>
      <c r="L33" s="4">
        <f>AH33</f>
        <v>627</v>
      </c>
      <c r="M33" s="4">
        <v>586</v>
      </c>
      <c r="N33" s="4">
        <f>AI33</f>
        <v>586</v>
      </c>
      <c r="O33" s="4">
        <f t="shared" si="93"/>
        <v>586</v>
      </c>
      <c r="P33" s="4">
        <f>AJ33</f>
        <v>586</v>
      </c>
      <c r="Q33" s="4">
        <f t="shared" si="93"/>
        <v>586</v>
      </c>
      <c r="R33" s="4">
        <f>AK33</f>
        <v>586</v>
      </c>
      <c r="S33" s="4">
        <f t="shared" si="93"/>
        <v>586</v>
      </c>
      <c r="T33" s="4">
        <f>AL33</f>
        <v>586</v>
      </c>
      <c r="U33" s="4">
        <f t="shared" si="93"/>
        <v>586</v>
      </c>
      <c r="V33" s="4">
        <f>AM33</f>
        <v>586</v>
      </c>
      <c r="W33" s="4">
        <f t="shared" si="93"/>
        <v>586</v>
      </c>
      <c r="X33" s="4">
        <f>AN33</f>
        <v>586</v>
      </c>
      <c r="Y33" s="4">
        <f t="shared" si="93"/>
        <v>586</v>
      </c>
      <c r="Z33" s="4">
        <f>AO33</f>
        <v>586</v>
      </c>
      <c r="AE33" s="4">
        <v>688</v>
      </c>
      <c r="AF33" s="4">
        <v>636</v>
      </c>
      <c r="AG33" s="4">
        <v>572</v>
      </c>
      <c r="AH33" s="4">
        <v>627</v>
      </c>
      <c r="AI33" s="4">
        <v>586</v>
      </c>
      <c r="AJ33" s="4">
        <f t="shared" ref="AJ33:AO33" si="95">AI33</f>
        <v>586</v>
      </c>
      <c r="AK33" s="4">
        <f t="shared" si="95"/>
        <v>586</v>
      </c>
      <c r="AL33" s="4">
        <f t="shared" si="95"/>
        <v>586</v>
      </c>
      <c r="AM33" s="4">
        <f t="shared" si="95"/>
        <v>586</v>
      </c>
      <c r="AN33" s="4">
        <f t="shared" si="95"/>
        <v>586</v>
      </c>
      <c r="AO33" s="4">
        <f t="shared" si="95"/>
        <v>586</v>
      </c>
      <c r="AS33" s="4"/>
      <c r="AT33" s="4"/>
      <c r="AU33" s="4">
        <f t="shared" si="92"/>
        <v>0</v>
      </c>
      <c r="AV33" s="4"/>
    </row>
    <row r="34" spans="1:48" x14ac:dyDescent="0.3">
      <c r="A34" t="s">
        <v>77</v>
      </c>
      <c r="B34" s="4">
        <v>1417</v>
      </c>
      <c r="C34" s="4">
        <f>D34</f>
        <v>1422</v>
      </c>
      <c r="D34" s="4">
        <v>1422</v>
      </c>
      <c r="E34" s="4">
        <v>1198</v>
      </c>
      <c r="F34" s="4">
        <f>AE34</f>
        <v>999</v>
      </c>
      <c r="G34" s="4">
        <v>1073</v>
      </c>
      <c r="H34" s="4">
        <f>AF34</f>
        <v>1971</v>
      </c>
      <c r="I34" s="4">
        <v>2078</v>
      </c>
      <c r="J34" s="4">
        <f>AG34</f>
        <v>2138</v>
      </c>
      <c r="K34" s="4">
        <v>2403</v>
      </c>
      <c r="L34" s="4">
        <f>AH34</f>
        <v>2213</v>
      </c>
      <c r="M34" s="4">
        <v>2105</v>
      </c>
      <c r="N34" s="4">
        <f>AI34</f>
        <v>2155</v>
      </c>
      <c r="O34" s="4">
        <f t="shared" si="93"/>
        <v>2155</v>
      </c>
      <c r="P34" s="4">
        <f>AJ34</f>
        <v>2155</v>
      </c>
      <c r="Q34" s="4">
        <f t="shared" si="93"/>
        <v>2155</v>
      </c>
      <c r="R34" s="4">
        <f>AK34</f>
        <v>2155</v>
      </c>
      <c r="S34" s="4">
        <f t="shared" si="93"/>
        <v>2155</v>
      </c>
      <c r="T34" s="4">
        <f>AL34</f>
        <v>2155</v>
      </c>
      <c r="U34" s="4">
        <f t="shared" si="93"/>
        <v>2155</v>
      </c>
      <c r="V34" s="4">
        <f>AM34</f>
        <v>2155</v>
      </c>
      <c r="W34" s="4">
        <f t="shared" si="93"/>
        <v>2155</v>
      </c>
      <c r="X34" s="4">
        <f>AN34</f>
        <v>2155</v>
      </c>
      <c r="Y34" s="4">
        <f t="shared" si="93"/>
        <v>2155</v>
      </c>
      <c r="Z34" s="4">
        <f>AO34</f>
        <v>2155</v>
      </c>
      <c r="AE34" s="4">
        <v>999</v>
      </c>
      <c r="AF34" s="4">
        <v>1971</v>
      </c>
      <c r="AG34" s="4">
        <v>2138</v>
      </c>
      <c r="AH34" s="4">
        <v>2213</v>
      </c>
      <c r="AI34" s="4">
        <v>2155</v>
      </c>
      <c r="AJ34" s="4">
        <f t="shared" ref="AJ34:AO34" si="96">AI34</f>
        <v>2155</v>
      </c>
      <c r="AK34" s="4">
        <f t="shared" si="96"/>
        <v>2155</v>
      </c>
      <c r="AL34" s="4">
        <f t="shared" si="96"/>
        <v>2155</v>
      </c>
      <c r="AM34" s="4">
        <f t="shared" si="96"/>
        <v>2155</v>
      </c>
      <c r="AN34" s="4">
        <f t="shared" si="96"/>
        <v>2155</v>
      </c>
      <c r="AO34" s="4">
        <f t="shared" si="96"/>
        <v>2155</v>
      </c>
      <c r="AS34" s="4"/>
      <c r="AT34" s="4"/>
      <c r="AU34" s="4">
        <f t="shared" si="92"/>
        <v>0</v>
      </c>
      <c r="AV34" s="4"/>
    </row>
    <row r="35" spans="1:48" x14ac:dyDescent="0.3">
      <c r="A35" t="s">
        <v>78</v>
      </c>
      <c r="B35" s="4">
        <v>172</v>
      </c>
      <c r="C35" s="4">
        <f>D35</f>
        <v>153</v>
      </c>
      <c r="D35" s="4">
        <v>153</v>
      </c>
      <c r="E35" s="4">
        <v>108</v>
      </c>
      <c r="F35" s="4">
        <f>AE35</f>
        <v>131</v>
      </c>
      <c r="G35" s="4">
        <v>136</v>
      </c>
      <c r="H35" s="4">
        <f>AF35</f>
        <v>141</v>
      </c>
      <c r="I35" s="4">
        <v>179</v>
      </c>
      <c r="J35" s="4">
        <f>AG35</f>
        <v>125</v>
      </c>
      <c r="K35" s="4">
        <v>75</v>
      </c>
      <c r="L35" s="4">
        <f>AH35</f>
        <v>67</v>
      </c>
      <c r="M35" s="4">
        <v>81</v>
      </c>
      <c r="N35" s="4">
        <f>AI35</f>
        <v>90</v>
      </c>
      <c r="O35" s="4">
        <f t="shared" si="93"/>
        <v>90</v>
      </c>
      <c r="P35" s="4">
        <f>AJ35</f>
        <v>90</v>
      </c>
      <c r="Q35" s="4">
        <f t="shared" si="93"/>
        <v>90</v>
      </c>
      <c r="R35" s="4">
        <f>AK35</f>
        <v>90</v>
      </c>
      <c r="S35" s="4">
        <f t="shared" si="93"/>
        <v>90</v>
      </c>
      <c r="T35" s="4">
        <f>AL35</f>
        <v>90</v>
      </c>
      <c r="U35" s="4">
        <f t="shared" si="93"/>
        <v>90</v>
      </c>
      <c r="V35" s="4">
        <f>AM35</f>
        <v>90</v>
      </c>
      <c r="W35" s="4">
        <f t="shared" si="93"/>
        <v>90</v>
      </c>
      <c r="X35" s="4">
        <f>AN35</f>
        <v>90</v>
      </c>
      <c r="Y35" s="4">
        <f t="shared" si="93"/>
        <v>90</v>
      </c>
      <c r="Z35" s="4">
        <f>AO35</f>
        <v>90</v>
      </c>
      <c r="AE35" s="4">
        <v>131</v>
      </c>
      <c r="AF35" s="4">
        <v>141</v>
      </c>
      <c r="AG35" s="4">
        <v>125</v>
      </c>
      <c r="AH35" s="4">
        <v>67</v>
      </c>
      <c r="AI35" s="4">
        <v>90</v>
      </c>
      <c r="AJ35" s="4">
        <f t="shared" ref="AJ35:AO35" si="97">AI35</f>
        <v>90</v>
      </c>
      <c r="AK35" s="4">
        <f t="shared" si="97"/>
        <v>90</v>
      </c>
      <c r="AL35" s="4">
        <f t="shared" si="97"/>
        <v>90</v>
      </c>
      <c r="AM35" s="4">
        <f t="shared" si="97"/>
        <v>90</v>
      </c>
      <c r="AN35" s="4">
        <f t="shared" si="97"/>
        <v>90</v>
      </c>
      <c r="AO35" s="4">
        <f t="shared" si="97"/>
        <v>90</v>
      </c>
      <c r="AS35" s="4"/>
      <c r="AT35" s="4"/>
      <c r="AU35" s="4">
        <f t="shared" si="92"/>
        <v>0</v>
      </c>
      <c r="AV35" s="4"/>
    </row>
    <row r="36" spans="1:48" x14ac:dyDescent="0.3">
      <c r="A36" s="3" t="s">
        <v>79</v>
      </c>
      <c r="B36" s="5">
        <f>SUM(B31:B35)</f>
        <v>17571</v>
      </c>
      <c r="C36" s="5">
        <f t="shared" ref="C36:V36" si="98">SUM(C31:C35)</f>
        <v>16886</v>
      </c>
      <c r="D36" s="5">
        <f>SUM(D31:D35)</f>
        <v>16886</v>
      </c>
      <c r="E36" s="5">
        <f t="shared" si="98"/>
        <v>18678</v>
      </c>
      <c r="F36" s="5">
        <f t="shared" si="98"/>
        <v>17372</v>
      </c>
      <c r="G36" s="5">
        <f t="shared" si="98"/>
        <v>16548</v>
      </c>
      <c r="H36" s="5">
        <f t="shared" si="98"/>
        <v>17056</v>
      </c>
      <c r="I36" s="5">
        <f t="shared" si="98"/>
        <v>16474</v>
      </c>
      <c r="J36" s="5">
        <f t="shared" si="98"/>
        <v>16296</v>
      </c>
      <c r="K36" s="5">
        <f t="shared" si="98"/>
        <v>18103</v>
      </c>
      <c r="L36" s="5">
        <f t="shared" si="98"/>
        <v>17539</v>
      </c>
      <c r="M36" s="5">
        <f t="shared" si="98"/>
        <v>17192</v>
      </c>
      <c r="N36" s="5">
        <f t="shared" ref="N36:Q36" si="99">SUM(N31:N35)</f>
        <v>17133</v>
      </c>
      <c r="O36" s="5">
        <f t="shared" si="98"/>
        <v>17383</v>
      </c>
      <c r="P36" s="5">
        <f t="shared" si="99"/>
        <v>17633</v>
      </c>
      <c r="Q36" s="5">
        <f t="shared" si="99"/>
        <v>17883</v>
      </c>
      <c r="R36" s="5">
        <f t="shared" ref="R36" si="100">SUM(R31:R35)</f>
        <v>18133</v>
      </c>
      <c r="S36" s="5">
        <f t="shared" ref="S36:T36" si="101">SUM(S31:S35)</f>
        <v>18383</v>
      </c>
      <c r="T36" s="5">
        <f t="shared" si="101"/>
        <v>18633</v>
      </c>
      <c r="U36" s="5">
        <f t="shared" si="98"/>
        <v>18883</v>
      </c>
      <c r="V36" s="5">
        <f t="shared" si="98"/>
        <v>19133</v>
      </c>
      <c r="W36" s="5">
        <f t="shared" ref="W36:X36" si="102">SUM(W31:W35)</f>
        <v>19383</v>
      </c>
      <c r="X36" s="5">
        <f t="shared" si="102"/>
        <v>19633</v>
      </c>
      <c r="Y36" s="5">
        <f t="shared" ref="Y36:Z36" si="103">SUM(Y31:Y35)</f>
        <v>19883</v>
      </c>
      <c r="Z36" s="5">
        <f t="shared" si="103"/>
        <v>20133</v>
      </c>
      <c r="AE36" s="5">
        <f t="shared" ref="AE36:AO36" si="104">SUM(AE31:AE35)</f>
        <v>17372</v>
      </c>
      <c r="AF36" s="5">
        <f t="shared" si="104"/>
        <v>17056</v>
      </c>
      <c r="AG36" s="5">
        <f t="shared" si="104"/>
        <v>16296</v>
      </c>
      <c r="AH36" s="5">
        <f t="shared" si="104"/>
        <v>17539</v>
      </c>
      <c r="AI36" s="5">
        <f>SUM(AI31:AI35)</f>
        <v>17133</v>
      </c>
      <c r="AJ36" s="3">
        <f t="shared" si="104"/>
        <v>17633</v>
      </c>
      <c r="AK36" s="3">
        <f t="shared" si="104"/>
        <v>18133</v>
      </c>
      <c r="AL36" s="3">
        <f t="shared" si="104"/>
        <v>18633</v>
      </c>
      <c r="AM36" s="3">
        <f t="shared" si="104"/>
        <v>19133</v>
      </c>
      <c r="AN36" s="3">
        <f t="shared" si="104"/>
        <v>19633</v>
      </c>
      <c r="AO36" s="3">
        <f t="shared" si="104"/>
        <v>20133</v>
      </c>
      <c r="AT36" s="4"/>
    </row>
    <row r="37" spans="1:48" x14ac:dyDescent="0.3"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T37" s="4"/>
    </row>
    <row r="38" spans="1:48" x14ac:dyDescent="0.3">
      <c r="A38" t="s">
        <v>75</v>
      </c>
      <c r="B38" s="4">
        <v>3727</v>
      </c>
      <c r="C38" s="4">
        <f t="shared" ref="C38:C44" si="105">D38</f>
        <v>3686</v>
      </c>
      <c r="D38" s="4">
        <v>3686</v>
      </c>
      <c r="E38" s="4">
        <v>5423</v>
      </c>
      <c r="F38" s="4">
        <f t="shared" ref="F38:F44" si="106">AE38</f>
        <v>3580</v>
      </c>
      <c r="G38" s="4">
        <v>3155</v>
      </c>
      <c r="H38" s="4">
        <f t="shared" ref="H38:H44" si="107">AF38</f>
        <v>3233</v>
      </c>
      <c r="I38" s="4">
        <v>3556</v>
      </c>
      <c r="J38" s="4">
        <f t="shared" ref="J38:J44" si="108">AG38</f>
        <v>3484</v>
      </c>
      <c r="K38" s="4">
        <v>5416</v>
      </c>
      <c r="L38" s="4">
        <f t="shared" ref="L38:L44" si="109">AH38</f>
        <v>4192</v>
      </c>
      <c r="M38" s="4">
        <v>4705</v>
      </c>
      <c r="N38" s="4">
        <f t="shared" ref="N38:N44" si="110">AI38</f>
        <v>3266</v>
      </c>
      <c r="O38" s="4">
        <f t="shared" ref="O38" si="111">O83</f>
        <v>4192</v>
      </c>
      <c r="P38" s="4">
        <f t="shared" ref="P38:P44" si="112">AJ38</f>
        <v>4192</v>
      </c>
      <c r="Q38" s="4">
        <f t="shared" ref="Q38:S38" si="113">Q83</f>
        <v>4192</v>
      </c>
      <c r="R38" s="4">
        <f t="shared" ref="R38:R44" si="114">AK38</f>
        <v>4192</v>
      </c>
      <c r="S38" s="4">
        <f t="shared" si="113"/>
        <v>4192</v>
      </c>
      <c r="T38" s="4">
        <f t="shared" ref="T38:T44" si="115">AL38</f>
        <v>4192</v>
      </c>
      <c r="U38" s="4">
        <f t="shared" ref="U38" si="116">U83</f>
        <v>4192</v>
      </c>
      <c r="V38" s="4">
        <f t="shared" ref="V38:V44" si="117">AM38</f>
        <v>4192</v>
      </c>
      <c r="W38" s="4">
        <f t="shared" ref="W38" si="118">W83</f>
        <v>4192</v>
      </c>
      <c r="X38" s="4">
        <f t="shared" ref="X38:X44" si="119">AN38</f>
        <v>4192</v>
      </c>
      <c r="Y38" s="4">
        <f t="shared" ref="Y38" si="120">Y83</f>
        <v>4192</v>
      </c>
      <c r="Z38" s="4">
        <f t="shared" ref="Z38:Z44" si="121">AO38</f>
        <v>4192</v>
      </c>
      <c r="AE38" s="4">
        <v>3580</v>
      </c>
      <c r="AF38" s="4">
        <v>3233</v>
      </c>
      <c r="AG38" s="4">
        <v>3484</v>
      </c>
      <c r="AH38" s="4">
        <v>4192</v>
      </c>
      <c r="AI38" s="4">
        <v>3266</v>
      </c>
      <c r="AJ38" s="4">
        <f t="shared" ref="AJ38:AO38" si="122">AJ83</f>
        <v>4192</v>
      </c>
      <c r="AK38" s="4">
        <f t="shared" si="122"/>
        <v>4192</v>
      </c>
      <c r="AL38" s="4">
        <f t="shared" si="122"/>
        <v>4192</v>
      </c>
      <c r="AM38" s="4">
        <f t="shared" si="122"/>
        <v>4192</v>
      </c>
      <c r="AN38" s="4">
        <f t="shared" si="122"/>
        <v>4192</v>
      </c>
      <c r="AO38" s="4">
        <f t="shared" si="122"/>
        <v>4192</v>
      </c>
      <c r="AS38" s="4"/>
      <c r="AT38" s="4"/>
      <c r="AU38" s="4">
        <f t="shared" ref="AU38:AU44" si="123">Q38-P38</f>
        <v>0</v>
      </c>
      <c r="AV38" s="4"/>
    </row>
    <row r="39" spans="1:48" x14ac:dyDescent="0.3">
      <c r="A39" t="s">
        <v>80</v>
      </c>
      <c r="B39" s="4">
        <v>7595</v>
      </c>
      <c r="C39" s="4">
        <f t="shared" si="105"/>
        <v>7520</v>
      </c>
      <c r="D39" s="4">
        <v>7520</v>
      </c>
      <c r="E39" s="4">
        <v>6115</v>
      </c>
      <c r="F39" s="4">
        <f t="shared" si="106"/>
        <v>6107</v>
      </c>
      <c r="G39" s="4">
        <v>7100</v>
      </c>
      <c r="H39" s="4">
        <f t="shared" si="107"/>
        <v>7750</v>
      </c>
      <c r="I39" s="4">
        <v>9091</v>
      </c>
      <c r="J39" s="4">
        <f t="shared" si="108"/>
        <v>9283</v>
      </c>
      <c r="K39" s="4">
        <v>9744</v>
      </c>
      <c r="L39" s="4">
        <f t="shared" si="109"/>
        <v>9432</v>
      </c>
      <c r="M39" s="4">
        <v>9401</v>
      </c>
      <c r="N39" s="4">
        <f t="shared" si="110"/>
        <v>9912</v>
      </c>
      <c r="O39" s="4">
        <f t="shared" ref="O39" si="124">O101</f>
        <v>9533.1661548352731</v>
      </c>
      <c r="P39" s="4">
        <f t="shared" si="112"/>
        <v>10971.643146244909</v>
      </c>
      <c r="Q39" s="4">
        <f t="shared" ref="Q39:S39" si="125">Q101</f>
        <v>9041.2737954503427</v>
      </c>
      <c r="R39" s="4">
        <f t="shared" si="114"/>
        <v>12027.39652655702</v>
      </c>
      <c r="S39" s="4">
        <f t="shared" si="125"/>
        <v>9522.021779375973</v>
      </c>
      <c r="T39" s="4">
        <f t="shared" si="115"/>
        <v>13288.630970782009</v>
      </c>
      <c r="U39" s="4">
        <f t="shared" ref="U39" si="126">U101</f>
        <v>10235.019423401623</v>
      </c>
      <c r="V39" s="4">
        <f t="shared" si="117"/>
        <v>14742.392353758616</v>
      </c>
      <c r="W39" s="4">
        <f t="shared" ref="W39" si="127">W101</f>
        <v>11187.755142739401</v>
      </c>
      <c r="X39" s="4">
        <f t="shared" si="119"/>
        <v>16547.021889852502</v>
      </c>
      <c r="Y39" s="4">
        <f t="shared" ref="Y39" si="128">Y101</f>
        <v>12403.129626177946</v>
      </c>
      <c r="Z39" s="4">
        <f t="shared" si="121"/>
        <v>18628.980941633519</v>
      </c>
      <c r="AE39" s="4">
        <v>6107</v>
      </c>
      <c r="AF39" s="4">
        <v>7750</v>
      </c>
      <c r="AG39" s="4">
        <v>9283</v>
      </c>
      <c r="AH39" s="4">
        <v>9432</v>
      </c>
      <c r="AI39" s="4">
        <v>9912</v>
      </c>
      <c r="AJ39" s="4">
        <f t="shared" ref="AJ39:AO39" si="129">AJ101</f>
        <v>10971.643146244909</v>
      </c>
      <c r="AK39" s="4">
        <f t="shared" si="129"/>
        <v>12027.39652655702</v>
      </c>
      <c r="AL39" s="4">
        <f t="shared" si="129"/>
        <v>13288.630970782009</v>
      </c>
      <c r="AM39" s="4">
        <f t="shared" si="129"/>
        <v>14742.392353758616</v>
      </c>
      <c r="AN39" s="4">
        <f t="shared" si="129"/>
        <v>16547.021889852502</v>
      </c>
      <c r="AO39" s="4">
        <f t="shared" si="129"/>
        <v>18628.980941633519</v>
      </c>
      <c r="AS39" s="4"/>
      <c r="AT39" s="4"/>
      <c r="AU39" s="4">
        <f t="shared" si="123"/>
        <v>-1930.3693507945663</v>
      </c>
      <c r="AV39" s="4"/>
    </row>
    <row r="40" spans="1:48" x14ac:dyDescent="0.3">
      <c r="A40" t="s">
        <v>81</v>
      </c>
      <c r="B40" s="4">
        <v>610</v>
      </c>
      <c r="C40" s="4">
        <f t="shared" si="105"/>
        <v>565</v>
      </c>
      <c r="D40" s="4">
        <v>565</v>
      </c>
      <c r="E40" s="4">
        <v>528</v>
      </c>
      <c r="F40" s="4">
        <f t="shared" si="106"/>
        <v>454</v>
      </c>
      <c r="G40" s="4">
        <v>524</v>
      </c>
      <c r="H40" s="4">
        <f t="shared" si="107"/>
        <v>476</v>
      </c>
      <c r="I40" s="4">
        <v>590</v>
      </c>
      <c r="J40" s="4">
        <f t="shared" si="108"/>
        <v>545</v>
      </c>
      <c r="K40" s="4">
        <v>578</v>
      </c>
      <c r="L40" s="4">
        <f t="shared" si="109"/>
        <v>531</v>
      </c>
      <c r="M40" s="4">
        <v>583</v>
      </c>
      <c r="N40" s="4">
        <f t="shared" si="110"/>
        <v>525</v>
      </c>
      <c r="O40" s="4">
        <f>N40</f>
        <v>525</v>
      </c>
      <c r="P40" s="4">
        <f t="shared" si="112"/>
        <v>525</v>
      </c>
      <c r="Q40" s="4">
        <f>P40</f>
        <v>525</v>
      </c>
      <c r="R40" s="4">
        <f t="shared" si="114"/>
        <v>525</v>
      </c>
      <c r="S40" s="4">
        <f>R40</f>
        <v>525</v>
      </c>
      <c r="T40" s="4">
        <f t="shared" si="115"/>
        <v>525</v>
      </c>
      <c r="U40" s="4">
        <f>T40</f>
        <v>525</v>
      </c>
      <c r="V40" s="4">
        <f t="shared" si="117"/>
        <v>525</v>
      </c>
      <c r="W40" s="4">
        <f>V40</f>
        <v>525</v>
      </c>
      <c r="X40" s="4">
        <f t="shared" si="119"/>
        <v>525</v>
      </c>
      <c r="Y40" s="4">
        <f>X40</f>
        <v>525</v>
      </c>
      <c r="Z40" s="4">
        <f t="shared" si="121"/>
        <v>525</v>
      </c>
      <c r="AE40" s="4">
        <v>454</v>
      </c>
      <c r="AF40" s="4">
        <v>476</v>
      </c>
      <c r="AG40" s="4">
        <v>545</v>
      </c>
      <c r="AH40" s="4">
        <v>531</v>
      </c>
      <c r="AI40" s="4">
        <v>525</v>
      </c>
      <c r="AJ40" s="4">
        <f t="shared" ref="AJ40:AO44" si="130">AI40</f>
        <v>525</v>
      </c>
      <c r="AK40" s="4">
        <f t="shared" si="130"/>
        <v>525</v>
      </c>
      <c r="AL40" s="4">
        <f t="shared" si="130"/>
        <v>525</v>
      </c>
      <c r="AM40" s="4">
        <f t="shared" si="130"/>
        <v>525</v>
      </c>
      <c r="AN40" s="4">
        <f t="shared" si="130"/>
        <v>525</v>
      </c>
      <c r="AO40" s="4">
        <f t="shared" si="130"/>
        <v>525</v>
      </c>
      <c r="AS40" s="4"/>
      <c r="AT40" s="4"/>
      <c r="AU40" s="4">
        <f t="shared" si="123"/>
        <v>0</v>
      </c>
      <c r="AV40" s="4"/>
    </row>
    <row r="41" spans="1:48" x14ac:dyDescent="0.3">
      <c r="A41" t="s">
        <v>76</v>
      </c>
      <c r="B41" s="4">
        <v>134</v>
      </c>
      <c r="C41" s="4">
        <f t="shared" si="105"/>
        <v>184</v>
      </c>
      <c r="D41" s="4">
        <v>184</v>
      </c>
      <c r="E41" s="4">
        <v>176</v>
      </c>
      <c r="F41" s="4">
        <f t="shared" si="106"/>
        <v>416</v>
      </c>
      <c r="G41" s="4">
        <v>336</v>
      </c>
      <c r="H41" s="4">
        <f t="shared" si="107"/>
        <v>301</v>
      </c>
      <c r="I41" s="4">
        <v>257</v>
      </c>
      <c r="J41" s="4">
        <f t="shared" si="108"/>
        <v>226</v>
      </c>
      <c r="K41" s="4">
        <v>174</v>
      </c>
      <c r="L41" s="4">
        <f t="shared" si="109"/>
        <v>206</v>
      </c>
      <c r="M41" s="4">
        <v>201</v>
      </c>
      <c r="N41" s="4">
        <f t="shared" si="110"/>
        <v>176</v>
      </c>
      <c r="O41" s="4">
        <f t="shared" ref="O41:Y44" si="131">N41</f>
        <v>176</v>
      </c>
      <c r="P41" s="4">
        <f t="shared" si="112"/>
        <v>176</v>
      </c>
      <c r="Q41" s="4">
        <f t="shared" si="131"/>
        <v>176</v>
      </c>
      <c r="R41" s="4">
        <f t="shared" si="114"/>
        <v>176</v>
      </c>
      <c r="S41" s="4">
        <f t="shared" si="131"/>
        <v>176</v>
      </c>
      <c r="T41" s="4">
        <f t="shared" si="115"/>
        <v>176</v>
      </c>
      <c r="U41" s="4">
        <f t="shared" si="131"/>
        <v>176</v>
      </c>
      <c r="V41" s="4">
        <f t="shared" si="117"/>
        <v>176</v>
      </c>
      <c r="W41" s="4">
        <f t="shared" si="131"/>
        <v>176</v>
      </c>
      <c r="X41" s="4">
        <f t="shared" si="119"/>
        <v>176</v>
      </c>
      <c r="Y41" s="4">
        <f t="shared" si="131"/>
        <v>176</v>
      </c>
      <c r="Z41" s="4">
        <f t="shared" si="121"/>
        <v>176</v>
      </c>
      <c r="AE41" s="4">
        <v>416</v>
      </c>
      <c r="AF41" s="4">
        <v>301</v>
      </c>
      <c r="AG41" s="4">
        <v>226</v>
      </c>
      <c r="AH41" s="4">
        <v>206</v>
      </c>
      <c r="AI41" s="4">
        <v>176</v>
      </c>
      <c r="AJ41" s="4">
        <f t="shared" si="130"/>
        <v>176</v>
      </c>
      <c r="AK41" s="4">
        <f t="shared" si="130"/>
        <v>176</v>
      </c>
      <c r="AL41" s="4">
        <f t="shared" si="130"/>
        <v>176</v>
      </c>
      <c r="AM41" s="4">
        <f t="shared" si="130"/>
        <v>176</v>
      </c>
      <c r="AN41" s="4">
        <f t="shared" si="130"/>
        <v>176</v>
      </c>
      <c r="AO41" s="4">
        <f t="shared" si="130"/>
        <v>176</v>
      </c>
      <c r="AS41" s="4"/>
      <c r="AT41" s="4"/>
      <c r="AU41" s="4">
        <f t="shared" si="123"/>
        <v>0</v>
      </c>
      <c r="AV41" s="4"/>
    </row>
    <row r="42" spans="1:48" x14ac:dyDescent="0.3">
      <c r="A42" t="s">
        <v>82</v>
      </c>
      <c r="B42" s="4">
        <v>248</v>
      </c>
      <c r="C42" s="4">
        <f t="shared" si="105"/>
        <v>283</v>
      </c>
      <c r="D42" s="4">
        <v>283</v>
      </c>
      <c r="E42" s="4">
        <v>259</v>
      </c>
      <c r="F42" s="4">
        <f t="shared" si="106"/>
        <v>259</v>
      </c>
      <c r="G42" s="4">
        <v>262</v>
      </c>
      <c r="H42" s="4">
        <f t="shared" si="107"/>
        <v>268</v>
      </c>
      <c r="I42" s="4">
        <v>344</v>
      </c>
      <c r="J42" s="4">
        <f t="shared" si="108"/>
        <v>352</v>
      </c>
      <c r="K42" s="4">
        <v>322</v>
      </c>
      <c r="L42" s="4">
        <f t="shared" si="109"/>
        <v>332</v>
      </c>
      <c r="M42" s="4">
        <v>346</v>
      </c>
      <c r="N42" s="4">
        <f t="shared" si="110"/>
        <v>307</v>
      </c>
      <c r="O42" s="4">
        <f t="shared" si="131"/>
        <v>307</v>
      </c>
      <c r="P42" s="4">
        <f t="shared" si="112"/>
        <v>307</v>
      </c>
      <c r="Q42" s="4">
        <f t="shared" si="131"/>
        <v>307</v>
      </c>
      <c r="R42" s="4">
        <f t="shared" si="114"/>
        <v>307</v>
      </c>
      <c r="S42" s="4">
        <f t="shared" si="131"/>
        <v>307</v>
      </c>
      <c r="T42" s="4">
        <f t="shared" si="115"/>
        <v>307</v>
      </c>
      <c r="U42" s="4">
        <f t="shared" si="131"/>
        <v>307</v>
      </c>
      <c r="V42" s="4">
        <f t="shared" si="117"/>
        <v>307</v>
      </c>
      <c r="W42" s="4">
        <f t="shared" si="131"/>
        <v>307</v>
      </c>
      <c r="X42" s="4">
        <f t="shared" si="119"/>
        <v>307</v>
      </c>
      <c r="Y42" s="4">
        <f t="shared" si="131"/>
        <v>307</v>
      </c>
      <c r="Z42" s="4">
        <f t="shared" si="121"/>
        <v>307</v>
      </c>
      <c r="AE42" s="4">
        <v>259</v>
      </c>
      <c r="AF42" s="4">
        <v>268</v>
      </c>
      <c r="AG42" s="4">
        <v>352</v>
      </c>
      <c r="AH42" s="4">
        <v>332</v>
      </c>
      <c r="AI42" s="4">
        <v>307</v>
      </c>
      <c r="AJ42" s="4">
        <f t="shared" si="130"/>
        <v>307</v>
      </c>
      <c r="AK42" s="4">
        <f t="shared" si="130"/>
        <v>307</v>
      </c>
      <c r="AL42" s="4">
        <f t="shared" si="130"/>
        <v>307</v>
      </c>
      <c r="AM42" s="4">
        <f t="shared" si="130"/>
        <v>307</v>
      </c>
      <c r="AN42" s="4">
        <f t="shared" si="130"/>
        <v>307</v>
      </c>
      <c r="AO42" s="4">
        <f t="shared" si="130"/>
        <v>307</v>
      </c>
      <c r="AS42" s="4"/>
      <c r="AT42" s="4"/>
      <c r="AU42" s="4">
        <f t="shared" si="123"/>
        <v>0</v>
      </c>
      <c r="AV42" s="4"/>
    </row>
    <row r="43" spans="1:48" x14ac:dyDescent="0.3">
      <c r="A43" t="s">
        <v>83</v>
      </c>
      <c r="B43" s="4">
        <v>59</v>
      </c>
      <c r="C43" s="4">
        <f t="shared" si="105"/>
        <v>69</v>
      </c>
      <c r="D43" s="4">
        <v>69</v>
      </c>
      <c r="E43" s="4">
        <v>57</v>
      </c>
      <c r="F43" s="4">
        <f t="shared" si="106"/>
        <v>52</v>
      </c>
      <c r="G43" s="4">
        <v>62</v>
      </c>
      <c r="H43" s="4">
        <f t="shared" si="107"/>
        <v>46</v>
      </c>
      <c r="I43" s="4">
        <v>158</v>
      </c>
      <c r="J43" s="4">
        <f t="shared" si="108"/>
        <v>119</v>
      </c>
      <c r="K43" s="4">
        <v>251</v>
      </c>
      <c r="L43" s="4">
        <f t="shared" si="109"/>
        <v>132</v>
      </c>
      <c r="M43" s="4">
        <v>54</v>
      </c>
      <c r="N43" s="4">
        <f t="shared" si="110"/>
        <v>52</v>
      </c>
      <c r="O43" s="4">
        <f t="shared" si="131"/>
        <v>52</v>
      </c>
      <c r="P43" s="4">
        <f t="shared" si="112"/>
        <v>52</v>
      </c>
      <c r="Q43" s="4">
        <f t="shared" si="131"/>
        <v>52</v>
      </c>
      <c r="R43" s="4">
        <f t="shared" si="114"/>
        <v>52</v>
      </c>
      <c r="S43" s="4">
        <f t="shared" si="131"/>
        <v>52</v>
      </c>
      <c r="T43" s="4">
        <f t="shared" si="115"/>
        <v>52</v>
      </c>
      <c r="U43" s="4">
        <f t="shared" si="131"/>
        <v>52</v>
      </c>
      <c r="V43" s="4">
        <f t="shared" si="117"/>
        <v>52</v>
      </c>
      <c r="W43" s="4">
        <f t="shared" si="131"/>
        <v>52</v>
      </c>
      <c r="X43" s="4">
        <f t="shared" si="119"/>
        <v>52</v>
      </c>
      <c r="Y43" s="4">
        <f t="shared" si="131"/>
        <v>52</v>
      </c>
      <c r="Z43" s="4">
        <f t="shared" si="121"/>
        <v>52</v>
      </c>
      <c r="AE43" s="4">
        <v>52</v>
      </c>
      <c r="AF43" s="4">
        <v>46</v>
      </c>
      <c r="AG43" s="4">
        <v>119</v>
      </c>
      <c r="AH43" s="4">
        <v>132</v>
      </c>
      <c r="AI43" s="4">
        <v>52</v>
      </c>
      <c r="AJ43" s="4">
        <f t="shared" si="130"/>
        <v>52</v>
      </c>
      <c r="AK43" s="4">
        <f t="shared" si="130"/>
        <v>52</v>
      </c>
      <c r="AL43" s="4">
        <f t="shared" si="130"/>
        <v>52</v>
      </c>
      <c r="AM43" s="4">
        <f t="shared" si="130"/>
        <v>52</v>
      </c>
      <c r="AN43" s="4">
        <f t="shared" si="130"/>
        <v>52</v>
      </c>
      <c r="AO43" s="4">
        <f t="shared" si="130"/>
        <v>52</v>
      </c>
      <c r="AS43" s="4"/>
      <c r="AT43" s="4"/>
      <c r="AU43" s="4">
        <f t="shared" si="123"/>
        <v>0</v>
      </c>
      <c r="AV43" s="4"/>
    </row>
    <row r="44" spans="1:48" x14ac:dyDescent="0.3">
      <c r="A44" t="s">
        <v>134</v>
      </c>
      <c r="B44" s="4">
        <v>0</v>
      </c>
      <c r="C44" s="4">
        <f t="shared" si="105"/>
        <v>0</v>
      </c>
      <c r="D44" s="4">
        <v>0</v>
      </c>
      <c r="E44" s="4">
        <v>0</v>
      </c>
      <c r="F44" s="4">
        <f t="shared" si="106"/>
        <v>0</v>
      </c>
      <c r="G44" s="4">
        <v>0</v>
      </c>
      <c r="H44" s="4">
        <f t="shared" si="107"/>
        <v>20</v>
      </c>
      <c r="I44" s="4">
        <v>323</v>
      </c>
      <c r="J44" s="4">
        <f t="shared" si="108"/>
        <v>181</v>
      </c>
      <c r="K44" s="4">
        <v>262</v>
      </c>
      <c r="L44" s="4">
        <f t="shared" si="109"/>
        <v>0</v>
      </c>
      <c r="M44" s="4">
        <v>0</v>
      </c>
      <c r="N44" s="4">
        <f t="shared" si="110"/>
        <v>0</v>
      </c>
      <c r="O44" s="4">
        <f t="shared" si="131"/>
        <v>0</v>
      </c>
      <c r="P44" s="4">
        <f t="shared" si="112"/>
        <v>0</v>
      </c>
      <c r="Q44" s="4">
        <f t="shared" si="131"/>
        <v>0</v>
      </c>
      <c r="R44" s="4">
        <f t="shared" si="114"/>
        <v>0</v>
      </c>
      <c r="S44" s="4">
        <f t="shared" si="131"/>
        <v>0</v>
      </c>
      <c r="T44" s="4">
        <f t="shared" si="115"/>
        <v>0</v>
      </c>
      <c r="U44" s="4">
        <f t="shared" si="131"/>
        <v>0</v>
      </c>
      <c r="V44" s="4">
        <f t="shared" si="117"/>
        <v>0</v>
      </c>
      <c r="W44" s="4">
        <f t="shared" si="131"/>
        <v>0</v>
      </c>
      <c r="X44" s="4">
        <f t="shared" si="119"/>
        <v>0</v>
      </c>
      <c r="Y44" s="4">
        <f t="shared" si="131"/>
        <v>0</v>
      </c>
      <c r="Z44" s="4">
        <f t="shared" si="121"/>
        <v>0</v>
      </c>
      <c r="AE44" s="4">
        <v>0</v>
      </c>
      <c r="AF44" s="4">
        <v>20</v>
      </c>
      <c r="AG44" s="4">
        <v>181</v>
      </c>
      <c r="AH44" s="4">
        <v>0</v>
      </c>
      <c r="AI44" s="4">
        <f t="shared" ref="AI44" si="132">AH44</f>
        <v>0</v>
      </c>
      <c r="AJ44" s="4">
        <f t="shared" si="130"/>
        <v>0</v>
      </c>
      <c r="AK44" s="4">
        <f t="shared" si="130"/>
        <v>0</v>
      </c>
      <c r="AL44" s="4">
        <f t="shared" si="130"/>
        <v>0</v>
      </c>
      <c r="AM44" s="4">
        <f t="shared" si="130"/>
        <v>0</v>
      </c>
      <c r="AN44" s="4">
        <f t="shared" si="130"/>
        <v>0</v>
      </c>
      <c r="AO44" s="4">
        <f t="shared" si="130"/>
        <v>0</v>
      </c>
      <c r="AS44" s="4"/>
      <c r="AT44" s="4"/>
      <c r="AU44" s="4">
        <f t="shared" si="123"/>
        <v>0</v>
      </c>
      <c r="AV44" s="4"/>
    </row>
    <row r="45" spans="1:48" x14ac:dyDescent="0.3">
      <c r="A45" s="3" t="s">
        <v>84</v>
      </c>
      <c r="B45" s="5">
        <f>SUM(B38:B44)</f>
        <v>12373</v>
      </c>
      <c r="C45" s="5">
        <f>SUM(C38:C44)</f>
        <v>12307</v>
      </c>
      <c r="D45" s="5">
        <f>SUM(D38:D44)</f>
        <v>12307</v>
      </c>
      <c r="E45" s="5">
        <f>SUM(E38:E43)</f>
        <v>12558</v>
      </c>
      <c r="F45" s="5">
        <f>SUM(F38:F43)</f>
        <v>10868</v>
      </c>
      <c r="G45" s="5">
        <f t="shared" ref="G45:M45" si="133">SUM(G38:G44)</f>
        <v>11439</v>
      </c>
      <c r="H45" s="5">
        <f t="shared" si="133"/>
        <v>12094</v>
      </c>
      <c r="I45" s="5">
        <f t="shared" si="133"/>
        <v>14319</v>
      </c>
      <c r="J45" s="5">
        <f t="shared" si="133"/>
        <v>14190</v>
      </c>
      <c r="K45" s="5">
        <f t="shared" si="133"/>
        <v>16747</v>
      </c>
      <c r="L45" s="5">
        <f t="shared" si="133"/>
        <v>14825</v>
      </c>
      <c r="M45" s="5">
        <f t="shared" si="133"/>
        <v>15290</v>
      </c>
      <c r="N45" s="5">
        <f t="shared" ref="N45:P45" si="134">SUM(N38:N44)</f>
        <v>14238</v>
      </c>
      <c r="O45" s="5">
        <f t="shared" ref="O45" si="135">SUM(O38:O43)</f>
        <v>14785.166154835273</v>
      </c>
      <c r="P45" s="5">
        <f t="shared" si="134"/>
        <v>16223.643146244909</v>
      </c>
      <c r="Q45" s="5">
        <f t="shared" ref="Q45:S45" si="136">SUM(Q38:Q43)</f>
        <v>14293.273795450343</v>
      </c>
      <c r="R45" s="5">
        <f t="shared" ref="R45" si="137">SUM(R38:R44)</f>
        <v>17279.396526557022</v>
      </c>
      <c r="S45" s="5">
        <f t="shared" si="136"/>
        <v>14774.021779375973</v>
      </c>
      <c r="T45" s="5">
        <f t="shared" ref="T45" si="138">SUM(T38:T44)</f>
        <v>18540.630970782011</v>
      </c>
      <c r="U45" s="5">
        <f t="shared" ref="U45" si="139">SUM(U38:U43)</f>
        <v>15487.019423401623</v>
      </c>
      <c r="V45" s="5">
        <f t="shared" ref="V45" si="140">SUM(V38:V44)</f>
        <v>19994.392353758616</v>
      </c>
      <c r="W45" s="5">
        <f t="shared" ref="W45" si="141">SUM(W38:W43)</f>
        <v>16439.755142739399</v>
      </c>
      <c r="X45" s="5">
        <f t="shared" ref="X45" si="142">SUM(X38:X44)</f>
        <v>21799.021889852502</v>
      </c>
      <c r="Y45" s="5">
        <f t="shared" ref="Y45" si="143">SUM(Y38:Y43)</f>
        <v>17655.129626177946</v>
      </c>
      <c r="Z45" s="5">
        <f t="shared" ref="Z45" si="144">SUM(Z38:Z44)</f>
        <v>23880.980941633519</v>
      </c>
      <c r="AE45" s="5">
        <f>SUM(AE38:AE43)</f>
        <v>10868</v>
      </c>
      <c r="AF45" s="5">
        <f>SUM(AF38:AF44)</f>
        <v>12094</v>
      </c>
      <c r="AG45" s="5">
        <f>SUM(AG38:AG44)</f>
        <v>14190</v>
      </c>
      <c r="AH45" s="5">
        <f>SUM(AH38:AH44)</f>
        <v>14825</v>
      </c>
      <c r="AI45" s="5">
        <f>SUM(AI38:AI44)</f>
        <v>14238</v>
      </c>
      <c r="AJ45" s="5">
        <f t="shared" ref="AJ45:AO45" si="145">SUM(AJ38:AJ43)</f>
        <v>16223.643146244909</v>
      </c>
      <c r="AK45" s="5">
        <f t="shared" si="145"/>
        <v>17279.396526557022</v>
      </c>
      <c r="AL45" s="5">
        <f t="shared" si="145"/>
        <v>18540.630970782011</v>
      </c>
      <c r="AM45" s="5">
        <f t="shared" si="145"/>
        <v>19994.392353758616</v>
      </c>
      <c r="AN45" s="5">
        <f t="shared" si="145"/>
        <v>21799.021889852502</v>
      </c>
      <c r="AO45" s="5">
        <f t="shared" si="145"/>
        <v>23880.980941633519</v>
      </c>
    </row>
    <row r="46" spans="1:48" x14ac:dyDescent="0.3"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I46" s="4"/>
      <c r="AJ46" s="4"/>
      <c r="AK46" s="4"/>
      <c r="AL46" s="4"/>
      <c r="AM46" s="4"/>
      <c r="AN46" s="4"/>
      <c r="AO46" s="4"/>
    </row>
    <row r="47" spans="1:48" x14ac:dyDescent="0.3">
      <c r="A47" s="3" t="s">
        <v>85</v>
      </c>
      <c r="B47" s="5">
        <f>B29+B36+B45</f>
        <v>46227</v>
      </c>
      <c r="C47" s="5">
        <f>C29+C36+C45</f>
        <v>46504</v>
      </c>
      <c r="D47" s="5">
        <f>D29+D36+D45</f>
        <v>46504</v>
      </c>
      <c r="E47" s="5">
        <f>E29+E36+E45</f>
        <v>45796</v>
      </c>
      <c r="F47" s="5">
        <f t="shared" ref="F47" si="146">F29+F36+F45</f>
        <v>42632</v>
      </c>
      <c r="G47" s="5">
        <f>G29+G36+G45</f>
        <v>43494</v>
      </c>
      <c r="H47" s="5">
        <f t="shared" ref="H47" si="147">H29+H36+H45</f>
        <v>48850</v>
      </c>
      <c r="I47" s="5">
        <f>I29+I36+I45</f>
        <v>52349</v>
      </c>
      <c r="J47" s="5">
        <f t="shared" ref="J47" si="148">J29+J36+J45</f>
        <v>52406</v>
      </c>
      <c r="K47" s="5">
        <f>K29+K36+K45</f>
        <v>56913</v>
      </c>
      <c r="L47" s="5">
        <f t="shared" ref="L47:N47" si="149">L29+L36+L45</f>
        <v>55153</v>
      </c>
      <c r="M47" s="5">
        <f>M29+M36+M45</f>
        <v>54564</v>
      </c>
      <c r="N47" s="5">
        <f t="shared" si="149"/>
        <v>53773</v>
      </c>
      <c r="O47" s="5">
        <f>O29+O36+O45</f>
        <v>55647.768336964742</v>
      </c>
      <c r="P47" s="5">
        <f t="shared" ref="P47" si="150">P29+P36+P45</f>
        <v>58221.562540940213</v>
      </c>
      <c r="Q47" s="5">
        <f>Q29+Q36+Q45</f>
        <v>57722.349060237742</v>
      </c>
      <c r="R47" s="5">
        <f t="shared" ref="R47" si="151">R29+R36+R45</f>
        <v>62038.27892943567</v>
      </c>
      <c r="S47" s="5">
        <f>S29+S36+S45</f>
        <v>61123.829540599239</v>
      </c>
      <c r="T47" s="5">
        <f t="shared" ref="T47" si="152">T29+T36+T45</f>
        <v>66428.028072967718</v>
      </c>
      <c r="U47" s="5">
        <f>U29+U36+U45</f>
        <v>65184.249287432169</v>
      </c>
      <c r="V47" s="5">
        <f t="shared" ref="V47" si="153">V29+V36+V45</f>
        <v>71456.092063081393</v>
      </c>
      <c r="W47" s="5">
        <f>W29+W36+W45</f>
        <v>69995.49452310885</v>
      </c>
      <c r="X47" s="5">
        <f t="shared" ref="X47" si="154">X29+X36+X45</f>
        <v>77371.262914512045</v>
      </c>
      <c r="Y47" s="5">
        <f>Y29+Y36+Y45</f>
        <v>75680.183207008304</v>
      </c>
      <c r="Z47" s="5">
        <f t="shared" ref="Z47" si="155">Z29+Z36+Z45</f>
        <v>84206.347955277597</v>
      </c>
      <c r="AE47" s="5">
        <f t="shared" ref="AE47:AO47" si="156">AE29+AE36+AE45</f>
        <v>42632</v>
      </c>
      <c r="AF47" s="5">
        <f t="shared" si="156"/>
        <v>48850</v>
      </c>
      <c r="AG47" s="5">
        <f t="shared" si="156"/>
        <v>52406</v>
      </c>
      <c r="AH47" s="5">
        <f t="shared" si="156"/>
        <v>55153</v>
      </c>
      <c r="AI47" s="5">
        <f t="shared" si="156"/>
        <v>53773</v>
      </c>
      <c r="AJ47" s="5">
        <f t="shared" si="156"/>
        <v>58221.562540940213</v>
      </c>
      <c r="AK47" s="5">
        <f t="shared" si="156"/>
        <v>62038.27892943567</v>
      </c>
      <c r="AL47" s="5">
        <f t="shared" si="156"/>
        <v>66428.028072967718</v>
      </c>
      <c r="AM47" s="5">
        <f t="shared" si="156"/>
        <v>71456.092063081393</v>
      </c>
      <c r="AN47" s="5">
        <f t="shared" si="156"/>
        <v>77371.262914512045</v>
      </c>
      <c r="AO47" s="5">
        <f t="shared" si="156"/>
        <v>84206.347955277597</v>
      </c>
    </row>
    <row r="49" spans="1:48" s="7" customFormat="1" x14ac:dyDescent="0.3">
      <c r="B49" s="8" t="b">
        <f>B22=B47</f>
        <v>1</v>
      </c>
      <c r="C49" s="8" t="b">
        <f t="shared" ref="C49:Z49" si="157">C22=C47</f>
        <v>1</v>
      </c>
      <c r="D49" s="8" t="b">
        <f t="shared" si="157"/>
        <v>1</v>
      </c>
      <c r="E49" s="8" t="b">
        <f t="shared" si="157"/>
        <v>1</v>
      </c>
      <c r="F49" s="8" t="b">
        <f t="shared" si="157"/>
        <v>1</v>
      </c>
      <c r="G49" s="8" t="b">
        <f t="shared" si="157"/>
        <v>1</v>
      </c>
      <c r="H49" s="8" t="b">
        <f t="shared" si="157"/>
        <v>1</v>
      </c>
      <c r="I49" s="8" t="b">
        <f t="shared" si="157"/>
        <v>1</v>
      </c>
      <c r="J49" s="8" t="b">
        <f t="shared" si="157"/>
        <v>1</v>
      </c>
      <c r="K49" s="8" t="b">
        <f t="shared" si="157"/>
        <v>1</v>
      </c>
      <c r="L49" s="8" t="b">
        <f t="shared" si="157"/>
        <v>1</v>
      </c>
      <c r="M49" s="8" t="b">
        <f t="shared" si="157"/>
        <v>1</v>
      </c>
      <c r="N49" s="7" t="b">
        <f t="shared" si="157"/>
        <v>1</v>
      </c>
      <c r="O49" s="7" t="b">
        <f t="shared" si="157"/>
        <v>1</v>
      </c>
      <c r="P49" s="7" t="b">
        <f t="shared" si="157"/>
        <v>1</v>
      </c>
      <c r="Q49" s="7" t="b">
        <f t="shared" ref="Q49:S49" si="158">Q22=Q47</f>
        <v>1</v>
      </c>
      <c r="R49" s="7" t="b">
        <f t="shared" si="157"/>
        <v>1</v>
      </c>
      <c r="S49" s="7" t="b">
        <f t="shared" si="158"/>
        <v>1</v>
      </c>
      <c r="T49" s="7" t="b">
        <f t="shared" si="157"/>
        <v>1</v>
      </c>
      <c r="U49" s="7" t="b">
        <f t="shared" si="157"/>
        <v>1</v>
      </c>
      <c r="V49" s="7" t="b">
        <f t="shared" si="157"/>
        <v>1</v>
      </c>
      <c r="W49" s="7" t="b">
        <f t="shared" si="157"/>
        <v>1</v>
      </c>
      <c r="X49" s="7" t="b">
        <f t="shared" si="157"/>
        <v>0</v>
      </c>
      <c r="Y49" s="7" t="b">
        <f t="shared" si="157"/>
        <v>1</v>
      </c>
      <c r="Z49" s="7" t="b">
        <f t="shared" si="157"/>
        <v>1</v>
      </c>
      <c r="AE49" s="8" t="b">
        <f t="shared" ref="AE49:AO49" si="159">AE22=AE47</f>
        <v>1</v>
      </c>
      <c r="AF49" s="8" t="b">
        <f t="shared" si="159"/>
        <v>1</v>
      </c>
      <c r="AG49" s="8" t="b">
        <f t="shared" si="159"/>
        <v>1</v>
      </c>
      <c r="AH49" s="8" t="b">
        <f t="shared" si="159"/>
        <v>1</v>
      </c>
      <c r="AI49" s="7" t="b">
        <f t="shared" si="159"/>
        <v>1</v>
      </c>
      <c r="AJ49" s="7" t="b">
        <f t="shared" si="159"/>
        <v>1</v>
      </c>
      <c r="AK49" s="7" t="b">
        <f t="shared" si="159"/>
        <v>1</v>
      </c>
      <c r="AL49" s="7" t="b">
        <f t="shared" si="159"/>
        <v>1</v>
      </c>
      <c r="AM49" s="7" t="b">
        <f t="shared" si="159"/>
        <v>1</v>
      </c>
      <c r="AN49" s="7" t="b">
        <f t="shared" si="159"/>
        <v>0</v>
      </c>
      <c r="AO49" s="7" t="b">
        <f t="shared" si="159"/>
        <v>1</v>
      </c>
    </row>
    <row r="51" spans="1:48" x14ac:dyDescent="0.3">
      <c r="N51" s="4">
        <f>N47-N22</f>
        <v>0</v>
      </c>
      <c r="O51" s="4">
        <f t="shared" ref="O51:Z51" si="160">O47-O22</f>
        <v>0</v>
      </c>
      <c r="P51" s="4">
        <f t="shared" si="160"/>
        <v>0</v>
      </c>
      <c r="Q51" s="4">
        <f t="shared" ref="Q51:S51" si="161">Q47-Q22</f>
        <v>0</v>
      </c>
      <c r="R51" s="4">
        <f t="shared" si="160"/>
        <v>0</v>
      </c>
      <c r="S51" s="4">
        <f t="shared" si="161"/>
        <v>0</v>
      </c>
      <c r="T51" s="4">
        <f t="shared" si="160"/>
        <v>0</v>
      </c>
      <c r="U51" s="4">
        <f t="shared" si="160"/>
        <v>0</v>
      </c>
      <c r="V51" s="4">
        <f t="shared" si="160"/>
        <v>0</v>
      </c>
      <c r="W51" s="4">
        <f t="shared" si="160"/>
        <v>0</v>
      </c>
      <c r="X51" s="4">
        <f t="shared" si="160"/>
        <v>0</v>
      </c>
      <c r="Y51" s="4">
        <f t="shared" si="160"/>
        <v>0</v>
      </c>
      <c r="Z51" s="4">
        <f t="shared" si="160"/>
        <v>0</v>
      </c>
      <c r="AI51" s="4">
        <f>AI47-AI22</f>
        <v>0</v>
      </c>
      <c r="AJ51" s="4">
        <f t="shared" ref="AJ51:AO51" si="162">AJ47-AJ22</f>
        <v>0</v>
      </c>
      <c r="AK51" s="4">
        <f t="shared" si="162"/>
        <v>0</v>
      </c>
      <c r="AL51" s="4">
        <f t="shared" si="162"/>
        <v>0</v>
      </c>
      <c r="AM51" s="4">
        <f t="shared" si="162"/>
        <v>0</v>
      </c>
      <c r="AN51" s="4">
        <f t="shared" si="162"/>
        <v>0</v>
      </c>
      <c r="AO51" s="4">
        <f t="shared" si="162"/>
        <v>0</v>
      </c>
    </row>
    <row r="52" spans="1:48" x14ac:dyDescent="0.3">
      <c r="A52" s="3" t="s">
        <v>143</v>
      </c>
    </row>
    <row r="53" spans="1:48" x14ac:dyDescent="0.3">
      <c r="A53" t="s">
        <v>148</v>
      </c>
      <c r="M53" s="4">
        <f>AI53</f>
        <v>28465</v>
      </c>
      <c r="N53" s="4">
        <f>M53+M54</f>
        <v>29686</v>
      </c>
      <c r="O53" s="4">
        <f>N53+N54+N56</f>
        <v>28718</v>
      </c>
      <c r="P53" s="4">
        <f>O53+O54</f>
        <v>29643.970573515326</v>
      </c>
      <c r="Q53" s="4">
        <f>P53+P54+P56</f>
        <v>30837.090516579439</v>
      </c>
      <c r="R53" s="4">
        <f>Q53+Q54</f>
        <v>31820.290929887338</v>
      </c>
      <c r="S53" s="4">
        <f>R53+R54+R56</f>
        <v>33160.091873699821</v>
      </c>
      <c r="T53" s="4">
        <f>S53+S54</f>
        <v>34220.804700356995</v>
      </c>
      <c r="U53" s="4">
        <f>T53+T54+T56</f>
        <v>35726.691196440814</v>
      </c>
      <c r="V53" s="4">
        <f>U53+U54</f>
        <v>36886.538103977371</v>
      </c>
      <c r="W53" s="4">
        <f>V53+V54+V56</f>
        <v>38581.874665575386</v>
      </c>
      <c r="X53" s="4">
        <f>W53+W54</f>
        <v>39864.922046841064</v>
      </c>
      <c r="Y53" s="4">
        <f>X53+X54+X56</f>
        <v>41777.807735675269</v>
      </c>
      <c r="Z53" s="4">
        <f>Y53+Y54</f>
        <v>43211.646967689652</v>
      </c>
      <c r="AG53" s="4">
        <v>24635</v>
      </c>
      <c r="AH53" s="4">
        <v>26604</v>
      </c>
      <c r="AI53" s="4">
        <v>28465</v>
      </c>
      <c r="AJ53" s="4">
        <f>AI53+AI54+AI56</f>
        <v>28718</v>
      </c>
      <c r="AK53" s="4">
        <f t="shared" ref="AK53" si="163">AJ53+AJ54</f>
        <v>30837.090516579439</v>
      </c>
      <c r="AL53" s="4">
        <f t="shared" ref="AL53" si="164">AK53+AK54</f>
        <v>33160.091873699821</v>
      </c>
      <c r="AM53" s="4">
        <f t="shared" ref="AM53" si="165">AL53+AL54</f>
        <v>35726.691196440806</v>
      </c>
      <c r="AN53" s="4">
        <f t="shared" ref="AN53" si="166">AM53+AM54</f>
        <v>38581.874665575386</v>
      </c>
      <c r="AO53" s="4">
        <f t="shared" ref="AO53" si="167">AN53+AN54</f>
        <v>41777.807735675269</v>
      </c>
    </row>
    <row r="54" spans="1:48" x14ac:dyDescent="0.3">
      <c r="A54" s="17" t="s">
        <v>149</v>
      </c>
      <c r="K54" s="4">
        <v>1378</v>
      </c>
      <c r="M54" s="4">
        <v>1221</v>
      </c>
      <c r="N54" s="4">
        <f>AI54-M54</f>
        <v>963</v>
      </c>
      <c r="O54" s="4">
        <f>O55*'Profit and Loss Statement '!O5</f>
        <v>925.97057351532692</v>
      </c>
      <c r="P54" s="4">
        <f>AJ54-O54</f>
        <v>1193.1199430641122</v>
      </c>
      <c r="Q54" s="4">
        <f>Q55*'Profit and Loss Statement '!Q5</f>
        <v>983.20041330789866</v>
      </c>
      <c r="R54" s="4">
        <f>AK54-Q54</f>
        <v>1339.8009438124845</v>
      </c>
      <c r="S54" s="4">
        <f>S55*'Profit and Loss Statement '!S5</f>
        <v>1060.7128266571731</v>
      </c>
      <c r="T54" s="4">
        <f>AL54-S54</f>
        <v>1505.886496083815</v>
      </c>
      <c r="U54" s="4">
        <f>U55*'Profit and Loss Statement '!U5</f>
        <v>1159.8469075365592</v>
      </c>
      <c r="V54" s="4">
        <f>AM54-U54</f>
        <v>1695.3365615980179</v>
      </c>
      <c r="W54" s="4">
        <f>W55*'Profit and Loss Statement '!W5</f>
        <v>1283.0473812656799</v>
      </c>
      <c r="X54" s="4">
        <f>AN54-W54</f>
        <v>1912.8856888342032</v>
      </c>
      <c r="Y54" s="4">
        <f>Y55*'Profit and Loss Statement '!Y5</f>
        <v>1433.8392320143842</v>
      </c>
      <c r="Z54" s="4">
        <f>AO54-Y54</f>
        <v>2164.2086010001003</v>
      </c>
      <c r="AG54" s="4">
        <v>1791</v>
      </c>
      <c r="AH54" s="4">
        <v>2434</v>
      </c>
      <c r="AI54" s="4">
        <v>2184</v>
      </c>
      <c r="AJ54" s="4">
        <f>AJ55*'Profit and Loss Statement '!AJ5</f>
        <v>2119.0905165794393</v>
      </c>
      <c r="AK54" s="4">
        <f>AK55*'Profit and Loss Statement '!AK5</f>
        <v>2323.0013571203831</v>
      </c>
      <c r="AL54" s="4">
        <f>AL55*'Profit and Loss Statement '!AL5</f>
        <v>2566.5993227409881</v>
      </c>
      <c r="AM54" s="4">
        <f>AM55*'Profit and Loss Statement '!AM5</f>
        <v>2855.1834691345771</v>
      </c>
      <c r="AN54" s="4">
        <f>AN55*'Profit and Loss Statement '!AN5</f>
        <v>3195.933070099883</v>
      </c>
      <c r="AO54" s="4">
        <f>AO55*'Profit and Loss Statement '!AO5</f>
        <v>3598.0478330144842</v>
      </c>
      <c r="AR54" s="4"/>
      <c r="AT54" s="4"/>
      <c r="AU54" s="4"/>
      <c r="AV54" s="4"/>
    </row>
    <row r="55" spans="1:48" x14ac:dyDescent="0.3">
      <c r="A55" s="17"/>
      <c r="O55" s="33">
        <v>0.06</v>
      </c>
      <c r="P55" s="4">
        <f t="shared" ref="P55:P70" si="168">AJ55</f>
        <v>0.06</v>
      </c>
      <c r="Q55" s="33">
        <v>0.06</v>
      </c>
      <c r="R55" s="4">
        <f>AK55</f>
        <v>0.06</v>
      </c>
      <c r="S55" s="33">
        <v>0.06</v>
      </c>
      <c r="T55" s="4">
        <f>AL55</f>
        <v>0.06</v>
      </c>
      <c r="U55" s="33">
        <v>0.06</v>
      </c>
      <c r="V55" s="4">
        <f>AM55</f>
        <v>0.06</v>
      </c>
      <c r="W55" s="33">
        <v>0.06</v>
      </c>
      <c r="X55" s="4">
        <f>AN55</f>
        <v>0.06</v>
      </c>
      <c r="Y55" s="33">
        <v>0.06</v>
      </c>
      <c r="Z55" s="4">
        <f>AO55</f>
        <v>0.06</v>
      </c>
      <c r="AG55" s="15">
        <f>AG54/'Profit and Loss Statement '!AG5</f>
        <v>6.2362895643998745E-2</v>
      </c>
      <c r="AH55" s="15">
        <f>AH54/'Profit and Loss Statement '!AH5</f>
        <v>8.0165996969896583E-2</v>
      </c>
      <c r="AI55" s="15">
        <f>AI54/'Profit and Loss Statement '!AI5</f>
        <v>7.3236980651218933E-2</v>
      </c>
      <c r="AJ55" s="33">
        <v>0.06</v>
      </c>
      <c r="AK55" s="33">
        <v>0.06</v>
      </c>
      <c r="AL55" s="33">
        <v>0.06</v>
      </c>
      <c r="AM55" s="33">
        <v>0.06</v>
      </c>
      <c r="AN55" s="33">
        <v>0.06</v>
      </c>
      <c r="AO55" s="33">
        <v>0.06</v>
      </c>
      <c r="AR55" s="4"/>
      <c r="AU55" s="4"/>
    </row>
    <row r="56" spans="1:48" x14ac:dyDescent="0.3">
      <c r="A56" s="17" t="s">
        <v>183</v>
      </c>
      <c r="N56" s="4">
        <f>AI56</f>
        <v>-1931</v>
      </c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G56" s="4">
        <f>1969-AG54</f>
        <v>178</v>
      </c>
      <c r="AH56" s="4">
        <f>1861-AH54</f>
        <v>-573</v>
      </c>
      <c r="AI56" s="4">
        <f>-40+2322-100-844+214-1299-AI54</f>
        <v>-1931</v>
      </c>
      <c r="AJ56" s="4"/>
      <c r="AK56" s="4">
        <f>AJ56</f>
        <v>0</v>
      </c>
      <c r="AL56" s="4">
        <f t="shared" ref="AL56:AO56" si="169">AK56</f>
        <v>0</v>
      </c>
      <c r="AM56" s="4">
        <f t="shared" si="169"/>
        <v>0</v>
      </c>
      <c r="AN56" s="4">
        <f t="shared" si="169"/>
        <v>0</v>
      </c>
      <c r="AO56" s="4">
        <f t="shared" si="169"/>
        <v>0</v>
      </c>
      <c r="AR56" s="4"/>
      <c r="AT56" s="4"/>
    </row>
    <row r="57" spans="1:48" x14ac:dyDescent="0.3">
      <c r="A57" s="17" t="s">
        <v>153</v>
      </c>
      <c r="M57" s="4">
        <f>AI57</f>
        <v>13130</v>
      </c>
      <c r="N57" s="4">
        <f>M57+M58</f>
        <v>13620</v>
      </c>
      <c r="O57" s="4">
        <f t="shared" ref="O57" si="170">N57+N58</f>
        <v>15145</v>
      </c>
      <c r="P57" s="4">
        <f>O57+O58</f>
        <v>16006.54</v>
      </c>
      <c r="Q57" s="4">
        <f t="shared" ref="Q57" si="171">P57+P58</f>
        <v>17155.260000000002</v>
      </c>
      <c r="R57" s="4">
        <f>Q57+Q58</f>
        <v>18080.372715497386</v>
      </c>
      <c r="S57" s="4">
        <f t="shared" ref="S57" si="172">R57+R58</f>
        <v>19313.856336160563</v>
      </c>
      <c r="T57" s="4">
        <f>S57+S58</f>
        <v>20308.659092371556</v>
      </c>
      <c r="U57" s="4">
        <f t="shared" ref="U57" si="173">T57+T58</f>
        <v>21635.062767319549</v>
      </c>
      <c r="V57" s="4">
        <f>U57+U58</f>
        <v>22706.863503212771</v>
      </c>
      <c r="W57" s="4">
        <f t="shared" ref="W57" si="174">V57+V58</f>
        <v>24135.931151070403</v>
      </c>
      <c r="X57" s="4">
        <f>W57+W58</f>
        <v>25293.387391037664</v>
      </c>
      <c r="Y57" s="4">
        <f t="shared" ref="Y57" si="175">X57+X58</f>
        <v>26836.662377660679</v>
      </c>
      <c r="Z57" s="4">
        <f>Y57+Y58</f>
        <v>28089.996609730937</v>
      </c>
      <c r="AG57" s="4">
        <f>13994-AG58</f>
        <v>12457</v>
      </c>
      <c r="AH57" s="4">
        <f>14733-AH58</f>
        <v>12837</v>
      </c>
      <c r="AI57" s="4">
        <f>15145-AI58</f>
        <v>13130</v>
      </c>
      <c r="AJ57" s="4">
        <f t="shared" ref="AJ57:AK57" si="176">AI57+AI58</f>
        <v>15145</v>
      </c>
      <c r="AK57" s="4">
        <f t="shared" si="176"/>
        <v>17155.260000000002</v>
      </c>
      <c r="AL57" s="4">
        <f t="shared" ref="AL57" si="177">AK57+AK58</f>
        <v>19313.856336160563</v>
      </c>
      <c r="AM57" s="4">
        <f t="shared" ref="AM57" si="178">AL57+AL58</f>
        <v>21635.062767319549</v>
      </c>
      <c r="AN57" s="4">
        <f t="shared" ref="AN57" si="179">AM57+AM58</f>
        <v>24135.931151070406</v>
      </c>
      <c r="AO57" s="4">
        <f t="shared" ref="AO57" si="180">AN57+AN58</f>
        <v>26836.662377660683</v>
      </c>
      <c r="AT57" s="4"/>
    </row>
    <row r="58" spans="1:48" x14ac:dyDescent="0.3">
      <c r="A58" s="17" t="s">
        <v>150</v>
      </c>
      <c r="B58" s="4">
        <f>-'Profit and Loss Statement '!B13</f>
        <v>911</v>
      </c>
      <c r="C58" s="4">
        <f>-'Profit and Loss Statement '!C13</f>
        <v>1048</v>
      </c>
      <c r="D58" s="4">
        <f>-'Profit and Loss Statement '!D13</f>
        <v>1959</v>
      </c>
      <c r="M58" s="4">
        <v>490</v>
      </c>
      <c r="N58" s="4">
        <f>AI58-M58</f>
        <v>1525</v>
      </c>
      <c r="O58" s="4">
        <f t="shared" ref="O58:Q58" si="181">O59*O53</f>
        <v>861.54</v>
      </c>
      <c r="P58" s="4">
        <f>AJ58-O58</f>
        <v>1148.7200000000003</v>
      </c>
      <c r="Q58" s="4">
        <f t="shared" si="181"/>
        <v>925.11271549738319</v>
      </c>
      <c r="R58" s="4">
        <f>AK58-Q58</f>
        <v>1233.4836206631776</v>
      </c>
      <c r="S58" s="4">
        <f t="shared" ref="S58" si="182">S59*S53</f>
        <v>994.80275621099463</v>
      </c>
      <c r="T58" s="4">
        <f>AL58-S58</f>
        <v>1326.4036749479928</v>
      </c>
      <c r="U58" s="4">
        <f t="shared" ref="U58" si="183">U59*U53</f>
        <v>1071.8007358932243</v>
      </c>
      <c r="V58" s="4">
        <f>AM58-U58</f>
        <v>1429.0676478576322</v>
      </c>
      <c r="W58" s="4">
        <f t="shared" ref="W58" si="184">W59*W53</f>
        <v>1157.4562399672616</v>
      </c>
      <c r="X58" s="4">
        <f>AN58-W58</f>
        <v>1543.2749866230158</v>
      </c>
      <c r="Y58" s="4">
        <f t="shared" ref="Y58" si="185">Y59*Y53</f>
        <v>1253.3342320702579</v>
      </c>
      <c r="Z58" s="4">
        <f>AO58-Y58</f>
        <v>1671.1123094270113</v>
      </c>
      <c r="AG58" s="4">
        <f>AG72</f>
        <v>1537</v>
      </c>
      <c r="AH58" s="4">
        <f>AH72</f>
        <v>1896</v>
      </c>
      <c r="AI58" s="4">
        <f>AI72</f>
        <v>2015</v>
      </c>
      <c r="AJ58" s="4">
        <f t="shared" ref="AJ58" si="186">AJ59*AJ53</f>
        <v>2010.2600000000002</v>
      </c>
      <c r="AK58" s="4">
        <f t="shared" ref="AK58:AO58" si="187">AK59*AK53</f>
        <v>2158.5963361605609</v>
      </c>
      <c r="AL58" s="4">
        <f t="shared" si="187"/>
        <v>2321.2064311589875</v>
      </c>
      <c r="AM58" s="4">
        <f t="shared" si="187"/>
        <v>2500.8683837508565</v>
      </c>
      <c r="AN58" s="4">
        <f t="shared" si="187"/>
        <v>2700.7312265902774</v>
      </c>
      <c r="AO58" s="4">
        <f t="shared" si="187"/>
        <v>2924.4465414972692</v>
      </c>
      <c r="AS58" s="4"/>
      <c r="AV58" s="4"/>
    </row>
    <row r="59" spans="1:48" x14ac:dyDescent="0.3">
      <c r="A59" s="17"/>
      <c r="M59" s="15">
        <f>M58/M53</f>
        <v>1.7214122606709993E-2</v>
      </c>
      <c r="O59" s="33">
        <v>0.03</v>
      </c>
      <c r="P59" s="4">
        <f t="shared" si="168"/>
        <v>7.0000000000000007E-2</v>
      </c>
      <c r="Q59" s="33">
        <v>0.03</v>
      </c>
      <c r="R59" s="4">
        <f>AK59</f>
        <v>7.0000000000000007E-2</v>
      </c>
      <c r="S59" s="33">
        <v>0.03</v>
      </c>
      <c r="T59" s="4">
        <f>AL59</f>
        <v>7.0000000000000007E-2</v>
      </c>
      <c r="U59" s="33">
        <v>0.03</v>
      </c>
      <c r="V59" s="4">
        <f>AM59</f>
        <v>7.0000000000000007E-2</v>
      </c>
      <c r="W59" s="33">
        <v>0.03</v>
      </c>
      <c r="X59" s="4">
        <f>AN59</f>
        <v>7.0000000000000007E-2</v>
      </c>
      <c r="Y59" s="33">
        <v>0.03</v>
      </c>
      <c r="Z59" s="4">
        <f>AO59</f>
        <v>7.0000000000000007E-2</v>
      </c>
      <c r="AG59" s="15">
        <f>AG58/AG53</f>
        <v>6.239090724578851E-2</v>
      </c>
      <c r="AH59" s="15">
        <f>AH58/AH53</f>
        <v>7.1267478574650434E-2</v>
      </c>
      <c r="AI59" s="15">
        <f>AI58/AI53</f>
        <v>7.0788687862287022E-2</v>
      </c>
      <c r="AJ59" s="33">
        <v>7.0000000000000007E-2</v>
      </c>
      <c r="AK59" s="33">
        <v>7.0000000000000007E-2</v>
      </c>
      <c r="AL59" s="33">
        <v>7.0000000000000007E-2</v>
      </c>
      <c r="AM59" s="33">
        <v>7.0000000000000007E-2</v>
      </c>
      <c r="AN59" s="33">
        <v>7.0000000000000007E-2</v>
      </c>
      <c r="AO59" s="33">
        <v>7.0000000000000007E-2</v>
      </c>
      <c r="AS59" s="4"/>
      <c r="AT59" s="4"/>
    </row>
    <row r="60" spans="1:48" x14ac:dyDescent="0.3">
      <c r="A60" t="s">
        <v>154</v>
      </c>
      <c r="M60" s="4">
        <v>14463</v>
      </c>
      <c r="N60" s="4">
        <f>N53+N54+N56-N57-N58</f>
        <v>13573</v>
      </c>
      <c r="O60" s="4">
        <f>O53+O54+O56-O57-O58+N61</f>
        <v>14741.430573515325</v>
      </c>
      <c r="P60" s="4">
        <f>P53+P54+P56-P57-P58</f>
        <v>13681.830516579437</v>
      </c>
      <c r="Q60" s="4">
        <f>Q53+Q54+Q56-Q57-Q58+P61</f>
        <v>14843.918214389952</v>
      </c>
      <c r="R60" s="4">
        <f>R53+R54+R56-R57-R58</f>
        <v>13846.235537539258</v>
      </c>
      <c r="S60" s="4">
        <f>S53+S54+S56-S57-S58+R61</f>
        <v>15016.145607985438</v>
      </c>
      <c r="T60" s="4">
        <f>T53+T54+T56-T57-T58</f>
        <v>14091.628429121265</v>
      </c>
      <c r="U60" s="4">
        <f>U53+U54+U56-U57-U58+T61</f>
        <v>15283.674600764598</v>
      </c>
      <c r="V60" s="4">
        <f>V53+V54+V56-V57-V58</f>
        <v>14445.943514504983</v>
      </c>
      <c r="W60" s="4">
        <f>W53+W54+W56-W57-W58+V61</f>
        <v>15675.5346558034</v>
      </c>
      <c r="X60" s="4">
        <f>X53+X54+X56-X57-X58</f>
        <v>14941.14535801459</v>
      </c>
      <c r="Y60" s="4">
        <f>Y53+Y54+Y56-Y57-Y58+X61</f>
        <v>16225.650357958715</v>
      </c>
      <c r="Z60" s="4">
        <f>Z53+Z54+Z56-Z57-Z58</f>
        <v>15614.746649531804</v>
      </c>
      <c r="AG60" s="4">
        <f>AG53+AG54+AG56-AG57-AG58</f>
        <v>12610</v>
      </c>
      <c r="AH60" s="4">
        <f>AH53+AH54+AH56-AH57-AH58</f>
        <v>13732</v>
      </c>
      <c r="AI60" s="4">
        <f>AI53+AI54+AI56-AI57-AI58</f>
        <v>13573</v>
      </c>
      <c r="AJ60" s="4">
        <f>AJ53+AJ54+AJ56-AJ57-AJ58+AI61</f>
        <v>14785.830516579439</v>
      </c>
      <c r="AK60" s="4">
        <f>AK53+AK54+AK56-AK57-AK58</f>
        <v>13846.235537539258</v>
      </c>
      <c r="AL60" s="4">
        <f t="shared" ref="AL60:AO60" si="188">AL53+AL54+AL56-AL57-AL58</f>
        <v>14091.628429121256</v>
      </c>
      <c r="AM60" s="4">
        <f t="shared" si="188"/>
        <v>14445.943514504981</v>
      </c>
      <c r="AN60" s="4">
        <f t="shared" si="188"/>
        <v>14941.145358014586</v>
      </c>
      <c r="AO60" s="4">
        <f t="shared" si="188"/>
        <v>15614.7466495318</v>
      </c>
      <c r="AS60" s="4"/>
      <c r="AT60" s="4"/>
      <c r="AU60" s="4"/>
    </row>
    <row r="61" spans="1:48" x14ac:dyDescent="0.3">
      <c r="M61" s="4">
        <f>AI61</f>
        <v>1104</v>
      </c>
      <c r="N61" s="4">
        <f>M61</f>
        <v>1104</v>
      </c>
      <c r="O61" s="4"/>
      <c r="P61" s="4">
        <f>N61</f>
        <v>1104</v>
      </c>
      <c r="Q61" s="4"/>
      <c r="R61" s="4">
        <f>P61</f>
        <v>1104</v>
      </c>
      <c r="S61" s="4"/>
      <c r="T61" s="4">
        <f>R61</f>
        <v>1104</v>
      </c>
      <c r="U61" s="4"/>
      <c r="V61" s="4">
        <f>T61</f>
        <v>1104</v>
      </c>
      <c r="W61" s="4"/>
      <c r="X61" s="4">
        <f>V61</f>
        <v>1104</v>
      </c>
      <c r="Y61" s="4"/>
      <c r="Z61" s="4">
        <f>X61</f>
        <v>1104</v>
      </c>
      <c r="AG61" s="4">
        <f>AG4-AG60</f>
        <v>1013</v>
      </c>
      <c r="AH61" s="4">
        <f>AH4-AH60</f>
        <v>1040</v>
      </c>
      <c r="AI61" s="4">
        <f>AI4-AI60</f>
        <v>1104</v>
      </c>
      <c r="AJ61" s="4"/>
      <c r="AK61" s="4"/>
      <c r="AL61" s="4"/>
      <c r="AM61" s="4"/>
      <c r="AN61" s="4"/>
      <c r="AO61" s="4"/>
      <c r="AT61" s="4"/>
      <c r="AV61" s="4"/>
    </row>
    <row r="62" spans="1:48" x14ac:dyDescent="0.3">
      <c r="A62" s="3" t="s">
        <v>60</v>
      </c>
      <c r="P62" s="4">
        <f t="shared" si="168"/>
        <v>0</v>
      </c>
      <c r="R62" s="4">
        <f>AK62</f>
        <v>0</v>
      </c>
      <c r="T62" s="4">
        <f>AL62</f>
        <v>0</v>
      </c>
      <c r="V62" s="4">
        <f>AM62</f>
        <v>0</v>
      </c>
      <c r="X62" s="4">
        <f>AN62</f>
        <v>0</v>
      </c>
      <c r="Z62" s="4">
        <f>AO62</f>
        <v>0</v>
      </c>
      <c r="AI62" s="4"/>
    </row>
    <row r="63" spans="1:48" x14ac:dyDescent="0.3">
      <c r="A63" t="s">
        <v>148</v>
      </c>
      <c r="M63" s="4">
        <f>AI63</f>
        <v>27419</v>
      </c>
      <c r="N63" s="4">
        <f>M63+M64</f>
        <v>27500</v>
      </c>
      <c r="O63" s="4">
        <f t="shared" ref="O63" si="189">N63+N64</f>
        <v>27700</v>
      </c>
      <c r="P63" s="4">
        <f>AJ63+O64</f>
        <v>27854.32842891922</v>
      </c>
      <c r="Q63" s="4">
        <f t="shared" ref="Q63" si="190">P63+P64</f>
        <v>28053.181752763237</v>
      </c>
      <c r="R63" s="4">
        <f>AK63+Q64</f>
        <v>28217.048488314558</v>
      </c>
      <c r="S63" s="4">
        <f t="shared" ref="S63" si="191">R63+R64</f>
        <v>28440.348645616639</v>
      </c>
      <c r="T63" s="4">
        <f>AL63+S64</f>
        <v>28617.134116726167</v>
      </c>
      <c r="U63" s="4">
        <f t="shared" ref="U63" si="192">T63+T64</f>
        <v>28868.115199406802</v>
      </c>
      <c r="V63" s="4">
        <f>AM63+U64</f>
        <v>29061.423017329562</v>
      </c>
      <c r="W63" s="4">
        <f t="shared" ref="W63" si="193">V63+V64</f>
        <v>29343.979110929231</v>
      </c>
      <c r="X63" s="4">
        <f>AN63+W64</f>
        <v>29557.820341140177</v>
      </c>
      <c r="Y63" s="4">
        <f t="shared" ref="Y63" si="194">X63+X64</f>
        <v>29876.634622612546</v>
      </c>
      <c r="Z63" s="4">
        <f>AO63+Y64</f>
        <v>30115.607827948275</v>
      </c>
      <c r="AG63" s="4">
        <v>25380</v>
      </c>
      <c r="AH63" s="4">
        <v>26394</v>
      </c>
      <c r="AI63" s="4">
        <v>27419</v>
      </c>
      <c r="AJ63" s="4">
        <f t="shared" ref="AJ63:AK63" si="195">AI63+AI64</f>
        <v>27700</v>
      </c>
      <c r="AK63" s="4">
        <f t="shared" si="195"/>
        <v>28053.181752763241</v>
      </c>
      <c r="AL63" s="4">
        <f t="shared" ref="AL63" si="196">AK63+AK64</f>
        <v>28440.348645616639</v>
      </c>
      <c r="AM63" s="4">
        <f t="shared" ref="AM63" si="197">AL63+AL64</f>
        <v>28868.115199406802</v>
      </c>
      <c r="AN63" s="4">
        <f t="shared" ref="AN63" si="198">AM63+AM64</f>
        <v>29343.979110929231</v>
      </c>
      <c r="AO63" s="4">
        <f t="shared" ref="AO63" si="199">AN63+AN64</f>
        <v>29876.634622612546</v>
      </c>
      <c r="AT63" s="4"/>
    </row>
    <row r="64" spans="1:48" x14ac:dyDescent="0.3">
      <c r="A64" s="17" t="s">
        <v>149</v>
      </c>
      <c r="K64" s="4">
        <v>90</v>
      </c>
      <c r="M64" s="4">
        <v>81</v>
      </c>
      <c r="N64" s="4">
        <f>AI64-M64</f>
        <v>200</v>
      </c>
      <c r="O64" s="4">
        <f>O65*'Profit and Loss Statement '!O5</f>
        <v>154.32842891922115</v>
      </c>
      <c r="P64" s="4">
        <f>AJ64-O64</f>
        <v>198.8533238440188</v>
      </c>
      <c r="Q64" s="4">
        <f>Q65*'Profit and Loss Statement '!Q5</f>
        <v>163.86673555131645</v>
      </c>
      <c r="R64" s="4">
        <f>AK64-Q64</f>
        <v>223.30015730208081</v>
      </c>
      <c r="S64" s="4">
        <f>S65*'Profit and Loss Statement '!S5</f>
        <v>176.78547110952886</v>
      </c>
      <c r="T64" s="4">
        <f>AL64-S64</f>
        <v>250.98108268063586</v>
      </c>
      <c r="U64" s="4">
        <f>U65*'Profit and Loss Statement '!U5</f>
        <v>193.30781792275991</v>
      </c>
      <c r="V64" s="4">
        <f>AM64-U64</f>
        <v>282.55609359966968</v>
      </c>
      <c r="W64" s="4">
        <f>W65*'Profit and Loss Statement '!W5</f>
        <v>213.84123021094666</v>
      </c>
      <c r="X64" s="4">
        <f>AN64-W64</f>
        <v>318.81428147236721</v>
      </c>
      <c r="Y64" s="4">
        <f>Y65*'Profit and Loss Statement '!Y5</f>
        <v>238.97320533573071</v>
      </c>
      <c r="Z64" s="4">
        <f>AO64-Y64</f>
        <v>360.70143350001666</v>
      </c>
      <c r="AG64" s="4">
        <v>220</v>
      </c>
      <c r="AH64" s="4">
        <v>243</v>
      </c>
      <c r="AI64" s="4">
        <v>281</v>
      </c>
      <c r="AJ64" s="4">
        <f>AJ65*'Profit and Loss Statement '!AJ5</f>
        <v>353.18175276323996</v>
      </c>
      <c r="AK64" s="4">
        <f>AK65*'Profit and Loss Statement '!AK5</f>
        <v>387.16689285339726</v>
      </c>
      <c r="AL64" s="4">
        <f>AL65*'Profit and Loss Statement '!AL5</f>
        <v>427.76655379016472</v>
      </c>
      <c r="AM64" s="4">
        <f>AM65*'Profit and Loss Statement '!AM5</f>
        <v>475.86391152242959</v>
      </c>
      <c r="AN64" s="4">
        <f>AN65*'Profit and Loss Statement '!AN5</f>
        <v>532.65551168331388</v>
      </c>
      <c r="AO64" s="4">
        <f>AO65*'Profit and Loss Statement '!AO5</f>
        <v>599.67463883574737</v>
      </c>
      <c r="AS64" s="4"/>
      <c r="AT64" s="4"/>
      <c r="AU64" s="4"/>
      <c r="AV64" s="4"/>
    </row>
    <row r="65" spans="1:47" x14ac:dyDescent="0.3">
      <c r="A65" s="17"/>
      <c r="O65" s="33">
        <v>0.01</v>
      </c>
      <c r="P65" s="4">
        <f t="shared" si="168"/>
        <v>0.01</v>
      </c>
      <c r="Q65" s="33">
        <v>0.01</v>
      </c>
      <c r="R65" s="4">
        <f>AK65</f>
        <v>0.01</v>
      </c>
      <c r="S65" s="33">
        <v>0.01</v>
      </c>
      <c r="T65" s="4">
        <f>AL65</f>
        <v>0.01</v>
      </c>
      <c r="U65" s="33">
        <v>0.01</v>
      </c>
      <c r="V65" s="4">
        <f>AM65</f>
        <v>0.01</v>
      </c>
      <c r="W65" s="33">
        <v>0.01</v>
      </c>
      <c r="X65" s="4">
        <f>AN65</f>
        <v>0.01</v>
      </c>
      <c r="Y65" s="33">
        <v>0.01</v>
      </c>
      <c r="Z65" s="4">
        <f>AO65</f>
        <v>0.01</v>
      </c>
      <c r="AG65" s="15">
        <f>AG64/'Profit and Loss Statement '!AG5</f>
        <v>7.6604338591176576E-3</v>
      </c>
      <c r="AH65" s="15">
        <f>AH64/'Profit and Loss Statement '!AH5</f>
        <v>8.0034253342994525E-3</v>
      </c>
      <c r="AI65" s="15">
        <f>AI64/'Profit and Loss Statement '!AI5</f>
        <v>9.422889909795111E-3</v>
      </c>
      <c r="AJ65" s="33">
        <v>0.01</v>
      </c>
      <c r="AK65" s="33">
        <v>0.01</v>
      </c>
      <c r="AL65" s="33">
        <v>0.01</v>
      </c>
      <c r="AM65" s="33">
        <v>0.01</v>
      </c>
      <c r="AN65" s="33">
        <v>0.01</v>
      </c>
      <c r="AO65" s="33">
        <v>0.01</v>
      </c>
      <c r="AS65" s="4"/>
      <c r="AT65" s="4"/>
    </row>
    <row r="66" spans="1:47" x14ac:dyDescent="0.3">
      <c r="A66" s="17" t="s">
        <v>183</v>
      </c>
      <c r="O66" s="4">
        <f>N66</f>
        <v>0</v>
      </c>
      <c r="P66" s="4">
        <f t="shared" si="168"/>
        <v>44</v>
      </c>
      <c r="Q66" s="4">
        <f>P66</f>
        <v>44</v>
      </c>
      <c r="R66" s="4">
        <f>AK66</f>
        <v>44</v>
      </c>
      <c r="S66" s="4">
        <f>R66</f>
        <v>44</v>
      </c>
      <c r="T66" s="4">
        <f>AL66</f>
        <v>44</v>
      </c>
      <c r="U66" s="4">
        <f>T66</f>
        <v>44</v>
      </c>
      <c r="V66" s="4">
        <f>AM66</f>
        <v>44</v>
      </c>
      <c r="W66" s="4">
        <f>V66</f>
        <v>44</v>
      </c>
      <c r="X66" s="4">
        <f>AN66</f>
        <v>44</v>
      </c>
      <c r="Y66" s="4">
        <f>X66</f>
        <v>44</v>
      </c>
      <c r="Z66" s="4">
        <f>AO66</f>
        <v>44</v>
      </c>
      <c r="AG66" s="4">
        <f>1014-AG64</f>
        <v>794</v>
      </c>
      <c r="AH66" s="4">
        <f>63+1511+241-61-379+52-402-AH64</f>
        <v>782</v>
      </c>
      <c r="AI66" s="4">
        <f>8+281-142+24+154-AI64</f>
        <v>44</v>
      </c>
      <c r="AJ66" s="4">
        <f>AI66</f>
        <v>44</v>
      </c>
      <c r="AK66" s="4">
        <f>AJ66</f>
        <v>44</v>
      </c>
      <c r="AL66" s="4">
        <f t="shared" ref="AL66:AO66" si="200">AK66</f>
        <v>44</v>
      </c>
      <c r="AM66" s="4">
        <f t="shared" si="200"/>
        <v>44</v>
      </c>
      <c r="AN66" s="4">
        <f t="shared" si="200"/>
        <v>44</v>
      </c>
      <c r="AO66" s="4">
        <f t="shared" si="200"/>
        <v>44</v>
      </c>
    </row>
    <row r="67" spans="1:47" x14ac:dyDescent="0.3">
      <c r="A67" s="17" t="s">
        <v>155</v>
      </c>
      <c r="M67" s="4">
        <f>AI67</f>
        <v>5509</v>
      </c>
      <c r="N67" s="4">
        <f>M67+M68</f>
        <v>5729</v>
      </c>
      <c r="O67" s="4">
        <f t="shared" ref="O67" si="201">N67+N68</f>
        <v>6043</v>
      </c>
      <c r="P67" s="4">
        <f>O67+O68</f>
        <v>6874</v>
      </c>
      <c r="Q67" s="4">
        <f t="shared" ref="Q67" si="202">P67+P68</f>
        <v>7151</v>
      </c>
      <c r="R67" s="4">
        <f>Q67+Q68</f>
        <v>7992.5954525828975</v>
      </c>
      <c r="S67" s="4">
        <f t="shared" ref="S67" si="203">R67+R68</f>
        <v>8273.1272701105299</v>
      </c>
      <c r="T67" s="4">
        <f>S67+S68</f>
        <v>9126.3377294790298</v>
      </c>
      <c r="U67" s="4">
        <f t="shared" ref="U67" si="204">T67+T68</f>
        <v>9410.7412159351952</v>
      </c>
      <c r="V67" s="4">
        <f>U67+U68</f>
        <v>10276.784671917399</v>
      </c>
      <c r="W67" s="4">
        <f t="shared" ref="W67" si="205">V67+V68</f>
        <v>10565.465823911467</v>
      </c>
      <c r="X67" s="4">
        <f>W67+W68</f>
        <v>11445.785197239344</v>
      </c>
      <c r="Y67" s="4">
        <f t="shared" ref="Y67" si="206">X67+X68</f>
        <v>11739.224988348637</v>
      </c>
      <c r="Z67" s="4">
        <f>Y67+Y68</f>
        <v>12635.524027027013</v>
      </c>
      <c r="AG67" s="4">
        <f>4986-AG68</f>
        <v>4730</v>
      </c>
      <c r="AH67" s="4">
        <f>5638-AH68</f>
        <v>4658</v>
      </c>
      <c r="AI67" s="4">
        <f>6043-AI68</f>
        <v>5509</v>
      </c>
      <c r="AJ67" s="4">
        <f t="shared" ref="AJ67:AK67" si="207">AI67+AI68</f>
        <v>6043</v>
      </c>
      <c r="AK67" s="4">
        <f t="shared" si="207"/>
        <v>7151</v>
      </c>
      <c r="AL67" s="4">
        <f t="shared" ref="AL67" si="208">AK67+AK68</f>
        <v>8273.1272701105299</v>
      </c>
      <c r="AM67" s="4">
        <f t="shared" ref="AM67" si="209">AL67+AL68</f>
        <v>9410.7412159351952</v>
      </c>
      <c r="AN67" s="4">
        <f t="shared" ref="AN67" si="210">AM67+AM68</f>
        <v>10565.465823911467</v>
      </c>
      <c r="AO67" s="4">
        <f t="shared" ref="AO67" si="211">AN67+AN68</f>
        <v>11739.224988348637</v>
      </c>
    </row>
    <row r="68" spans="1:47" x14ac:dyDescent="0.3">
      <c r="A68" s="17" t="s">
        <v>152</v>
      </c>
      <c r="M68" s="4">
        <f>M63+M64-M67-M70</f>
        <v>220</v>
      </c>
      <c r="N68" s="4">
        <f>AI68-M68</f>
        <v>314</v>
      </c>
      <c r="O68" s="4">
        <f t="shared" ref="O68:Q68" si="212">O69*O63</f>
        <v>831</v>
      </c>
      <c r="P68" s="4">
        <f>AJ68-O68</f>
        <v>277</v>
      </c>
      <c r="Q68" s="4">
        <f t="shared" si="212"/>
        <v>841.59545258289711</v>
      </c>
      <c r="R68" s="4">
        <f>AK68-Q68</f>
        <v>280.5318175276326</v>
      </c>
      <c r="S68" s="4">
        <f t="shared" ref="S68" si="213">S69*S63</f>
        <v>853.21045936849919</v>
      </c>
      <c r="T68" s="4">
        <f>AL68-S68</f>
        <v>284.40348645616632</v>
      </c>
      <c r="U68" s="4">
        <f t="shared" ref="U68" si="214">U69*U63</f>
        <v>866.04345598220402</v>
      </c>
      <c r="V68" s="4">
        <f>AM68-U68</f>
        <v>288.68115199406816</v>
      </c>
      <c r="W68" s="4">
        <f t="shared" ref="W68" si="215">W69*W63</f>
        <v>880.31937332787686</v>
      </c>
      <c r="X68" s="4">
        <f>AN68-W68</f>
        <v>293.43979110929251</v>
      </c>
      <c r="Y68" s="4">
        <f t="shared" ref="Y68" si="216">Y69*Y63</f>
        <v>896.29903867837641</v>
      </c>
      <c r="Z68" s="4">
        <f>AO68-Y68</f>
        <v>298.76634622612539</v>
      </c>
      <c r="AG68" s="4">
        <f>AG73</f>
        <v>256</v>
      </c>
      <c r="AH68" s="4">
        <f>AH73</f>
        <v>980</v>
      </c>
      <c r="AI68" s="4">
        <f>AI73</f>
        <v>534</v>
      </c>
      <c r="AJ68" s="4">
        <f t="shared" ref="AJ68" si="217">AJ69*AJ63</f>
        <v>1108</v>
      </c>
      <c r="AK68" s="4">
        <f t="shared" ref="AK68:AO68" si="218">AK69*AK63</f>
        <v>1122.1272701105297</v>
      </c>
      <c r="AL68" s="4">
        <f t="shared" si="218"/>
        <v>1137.6139458246655</v>
      </c>
      <c r="AM68" s="4">
        <f t="shared" si="218"/>
        <v>1154.7246079762722</v>
      </c>
      <c r="AN68" s="4">
        <f t="shared" si="218"/>
        <v>1173.7591644371694</v>
      </c>
      <c r="AO68" s="4">
        <f t="shared" si="218"/>
        <v>1195.0653849045018</v>
      </c>
    </row>
    <row r="69" spans="1:47" x14ac:dyDescent="0.3">
      <c r="A69" s="17"/>
      <c r="M69" s="15">
        <f>M68/M63</f>
        <v>8.0236332470184912E-3</v>
      </c>
      <c r="O69" s="33">
        <v>0.03</v>
      </c>
      <c r="P69" s="4">
        <f t="shared" si="168"/>
        <v>0.04</v>
      </c>
      <c r="Q69" s="33">
        <v>0.03</v>
      </c>
      <c r="R69" s="4">
        <f>AK69</f>
        <v>0.04</v>
      </c>
      <c r="S69" s="33">
        <v>0.03</v>
      </c>
      <c r="T69" s="4">
        <f>AL69</f>
        <v>0.04</v>
      </c>
      <c r="U69" s="33">
        <v>0.03</v>
      </c>
      <c r="V69" s="4">
        <f>AM69</f>
        <v>0.04</v>
      </c>
      <c r="W69" s="33">
        <v>0.03</v>
      </c>
      <c r="X69" s="4">
        <f>AN69</f>
        <v>0.04</v>
      </c>
      <c r="Y69" s="33">
        <v>0.03</v>
      </c>
      <c r="Z69" s="4">
        <f>AO69</f>
        <v>0.04</v>
      </c>
      <c r="AG69" s="15">
        <f>AG68/AG63</f>
        <v>1.008668242710796E-2</v>
      </c>
      <c r="AH69" s="15">
        <f>AH68/AH63</f>
        <v>3.7129650678184439E-2</v>
      </c>
      <c r="AI69" s="15">
        <f>AI68/AI63</f>
        <v>1.9475546154126701E-2</v>
      </c>
      <c r="AJ69" s="33">
        <v>0.04</v>
      </c>
      <c r="AK69" s="33">
        <v>0.04</v>
      </c>
      <c r="AL69" s="33">
        <v>0.04</v>
      </c>
      <c r="AM69" s="33">
        <v>0.04</v>
      </c>
      <c r="AN69" s="33">
        <v>0.04</v>
      </c>
      <c r="AO69" s="33">
        <v>0.04</v>
      </c>
    </row>
    <row r="70" spans="1:47" x14ac:dyDescent="0.3">
      <c r="A70" t="s">
        <v>151</v>
      </c>
      <c r="M70" s="4">
        <v>21771</v>
      </c>
      <c r="N70" s="4">
        <f>N63+N64-N67-N68</f>
        <v>21657</v>
      </c>
      <c r="O70" s="4">
        <f>O63+O64+O66-O67-O68+N71</f>
        <v>21024.32842891922</v>
      </c>
      <c r="P70" s="4">
        <f t="shared" si="168"/>
        <v>20946.181752763241</v>
      </c>
      <c r="Q70" s="4">
        <f>Q63+Q64+Q66-Q67-Q68</f>
        <v>20268.453035731658</v>
      </c>
      <c r="R70" s="4">
        <f>AK70</f>
        <v>20211.221375506109</v>
      </c>
      <c r="S70" s="4">
        <f>S63+S64+S66-S67-S68+R71</f>
        <v>19534.796387247137</v>
      </c>
      <c r="T70" s="4">
        <f>AL70</f>
        <v>19501.373983471607</v>
      </c>
      <c r="U70" s="4">
        <f>U63+U64+U66-U67-U68+T71</f>
        <v>18828.638345412164</v>
      </c>
      <c r="V70" s="4">
        <f>AM70</f>
        <v>18822.513287017762</v>
      </c>
      <c r="W70" s="4">
        <f>W63+W64+W66-W67-W68+V71</f>
        <v>18156.035143900834</v>
      </c>
      <c r="X70" s="4">
        <f>AN70</f>
        <v>18181.409634263913</v>
      </c>
      <c r="Y70" s="4">
        <f>Y63+Y64+Y66-Y67-Y68+X71</f>
        <v>17524.083800921264</v>
      </c>
      <c r="Z70" s="4">
        <f>AO70</f>
        <v>17586.018888195154</v>
      </c>
      <c r="AG70" s="4">
        <f>AG63+AG64+AG66-AG67-AG68</f>
        <v>21408</v>
      </c>
      <c r="AH70" s="4">
        <f>AH63+AH64+AH66-AH67-AH68</f>
        <v>21781</v>
      </c>
      <c r="AI70" s="4">
        <f>AI63+AI64+AI66-AI67-AI68</f>
        <v>21701</v>
      </c>
      <c r="AJ70" s="4">
        <f t="shared" ref="AJ70" si="219">AJ63+AJ64+AJ66-AJ67-AJ68</f>
        <v>20946.181752763241</v>
      </c>
      <c r="AK70" s="4">
        <f t="shared" ref="AK70:AO70" si="220">AK63+AK64+AK66-AK67-AK68</f>
        <v>20211.221375506109</v>
      </c>
      <c r="AL70" s="4">
        <f t="shared" si="220"/>
        <v>19501.373983471607</v>
      </c>
      <c r="AM70" s="4">
        <f t="shared" si="220"/>
        <v>18822.513287017762</v>
      </c>
      <c r="AN70" s="4">
        <f t="shared" si="220"/>
        <v>18181.409634263913</v>
      </c>
      <c r="AO70" s="4">
        <f t="shared" si="220"/>
        <v>17586.018888195154</v>
      </c>
      <c r="AS70" s="4"/>
      <c r="AU70" s="4"/>
    </row>
    <row r="71" spans="1:47" x14ac:dyDescent="0.3">
      <c r="N71" s="4">
        <v>44</v>
      </c>
      <c r="O71" s="4"/>
      <c r="P71">
        <v>44</v>
      </c>
      <c r="Q71" s="4"/>
      <c r="S71" s="4"/>
      <c r="U71" s="4"/>
      <c r="W71" s="4"/>
      <c r="Y71" s="4"/>
      <c r="AI71" s="4">
        <f>AI3-AI70</f>
        <v>0</v>
      </c>
      <c r="AJ71" s="4">
        <f>AJ70-AI70</f>
        <v>-754.81824723675891</v>
      </c>
    </row>
    <row r="72" spans="1:47" x14ac:dyDescent="0.3">
      <c r="A72" t="s">
        <v>181</v>
      </c>
      <c r="N72" s="4"/>
      <c r="O72" s="4"/>
      <c r="Q72" s="4"/>
      <c r="S72" s="4"/>
      <c r="U72" s="4"/>
      <c r="W72" s="4"/>
      <c r="Y72" s="4"/>
      <c r="AG72" s="4">
        <v>1537</v>
      </c>
      <c r="AH72" s="4">
        <v>1896</v>
      </c>
      <c r="AI72">
        <v>2015</v>
      </c>
      <c r="AS72" s="4"/>
    </row>
    <row r="73" spans="1:47" x14ac:dyDescent="0.3">
      <c r="A73" t="s">
        <v>60</v>
      </c>
      <c r="N73" s="4"/>
      <c r="O73" s="4"/>
      <c r="P73" s="4"/>
      <c r="Q73" s="4"/>
      <c r="S73" s="4"/>
      <c r="U73" s="4"/>
      <c r="W73" s="4"/>
      <c r="Y73" s="4"/>
      <c r="AG73" s="4">
        <v>256</v>
      </c>
      <c r="AH73" s="4">
        <v>980</v>
      </c>
      <c r="AI73">
        <v>534</v>
      </c>
      <c r="AS73" s="4"/>
    </row>
    <row r="74" spans="1:47" x14ac:dyDescent="0.3">
      <c r="A74" t="s">
        <v>182</v>
      </c>
      <c r="N74" s="4"/>
      <c r="P74" s="4"/>
      <c r="AG74" s="4">
        <v>88</v>
      </c>
      <c r="AH74" s="4">
        <v>220</v>
      </c>
      <c r="AI74">
        <v>7</v>
      </c>
      <c r="AS74" s="4"/>
    </row>
    <row r="75" spans="1:47" x14ac:dyDescent="0.3">
      <c r="A75" t="s">
        <v>133</v>
      </c>
      <c r="Q75" s="4"/>
      <c r="AG75" s="4">
        <v>5</v>
      </c>
      <c r="AH75" s="4">
        <v>0</v>
      </c>
      <c r="AI75" s="4">
        <v>49</v>
      </c>
      <c r="AS75" s="4"/>
    </row>
    <row r="76" spans="1:47" x14ac:dyDescent="0.3">
      <c r="N76" s="4"/>
      <c r="AG76" s="4">
        <f>SUM(AG72:AG75)</f>
        <v>1886</v>
      </c>
      <c r="AH76" s="4">
        <f>SUM(AH72:AH75)</f>
        <v>3096</v>
      </c>
      <c r="AI76" s="4">
        <f>SUM(AI72:AI75)</f>
        <v>2605</v>
      </c>
      <c r="AS76" s="4"/>
    </row>
    <row r="77" spans="1:47" x14ac:dyDescent="0.3">
      <c r="N77" s="4"/>
    </row>
    <row r="78" spans="1:47" x14ac:dyDescent="0.3">
      <c r="N78" s="4"/>
      <c r="AI78" s="4"/>
      <c r="AR78" s="4"/>
      <c r="AS78" s="4"/>
    </row>
    <row r="79" spans="1:47" x14ac:dyDescent="0.3">
      <c r="AS79" s="4"/>
    </row>
    <row r="81" spans="1:41" x14ac:dyDescent="0.3">
      <c r="A81" s="3" t="s">
        <v>140</v>
      </c>
    </row>
    <row r="82" spans="1:41" x14ac:dyDescent="0.3">
      <c r="A82" t="s">
        <v>177</v>
      </c>
      <c r="I82" s="4">
        <f>I31</f>
        <v>13026</v>
      </c>
      <c r="J82" s="4">
        <f t="shared" ref="J82:M82" si="221">J31</f>
        <v>12893</v>
      </c>
      <c r="K82" s="4">
        <f t="shared" si="221"/>
        <v>14441</v>
      </c>
      <c r="L82" s="4">
        <f t="shared" si="221"/>
        <v>14046</v>
      </c>
      <c r="M82" s="4">
        <f t="shared" si="221"/>
        <v>13792</v>
      </c>
      <c r="N82" s="4">
        <f>AI82</f>
        <v>13783</v>
      </c>
      <c r="O82" s="4">
        <f>N82+250</f>
        <v>14033</v>
      </c>
      <c r="P82" s="4">
        <f>O82+250</f>
        <v>14283</v>
      </c>
      <c r="Q82" s="4">
        <f>P82+250</f>
        <v>14533</v>
      </c>
      <c r="R82" s="4">
        <f>AK82</f>
        <v>14783</v>
      </c>
      <c r="S82" s="4">
        <f>R82+250</f>
        <v>15033</v>
      </c>
      <c r="T82" s="4">
        <f>AL82</f>
        <v>15283</v>
      </c>
      <c r="U82" s="4">
        <f>T82+250</f>
        <v>15533</v>
      </c>
      <c r="V82" s="4">
        <f>AM82</f>
        <v>15783</v>
      </c>
      <c r="W82" s="4">
        <f>V82+250</f>
        <v>16033</v>
      </c>
      <c r="X82" s="4">
        <f>AN82</f>
        <v>16283</v>
      </c>
      <c r="Y82" s="4">
        <f>X82+250</f>
        <v>16533</v>
      </c>
      <c r="Z82" s="4">
        <f>AO82</f>
        <v>16783</v>
      </c>
      <c r="AG82" s="4">
        <v>12893</v>
      </c>
      <c r="AH82" s="4">
        <v>14046</v>
      </c>
      <c r="AI82" s="4">
        <v>13783</v>
      </c>
      <c r="AJ82" s="4">
        <f t="shared" ref="AJ82:AO82" si="222">AI82+500</f>
        <v>14283</v>
      </c>
      <c r="AK82" s="4">
        <f t="shared" si="222"/>
        <v>14783</v>
      </c>
      <c r="AL82" s="4">
        <f t="shared" si="222"/>
        <v>15283</v>
      </c>
      <c r="AM82" s="4">
        <f t="shared" si="222"/>
        <v>15783</v>
      </c>
      <c r="AN82" s="4">
        <f t="shared" si="222"/>
        <v>16283</v>
      </c>
      <c r="AO82" s="4">
        <f t="shared" si="222"/>
        <v>16783</v>
      </c>
    </row>
    <row r="83" spans="1:41" x14ac:dyDescent="0.3">
      <c r="A83" t="s">
        <v>178</v>
      </c>
      <c r="I83" s="4">
        <f>I38</f>
        <v>3556</v>
      </c>
      <c r="J83" s="4">
        <f t="shared" ref="J83:M83" si="223">J38</f>
        <v>3484</v>
      </c>
      <c r="K83" s="4">
        <f t="shared" si="223"/>
        <v>5416</v>
      </c>
      <c r="L83" s="4">
        <f t="shared" si="223"/>
        <v>4192</v>
      </c>
      <c r="M83" s="4">
        <f t="shared" si="223"/>
        <v>4705</v>
      </c>
      <c r="N83" s="4">
        <f>AI83</f>
        <v>4192</v>
      </c>
      <c r="O83" s="4">
        <f>N83</f>
        <v>4192</v>
      </c>
      <c r="P83" s="4">
        <f>AJ83</f>
        <v>4192</v>
      </c>
      <c r="Q83" s="4">
        <f>P83</f>
        <v>4192</v>
      </c>
      <c r="R83" s="4">
        <f>AK83</f>
        <v>4192</v>
      </c>
      <c r="S83" s="4">
        <f>R83</f>
        <v>4192</v>
      </c>
      <c r="T83" s="4">
        <f>AL83</f>
        <v>4192</v>
      </c>
      <c r="U83" s="4">
        <f>T83</f>
        <v>4192</v>
      </c>
      <c r="V83" s="4">
        <f>AM83</f>
        <v>4192</v>
      </c>
      <c r="W83" s="4">
        <f>V83</f>
        <v>4192</v>
      </c>
      <c r="X83" s="4">
        <f>AN83</f>
        <v>4192</v>
      </c>
      <c r="Y83" s="4">
        <f>X83</f>
        <v>4192</v>
      </c>
      <c r="Z83" s="4">
        <f>AO83</f>
        <v>4192</v>
      </c>
      <c r="AG83" s="4">
        <v>3484</v>
      </c>
      <c r="AH83" s="4">
        <v>4192</v>
      </c>
      <c r="AI83" s="4">
        <f>AH83</f>
        <v>4192</v>
      </c>
      <c r="AJ83" s="4">
        <f t="shared" ref="AJ83:AO83" si="224">AI83</f>
        <v>4192</v>
      </c>
      <c r="AK83" s="4">
        <f t="shared" si="224"/>
        <v>4192</v>
      </c>
      <c r="AL83" s="4">
        <f t="shared" si="224"/>
        <v>4192</v>
      </c>
      <c r="AM83" s="4">
        <f t="shared" si="224"/>
        <v>4192</v>
      </c>
      <c r="AN83" s="4">
        <f t="shared" si="224"/>
        <v>4192</v>
      </c>
      <c r="AO83" s="4">
        <f t="shared" si="224"/>
        <v>4192</v>
      </c>
    </row>
    <row r="84" spans="1:41" x14ac:dyDescent="0.3">
      <c r="A84" s="18" t="s">
        <v>144</v>
      </c>
      <c r="B84" s="5" t="e">
        <f>SUM(#REF!)</f>
        <v>#REF!</v>
      </c>
      <c r="C84" s="5" t="e">
        <f>SUM(#REF!)</f>
        <v>#REF!</v>
      </c>
      <c r="D84" s="5" t="e">
        <f>SUM(#REF!)</f>
        <v>#REF!</v>
      </c>
      <c r="E84" s="5" t="e">
        <f>SUM(#REF!)</f>
        <v>#REF!</v>
      </c>
      <c r="F84" s="5" t="e">
        <f>SUM(#REF!)</f>
        <v>#REF!</v>
      </c>
      <c r="G84" s="5" t="e">
        <f>SUM(#REF!)</f>
        <v>#REF!</v>
      </c>
      <c r="H84" s="5" t="e">
        <f>SUM(#REF!)</f>
        <v>#REF!</v>
      </c>
      <c r="I84" s="5">
        <f>I82+I83</f>
        <v>16582</v>
      </c>
      <c r="J84" s="5">
        <f t="shared" ref="J84:M84" si="225">J82+J83</f>
        <v>16377</v>
      </c>
      <c r="K84" s="5">
        <f t="shared" si="225"/>
        <v>19857</v>
      </c>
      <c r="L84" s="5">
        <f t="shared" si="225"/>
        <v>18238</v>
      </c>
      <c r="M84" s="5">
        <f t="shared" si="225"/>
        <v>18497</v>
      </c>
      <c r="N84" s="5">
        <f t="shared" ref="N84" si="226">N82+N83</f>
        <v>17975</v>
      </c>
      <c r="O84" s="5">
        <f t="shared" ref="O84:Q84" si="227">O82+O83</f>
        <v>18225</v>
      </c>
      <c r="P84" s="5">
        <f t="shared" ref="P84" si="228">P82+P83</f>
        <v>18475</v>
      </c>
      <c r="Q84" s="5">
        <f t="shared" si="227"/>
        <v>18725</v>
      </c>
      <c r="R84" s="5">
        <f t="shared" ref="R84:S84" si="229">R82+R83</f>
        <v>18975</v>
      </c>
      <c r="S84" s="5">
        <f t="shared" si="229"/>
        <v>19225</v>
      </c>
      <c r="T84" s="5">
        <f t="shared" ref="T84:U84" si="230">T82+T83</f>
        <v>19475</v>
      </c>
      <c r="U84" s="5">
        <f t="shared" si="230"/>
        <v>19725</v>
      </c>
      <c r="V84" s="5">
        <f t="shared" ref="V84:W84" si="231">V82+V83</f>
        <v>19975</v>
      </c>
      <c r="W84" s="5">
        <f t="shared" si="231"/>
        <v>20225</v>
      </c>
      <c r="X84" s="5">
        <f t="shared" ref="X84:Y84" si="232">X82+X83</f>
        <v>20475</v>
      </c>
      <c r="Y84" s="5">
        <f t="shared" si="232"/>
        <v>20725</v>
      </c>
      <c r="Z84" s="5">
        <f t="shared" ref="Z84" si="233">Z82+Z83</f>
        <v>20975</v>
      </c>
      <c r="AE84" s="5" t="e">
        <f>SUM(#REF!)</f>
        <v>#REF!</v>
      </c>
      <c r="AF84" s="5" t="e">
        <f>SUM(#REF!)</f>
        <v>#REF!</v>
      </c>
      <c r="AG84" s="5">
        <f>AG82+AG83</f>
        <v>16377</v>
      </c>
      <c r="AH84" s="5">
        <f>AH82+AH83</f>
        <v>18238</v>
      </c>
      <c r="AI84" s="5">
        <f t="shared" ref="AI84:AO84" si="234">AI82+AI83</f>
        <v>17975</v>
      </c>
      <c r="AJ84" s="5">
        <f t="shared" si="234"/>
        <v>18475</v>
      </c>
      <c r="AK84" s="5">
        <f t="shared" si="234"/>
        <v>18975</v>
      </c>
      <c r="AL84" s="5">
        <f t="shared" si="234"/>
        <v>19475</v>
      </c>
      <c r="AM84" s="5">
        <f t="shared" si="234"/>
        <v>19975</v>
      </c>
      <c r="AN84" s="5">
        <f t="shared" si="234"/>
        <v>20475</v>
      </c>
      <c r="AO84" s="5">
        <f t="shared" si="234"/>
        <v>20975</v>
      </c>
    </row>
    <row r="85" spans="1:41" x14ac:dyDescent="0.3">
      <c r="A85" s="35" t="s">
        <v>179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4">
        <v>12</v>
      </c>
      <c r="AE85" s="5"/>
      <c r="AF85" s="5"/>
      <c r="AG85" s="4">
        <v>-17</v>
      </c>
      <c r="AH85" s="4">
        <v>-3</v>
      </c>
    </row>
    <row r="86" spans="1:41" x14ac:dyDescent="0.3">
      <c r="A86" s="35" t="s">
        <v>180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4">
        <v>-58</v>
      </c>
      <c r="AE86" s="5"/>
      <c r="AF86" s="5"/>
      <c r="AG86" s="4">
        <v>-64</v>
      </c>
      <c r="AH86" s="4">
        <v>-23</v>
      </c>
    </row>
    <row r="87" spans="1:41" x14ac:dyDescent="0.3">
      <c r="A87" s="35" t="s">
        <v>70</v>
      </c>
      <c r="M87" s="4">
        <v>-2277</v>
      </c>
      <c r="N87" s="4">
        <f>'Cash Flow Statement'!N50</f>
        <v>2339.2188199999996</v>
      </c>
      <c r="AG87" s="4">
        <v>-2765</v>
      </c>
      <c r="AH87" s="4">
        <v>-2377</v>
      </c>
      <c r="AI87" s="4">
        <f>-AI17</f>
        <v>-2350</v>
      </c>
    </row>
    <row r="88" spans="1:41" x14ac:dyDescent="0.3">
      <c r="A88" s="18" t="s">
        <v>145</v>
      </c>
      <c r="B88" s="5" t="e">
        <f>B84+SUM(#REF!)</f>
        <v>#REF!</v>
      </c>
      <c r="C88" s="5" t="e">
        <f>C84+SUM(#REF!)</f>
        <v>#REF!</v>
      </c>
      <c r="D88" s="5" t="e">
        <f>D84+SUM(#REF!)</f>
        <v>#REF!</v>
      </c>
      <c r="E88" s="5" t="e">
        <f>E84+SUM(#REF!)</f>
        <v>#REF!</v>
      </c>
      <c r="F88" s="5" t="e">
        <f>F84+SUM(#REF!)</f>
        <v>#REF!</v>
      </c>
      <c r="G88" s="5" t="e">
        <f>G84+SUM(#REF!)</f>
        <v>#REF!</v>
      </c>
      <c r="H88" s="5" t="e">
        <f>H84+SUM(#REF!)</f>
        <v>#REF!</v>
      </c>
      <c r="I88" s="5">
        <f t="shared" ref="I88:M88" si="235">I84+I85+I86+I87</f>
        <v>16582</v>
      </c>
      <c r="J88" s="5">
        <f t="shared" si="235"/>
        <v>16377</v>
      </c>
      <c r="K88" s="5">
        <f t="shared" si="235"/>
        <v>19857</v>
      </c>
      <c r="L88" s="5">
        <f t="shared" si="235"/>
        <v>18238</v>
      </c>
      <c r="M88" s="5">
        <f t="shared" si="235"/>
        <v>16174</v>
      </c>
      <c r="N88" s="5">
        <f>N84+N85+N86-N87</f>
        <v>15635.78118</v>
      </c>
      <c r="O88" s="5">
        <f t="shared" ref="O88:Q88" si="236">O84+O85+O86+O87</f>
        <v>18225</v>
      </c>
      <c r="P88" s="5">
        <f t="shared" ref="P88" si="237">P84+P85+P86+P87</f>
        <v>18475</v>
      </c>
      <c r="Q88" s="5">
        <f t="shared" si="236"/>
        <v>18725</v>
      </c>
      <c r="R88" s="5">
        <f t="shared" ref="R88:S88" si="238">R84+R85+R86+R87</f>
        <v>18975</v>
      </c>
      <c r="S88" s="5">
        <f t="shared" si="238"/>
        <v>19225</v>
      </c>
      <c r="T88" s="5">
        <f t="shared" ref="T88:U88" si="239">T84+T85+T86+T87</f>
        <v>19475</v>
      </c>
      <c r="U88" s="5">
        <f t="shared" si="239"/>
        <v>19725</v>
      </c>
      <c r="V88" s="5">
        <f t="shared" ref="V88:W88" si="240">V84+V85+V86+V87</f>
        <v>19975</v>
      </c>
      <c r="W88" s="5">
        <f t="shared" si="240"/>
        <v>20225</v>
      </c>
      <c r="X88" s="5">
        <f t="shared" ref="X88:Y88" si="241">X84+X85+X86+X87</f>
        <v>20475</v>
      </c>
      <c r="Y88" s="5">
        <f t="shared" si="241"/>
        <v>20725</v>
      </c>
      <c r="Z88" s="5">
        <f t="shared" ref="Z88" si="242">Z84+Z85+Z86+Z87</f>
        <v>20975</v>
      </c>
      <c r="AD88" s="5"/>
      <c r="AE88" s="5" t="e">
        <f t="shared" ref="AE88:AO88" si="243">AE84+AE85+AE86+AE87</f>
        <v>#REF!</v>
      </c>
      <c r="AF88" s="5" t="e">
        <f t="shared" si="243"/>
        <v>#REF!</v>
      </c>
      <c r="AG88" s="5">
        <f t="shared" si="243"/>
        <v>13531</v>
      </c>
      <c r="AH88" s="5">
        <f t="shared" si="243"/>
        <v>15835</v>
      </c>
      <c r="AI88" s="5">
        <f t="shared" si="243"/>
        <v>15625</v>
      </c>
      <c r="AJ88" s="5">
        <f t="shared" si="243"/>
        <v>18475</v>
      </c>
      <c r="AK88" s="5">
        <f t="shared" si="243"/>
        <v>18975</v>
      </c>
      <c r="AL88" s="5">
        <f t="shared" si="243"/>
        <v>19475</v>
      </c>
      <c r="AM88" s="5">
        <f t="shared" si="243"/>
        <v>19975</v>
      </c>
      <c r="AN88" s="5">
        <f t="shared" si="243"/>
        <v>20475</v>
      </c>
      <c r="AO88" s="5">
        <f t="shared" si="243"/>
        <v>20975</v>
      </c>
    </row>
    <row r="89" spans="1:41" x14ac:dyDescent="0.3">
      <c r="A89" s="18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E89" s="5"/>
      <c r="AF89" s="5"/>
      <c r="AG89" s="5"/>
      <c r="AH89" s="5"/>
    </row>
    <row r="90" spans="1:41" x14ac:dyDescent="0.3">
      <c r="A90" s="18" t="s">
        <v>185</v>
      </c>
      <c r="B90" s="5"/>
      <c r="C90" s="5"/>
      <c r="D90" s="5"/>
      <c r="E90" s="5"/>
      <c r="F90" s="5"/>
      <c r="G90" s="5"/>
      <c r="H90" s="5"/>
      <c r="I90" s="4">
        <f>'Profit and Loss Statement '!I17</f>
        <v>-214</v>
      </c>
      <c r="J90" s="4">
        <f>'Profit and Loss Statement '!J17</f>
        <v>-244</v>
      </c>
      <c r="K90" s="4">
        <f>'Profit and Loss Statement '!K17</f>
        <v>-295</v>
      </c>
      <c r="L90" s="4">
        <f>'Profit and Loss Statement '!L17</f>
        <v>-345</v>
      </c>
      <c r="M90" s="4">
        <f>'Profit and Loss Statement '!M17</f>
        <v>-342</v>
      </c>
      <c r="N90" s="4">
        <f>AI90-M90</f>
        <v>-377</v>
      </c>
      <c r="O90" s="4">
        <f>-O91*O84</f>
        <v>-364.5</v>
      </c>
      <c r="P90" s="4">
        <f>AJ90-O90</f>
        <v>-374.5</v>
      </c>
      <c r="Q90" s="4">
        <f>-Q91*Q84</f>
        <v>-374.5</v>
      </c>
      <c r="R90" s="4">
        <f>AK90-Q90</f>
        <v>-384.5</v>
      </c>
      <c r="S90" s="4">
        <f>-S91*S84</f>
        <v>-384.5</v>
      </c>
      <c r="T90" s="4">
        <f>AL90-S90</f>
        <v>-394.5</v>
      </c>
      <c r="U90" s="4">
        <f>-U91*U84</f>
        <v>-394.5</v>
      </c>
      <c r="V90" s="4">
        <f>AM90-U90</f>
        <v>-404.5</v>
      </c>
      <c r="W90" s="4">
        <f>-W91*W84</f>
        <v>-404.5</v>
      </c>
      <c r="X90" s="4">
        <f>AN90-W90</f>
        <v>-414.5</v>
      </c>
      <c r="Y90" s="4">
        <f>-Y91*Y84</f>
        <v>-414.5</v>
      </c>
      <c r="Z90" s="4">
        <f>AO90-Y90</f>
        <v>-424.5</v>
      </c>
      <c r="AE90" s="5"/>
      <c r="AF90" s="5"/>
      <c r="AG90" s="4">
        <f>'Profit and Loss Statement '!AG17</f>
        <v>-458</v>
      </c>
      <c r="AH90" s="4">
        <f>'Profit and Loss Statement '!AH17</f>
        <v>-640</v>
      </c>
      <c r="AI90" s="4">
        <f>-AI91*AI84</f>
        <v>-719</v>
      </c>
      <c r="AJ90" s="4">
        <f t="shared" ref="AJ90:AO90" si="244">-AJ91*AJ84</f>
        <v>-739</v>
      </c>
      <c r="AK90" s="4">
        <f t="shared" si="244"/>
        <v>-759</v>
      </c>
      <c r="AL90" s="4">
        <f t="shared" si="244"/>
        <v>-779</v>
      </c>
      <c r="AM90" s="4">
        <f t="shared" si="244"/>
        <v>-799</v>
      </c>
      <c r="AN90" s="4">
        <f t="shared" si="244"/>
        <v>-819</v>
      </c>
      <c r="AO90" s="4">
        <f t="shared" si="244"/>
        <v>-839</v>
      </c>
    </row>
    <row r="91" spans="1:41" x14ac:dyDescent="0.3">
      <c r="A91" s="27" t="s">
        <v>186</v>
      </c>
      <c r="B91" s="36"/>
      <c r="C91" s="36"/>
      <c r="D91" s="36"/>
      <c r="E91" s="36"/>
      <c r="F91" s="36"/>
      <c r="G91" s="36"/>
      <c r="H91" s="36"/>
      <c r="I91" s="15">
        <f>-I90/I84</f>
        <v>1.2905560246049934E-2</v>
      </c>
      <c r="J91" s="15">
        <f t="shared" ref="J91:Z91" si="245">-J90/J84</f>
        <v>1.4898943640471392E-2</v>
      </c>
      <c r="K91" s="15">
        <f t="shared" si="245"/>
        <v>1.4856221987208542E-2</v>
      </c>
      <c r="L91" s="15">
        <f t="shared" si="245"/>
        <v>1.891654786709069E-2</v>
      </c>
      <c r="M91" s="15">
        <f t="shared" si="245"/>
        <v>1.8489484781315887E-2</v>
      </c>
      <c r="N91" s="15">
        <f t="shared" si="245"/>
        <v>2.0973574408901251E-2</v>
      </c>
      <c r="O91" s="33">
        <v>0.02</v>
      </c>
      <c r="P91" s="15">
        <f t="shared" si="245"/>
        <v>2.0270635994587279E-2</v>
      </c>
      <c r="Q91" s="33">
        <v>0.02</v>
      </c>
      <c r="R91" s="15">
        <f t="shared" si="245"/>
        <v>2.0263504611330699E-2</v>
      </c>
      <c r="S91" s="33">
        <v>0.02</v>
      </c>
      <c r="T91" s="15">
        <f t="shared" si="245"/>
        <v>2.0256739409499357E-2</v>
      </c>
      <c r="U91" s="33">
        <v>0.02</v>
      </c>
      <c r="V91" s="15">
        <f t="shared" si="245"/>
        <v>2.0250312891113894E-2</v>
      </c>
      <c r="W91" s="33">
        <v>0.02</v>
      </c>
      <c r="X91" s="15">
        <f t="shared" si="245"/>
        <v>2.0244200244200244E-2</v>
      </c>
      <c r="Y91" s="33">
        <v>0.02</v>
      </c>
      <c r="Z91" s="15">
        <f t="shared" si="245"/>
        <v>2.0238379022646007E-2</v>
      </c>
      <c r="AE91" s="5"/>
      <c r="AF91" s="5"/>
      <c r="AG91" s="15">
        <f t="shared" ref="AG91" si="246">-AG90/AG84</f>
        <v>2.7966049948097944E-2</v>
      </c>
      <c r="AH91" s="15">
        <f t="shared" ref="AH91" si="247">-AH90/AH84</f>
        <v>3.5091567057791422E-2</v>
      </c>
      <c r="AI91" s="33">
        <v>0.04</v>
      </c>
      <c r="AJ91" s="33">
        <v>0.04</v>
      </c>
      <c r="AK91" s="33">
        <v>0.04</v>
      </c>
      <c r="AL91" s="33">
        <v>0.04</v>
      </c>
      <c r="AM91" s="33">
        <v>0.04</v>
      </c>
      <c r="AN91" s="33">
        <v>0.04</v>
      </c>
      <c r="AO91" s="33">
        <v>0.04</v>
      </c>
    </row>
    <row r="92" spans="1:41" x14ac:dyDescent="0.3">
      <c r="A92" s="17"/>
    </row>
    <row r="93" spans="1:41" x14ac:dyDescent="0.3">
      <c r="A93" s="18" t="s">
        <v>146</v>
      </c>
    </row>
    <row r="94" spans="1:41" x14ac:dyDescent="0.3">
      <c r="A94" s="17" t="s">
        <v>146</v>
      </c>
      <c r="AD94" s="4">
        <f>'Cash Flow Statement'!AD22-'Cash Flow Statement'!AD25</f>
        <v>0</v>
      </c>
      <c r="AE94" s="4">
        <f>'Cash Flow Statement'!AE22-'Cash Flow Statement'!AE25</f>
        <v>4637</v>
      </c>
      <c r="AF94" s="4">
        <f>'Cash Flow Statement'!AF22-'Cash Flow Statement'!AF25</f>
        <v>5505</v>
      </c>
      <c r="AG94" s="4">
        <f>'Cash Flow Statement'!AG22-'Cash Flow Statement'!AG25</f>
        <v>6287</v>
      </c>
      <c r="AH94" s="4">
        <f>'Cash Flow Statement'!AH22-'Cash Flow Statement'!AH25</f>
        <v>6864</v>
      </c>
      <c r="AI94" s="4">
        <f>'Cash Flow Statement'!AI22-'Cash Flow Statement'!AI25</f>
        <v>7687</v>
      </c>
      <c r="AJ94" s="4">
        <f>'Cash Flow Statement'!AJ22-'Cash Flow Statement'!AJ25</f>
        <v>7179.2293108932272</v>
      </c>
      <c r="AK94" s="4">
        <f>'Cash Flow Statement'!AK22-'Cash Flow Statement'!AK25</f>
        <v>7942.1457047359672</v>
      </c>
      <c r="AL94" s="4">
        <f>'Cash Flow Statement'!AL22-'Cash Flow Statement'!AL25</f>
        <v>8746.4677149141826</v>
      </c>
      <c r="AM94" s="4">
        <f>'Cash Flow Statement'!AM22-'Cash Flow Statement'!AM25</f>
        <v>9691.7375579288018</v>
      </c>
      <c r="AN94" s="4">
        <f>'Cash Flow Statement'!AN22-'Cash Flow Statement'!AN25</f>
        <v>10813.36550154647</v>
      </c>
      <c r="AO94" s="4">
        <f>'Cash Flow Statement'!AO22-'Cash Flow Statement'!AO25</f>
        <v>12123.433380274459</v>
      </c>
    </row>
    <row r="95" spans="1:41" x14ac:dyDescent="0.3">
      <c r="A95" s="17" t="s">
        <v>147</v>
      </c>
    </row>
    <row r="96" spans="1:41" x14ac:dyDescent="0.3">
      <c r="A96" s="17"/>
    </row>
    <row r="97" spans="1:41" x14ac:dyDescent="0.3">
      <c r="A97" s="3" t="s">
        <v>141</v>
      </c>
    </row>
    <row r="98" spans="1:41" s="3" customFormat="1" x14ac:dyDescent="0.3">
      <c r="A98" s="3" t="s">
        <v>188</v>
      </c>
      <c r="B98" s="5"/>
      <c r="C98" s="5"/>
      <c r="D98" s="5"/>
      <c r="E98" s="5"/>
      <c r="F98" s="5"/>
      <c r="G98" s="5"/>
      <c r="H98" s="5"/>
      <c r="I98" s="5">
        <v>182.5</v>
      </c>
      <c r="J98" s="5">
        <v>182.5</v>
      </c>
      <c r="K98" s="5">
        <v>182.5</v>
      </c>
      <c r="L98" s="5">
        <v>182.5</v>
      </c>
      <c r="M98" s="5">
        <v>183</v>
      </c>
      <c r="N98" s="5">
        <v>183</v>
      </c>
      <c r="O98" s="5">
        <v>182.5</v>
      </c>
      <c r="P98" s="5">
        <v>182.5</v>
      </c>
      <c r="Q98" s="5">
        <v>182.5</v>
      </c>
      <c r="R98" s="5">
        <v>182.5</v>
      </c>
      <c r="S98" s="5">
        <v>182.5</v>
      </c>
      <c r="T98" s="5">
        <v>182.5</v>
      </c>
      <c r="U98" s="5">
        <v>182.5</v>
      </c>
      <c r="V98" s="5">
        <v>183</v>
      </c>
      <c r="W98" s="5">
        <v>182.5</v>
      </c>
      <c r="X98" s="5">
        <v>182.5</v>
      </c>
      <c r="Y98" s="5">
        <v>182.5</v>
      </c>
      <c r="Z98" s="5">
        <v>182.5</v>
      </c>
      <c r="AE98" s="5"/>
      <c r="AF98" s="5"/>
      <c r="AG98" s="5">
        <v>365</v>
      </c>
      <c r="AH98" s="5">
        <v>365</v>
      </c>
      <c r="AI98" s="3">
        <v>366</v>
      </c>
      <c r="AJ98" s="5">
        <v>365</v>
      </c>
      <c r="AK98" s="5">
        <v>365</v>
      </c>
      <c r="AL98" s="5">
        <v>365</v>
      </c>
      <c r="AM98" s="3">
        <v>366</v>
      </c>
      <c r="AN98" s="3">
        <v>365</v>
      </c>
      <c r="AO98" s="3">
        <v>365</v>
      </c>
    </row>
    <row r="99" spans="1:41" x14ac:dyDescent="0.3">
      <c r="A99" t="str">
        <f>A13</f>
        <v>Inventories</v>
      </c>
      <c r="I99">
        <f t="shared" ref="I99:M100" si="248">I13</f>
        <v>3143</v>
      </c>
      <c r="J99">
        <f t="shared" si="248"/>
        <v>3250</v>
      </c>
      <c r="K99">
        <f t="shared" si="248"/>
        <v>4370</v>
      </c>
      <c r="L99">
        <f t="shared" si="248"/>
        <v>3721</v>
      </c>
      <c r="M99">
        <f t="shared" si="248"/>
        <v>3859</v>
      </c>
      <c r="N99" s="4">
        <f>AI99</f>
        <v>3644.7124969808751</v>
      </c>
      <c r="O99" s="4">
        <f>O103*'Profit and Loss Statement '!O$5/'Balance Sheet'!O$98</f>
        <v>3760.9108632466123</v>
      </c>
      <c r="P99" s="4">
        <f>AJ99</f>
        <v>4328.4016271392393</v>
      </c>
      <c r="Q99" s="4">
        <f>Q103*'Profit and Loss Statement '!Q$5/'Balance Sheet'!Q$98</f>
        <v>3566.8553639600009</v>
      </c>
      <c r="R99" s="4">
        <f>AK99</f>
        <v>4744.9048425910378</v>
      </c>
      <c r="S99" s="4">
        <f>S103*'Profit and Loss Statement '!S$5/'Balance Sheet'!S$98</f>
        <v>3756.5143173301517</v>
      </c>
      <c r="T99" s="4">
        <f>AL99</f>
        <v>5242.4719934563036</v>
      </c>
      <c r="U99" s="4">
        <f>U103*'Profit and Loss Statement '!U$5/'Balance Sheet'!U$98</f>
        <v>4037.7976330022734</v>
      </c>
      <c r="V99" s="4">
        <f>AM99</f>
        <v>5815.9925729787747</v>
      </c>
      <c r="W99" s="4">
        <f>W103*'Profit and Loss Statement '!W$5/'Balance Sheet'!W$98</f>
        <v>4413.6595511167625</v>
      </c>
      <c r="X99" s="4">
        <f>AN99</f>
        <v>6527.9334660879094</v>
      </c>
      <c r="Y99" s="4">
        <f>Y103*'Profit and Loss Statement '!Y$5/'Balance Sheet'!Y$98</f>
        <v>4893.1345779270714</v>
      </c>
      <c r="Z99" s="4">
        <f>AO99</f>
        <v>7349.2830877669985</v>
      </c>
      <c r="AG99">
        <f>AG13</f>
        <v>3250</v>
      </c>
      <c r="AH99">
        <f>AH13</f>
        <v>3721</v>
      </c>
      <c r="AI99" s="4">
        <f>AI103*'Profit and Loss Statement '!AI$5/'Balance Sheet'!AI$98</f>
        <v>3644.7124969808751</v>
      </c>
      <c r="AJ99" s="4">
        <f>AJ103*'Profit and Loss Statement '!AJ$5/'Balance Sheet'!AJ$98</f>
        <v>4328.4016271392393</v>
      </c>
      <c r="AK99" s="4">
        <f>AK103*'Profit and Loss Statement '!AK$5/'Balance Sheet'!AK$98</f>
        <v>4744.9048425910378</v>
      </c>
      <c r="AL99" s="4">
        <f>AL103*'Profit and Loss Statement '!AL$5/'Balance Sheet'!AL$98</f>
        <v>5242.4719934563036</v>
      </c>
      <c r="AM99" s="4">
        <f>AM103*'Profit and Loss Statement '!AM$5/'Balance Sheet'!AM$98</f>
        <v>5815.9925729787747</v>
      </c>
      <c r="AN99" s="4">
        <f>AN103*'Profit and Loss Statement '!AN$5/'Balance Sheet'!AN$98</f>
        <v>6527.9334660879094</v>
      </c>
      <c r="AO99" s="4">
        <f>AO103*'Profit and Loss Statement '!AO$5/'Balance Sheet'!AO$98</f>
        <v>7349.2830877669985</v>
      </c>
    </row>
    <row r="100" spans="1:41" x14ac:dyDescent="0.3">
      <c r="A100" t="str">
        <f>A14</f>
        <v>Trade and other receivables</v>
      </c>
      <c r="I100">
        <f t="shared" si="248"/>
        <v>4966</v>
      </c>
      <c r="J100">
        <f t="shared" si="248"/>
        <v>4531</v>
      </c>
      <c r="K100">
        <f t="shared" si="248"/>
        <v>5715</v>
      </c>
      <c r="L100">
        <f t="shared" si="248"/>
        <v>5019</v>
      </c>
      <c r="M100">
        <f t="shared" si="248"/>
        <v>5385</v>
      </c>
      <c r="N100" s="4">
        <f t="shared" ref="N100:N101" si="249">AI100</f>
        <v>4916.1010541109954</v>
      </c>
      <c r="O100" s="4">
        <f>O104*'Profit and Loss Statement '!O$5/'Balance Sheet'!O$98</f>
        <v>5072.8330079641892</v>
      </c>
      <c r="P100" s="4">
        <f t="shared" ref="P100:P101" si="250">AJ100</f>
        <v>5838.2821194871913</v>
      </c>
      <c r="Q100" s="4">
        <f>Q104*'Profit and Loss Statement '!Q$5/'Balance Sheet'!Q$98</f>
        <v>4811.0849426807963</v>
      </c>
      <c r="R100" s="4">
        <f t="shared" ref="R100:R101" si="251">AK100</f>
        <v>6400.0745511863533</v>
      </c>
      <c r="S100" s="4">
        <f>S104*'Profit and Loss Statement '!S$5/'Balance Sheet'!S$98</f>
        <v>5066.9028107175573</v>
      </c>
      <c r="T100" s="4">
        <f t="shared" ref="T100:T101" si="252">AL100</f>
        <v>7071.208528663582</v>
      </c>
      <c r="U100" s="4">
        <f>U104*'Profit and Loss Statement '!U$5/'Balance Sheet'!U$98</f>
        <v>5446.3064552642863</v>
      </c>
      <c r="V100" s="4">
        <f t="shared" ref="V100:V101" si="253">AM100</f>
        <v>7844.79084218771</v>
      </c>
      <c r="W100" s="4">
        <f>W104*'Profit and Loss Statement '!W$5/'Balance Sheet'!W$98</f>
        <v>5953.2806468839108</v>
      </c>
      <c r="X100" s="4">
        <f t="shared" ref="X100:X101" si="254">AN100</f>
        <v>8805.0787600900876</v>
      </c>
      <c r="Y100" s="4">
        <f>Y104*'Profit and Loss Statement '!Y$5/'Balance Sheet'!Y$98</f>
        <v>6600.0114073141558</v>
      </c>
      <c r="Z100" s="4">
        <f t="shared" ref="Z100:Z101" si="255">AO100</f>
        <v>9912.9405583183452</v>
      </c>
      <c r="AG100">
        <f>AG14</f>
        <v>4531</v>
      </c>
      <c r="AH100">
        <f>AH14</f>
        <v>5019</v>
      </c>
      <c r="AI100" s="4">
        <f>AI104*'Profit and Loss Statement '!AI$5/'Balance Sheet'!AI$98</f>
        <v>4916.1010541109954</v>
      </c>
      <c r="AJ100" s="4">
        <f>AJ104*'Profit and Loss Statement '!AJ$5/'Balance Sheet'!AJ$98</f>
        <v>5838.2821194871913</v>
      </c>
      <c r="AK100" s="4">
        <f>AK104*'Profit and Loss Statement '!AK$5/'Balance Sheet'!AK$98</f>
        <v>6400.0745511863533</v>
      </c>
      <c r="AL100" s="4">
        <f>AL104*'Profit and Loss Statement '!AL$5/'Balance Sheet'!AL$98</f>
        <v>7071.208528663582</v>
      </c>
      <c r="AM100" s="4">
        <f>AM104*'Profit and Loss Statement '!AM$5/'Balance Sheet'!AM$98</f>
        <v>7844.79084218771</v>
      </c>
      <c r="AN100" s="4">
        <f>AN104*'Profit and Loss Statement '!AN$5/'Balance Sheet'!AN$98</f>
        <v>8805.0787600900876</v>
      </c>
      <c r="AO100" s="4">
        <f>AO104*'Profit and Loss Statement '!AO$5/'Balance Sheet'!AO$98</f>
        <v>9912.9405583183452</v>
      </c>
    </row>
    <row r="101" spans="1:41" x14ac:dyDescent="0.3">
      <c r="A101" t="s">
        <v>187</v>
      </c>
      <c r="I101" s="4">
        <f>I39</f>
        <v>9091</v>
      </c>
      <c r="J101" s="4">
        <f t="shared" ref="J101:M101" si="256">J39</f>
        <v>9283</v>
      </c>
      <c r="K101" s="4">
        <f t="shared" si="256"/>
        <v>9744</v>
      </c>
      <c r="L101" s="4">
        <f t="shared" si="256"/>
        <v>9432</v>
      </c>
      <c r="M101" s="4">
        <f t="shared" si="256"/>
        <v>9401</v>
      </c>
      <c r="N101" s="4">
        <f t="shared" si="249"/>
        <v>9238.6262487298081</v>
      </c>
      <c r="O101" s="4">
        <f>O105*'Profit and Loss Statement '!O$5/'Balance Sheet'!O$98</f>
        <v>9533.1661548352731</v>
      </c>
      <c r="P101" s="4">
        <f t="shared" si="250"/>
        <v>10971.643146244909</v>
      </c>
      <c r="Q101" s="4">
        <f>Q105*'Profit and Loss Statement '!Q$5/'Balance Sheet'!Q$98</f>
        <v>9041.2737954503427</v>
      </c>
      <c r="R101" s="4">
        <f t="shared" si="251"/>
        <v>12027.39652655702</v>
      </c>
      <c r="S101" s="4">
        <f>S105*'Profit and Loss Statement '!S$5/'Balance Sheet'!S$98</f>
        <v>9522.021779375973</v>
      </c>
      <c r="T101" s="4">
        <f t="shared" si="252"/>
        <v>13288.630970782009</v>
      </c>
      <c r="U101" s="4">
        <f>U105*'Profit and Loss Statement '!U$5/'Balance Sheet'!U$98</f>
        <v>10235.019423401623</v>
      </c>
      <c r="V101" s="4">
        <f t="shared" si="253"/>
        <v>14742.392353758616</v>
      </c>
      <c r="W101" s="4">
        <f>W105*'Profit and Loss Statement '!W$5/'Balance Sheet'!W$98</f>
        <v>11187.755142739401</v>
      </c>
      <c r="X101" s="4">
        <f t="shared" si="254"/>
        <v>16547.021889852502</v>
      </c>
      <c r="Y101" s="4">
        <f>Y105*'Profit and Loss Statement '!Y$5/'Balance Sheet'!Y$98</f>
        <v>12403.129626177946</v>
      </c>
      <c r="Z101" s="4">
        <f t="shared" si="255"/>
        <v>18628.980941633519</v>
      </c>
      <c r="AG101" s="4">
        <f t="shared" ref="AG101:AH101" si="257">AG39</f>
        <v>9283</v>
      </c>
      <c r="AH101" s="4">
        <f t="shared" si="257"/>
        <v>9432</v>
      </c>
      <c r="AI101" s="4">
        <f>AI105*'Profit and Loss Statement '!AI$5/'Balance Sheet'!AI$98</f>
        <v>9238.6262487298081</v>
      </c>
      <c r="AJ101" s="4">
        <f>AJ105*'Profit and Loss Statement '!AJ$5/'Balance Sheet'!AJ$98</f>
        <v>10971.643146244909</v>
      </c>
      <c r="AK101" s="4">
        <f>AK105*'Profit and Loss Statement '!AK$5/'Balance Sheet'!AK$98</f>
        <v>12027.39652655702</v>
      </c>
      <c r="AL101" s="4">
        <f>AL105*'Profit and Loss Statement '!AL$5/'Balance Sheet'!AL$98</f>
        <v>13288.630970782009</v>
      </c>
      <c r="AM101" s="4">
        <f>AM105*'Profit and Loss Statement '!AM$5/'Balance Sheet'!AM$98</f>
        <v>14742.392353758616</v>
      </c>
      <c r="AN101" s="4">
        <f>AN105*'Profit and Loss Statement '!AN$5/'Balance Sheet'!AN$98</f>
        <v>16547.021889852502</v>
      </c>
      <c r="AO101" s="4">
        <f>AO105*'Profit and Loss Statement '!AO$5/'Balance Sheet'!AO$98</f>
        <v>18628.980941633519</v>
      </c>
    </row>
    <row r="102" spans="1:41" x14ac:dyDescent="0.3">
      <c r="A102" s="3"/>
    </row>
    <row r="103" spans="1:41" x14ac:dyDescent="0.3">
      <c r="A103" t="s">
        <v>189</v>
      </c>
      <c r="I103" s="4">
        <f>I99/'Profit and Loss Statement '!I$5*'Balance Sheet'!I$98</f>
        <v>42.535965888023732</v>
      </c>
      <c r="J103" s="4">
        <f>J99/'Profit and Loss Statement '!J$5*'Balance Sheet'!J$98</f>
        <v>38.934291715898645</v>
      </c>
      <c r="K103" s="4">
        <f>K99/'Profit and Loss Statement '!K$5*'Balance Sheet'!K$98</f>
        <v>54.910837234921502</v>
      </c>
      <c r="L103" s="4">
        <f>L99/'Profit and Loss Statement '!L$5*'Balance Sheet'!L$98</f>
        <v>42.876783684808686</v>
      </c>
      <c r="M103" s="4">
        <f>M99/'Profit and Loss Statement '!M$5*'Balance Sheet'!M$98</f>
        <v>47.638761467889914</v>
      </c>
      <c r="N103" s="4">
        <f>N99/'Profit and Loss Statement '!N$5*'Balance Sheet'!N$98</f>
        <v>44.474387340634806</v>
      </c>
      <c r="O103" s="37">
        <f>N103</f>
        <v>44.474387340634806</v>
      </c>
      <c r="P103" s="4">
        <f>P99/'Profit and Loss Statement '!P$5*'Balance Sheet'!P$98</f>
        <v>39.724420074191848</v>
      </c>
      <c r="Q103" s="37">
        <f>P103</f>
        <v>39.724420074191848</v>
      </c>
      <c r="R103" s="4">
        <f>R99/'Profit and Loss Statement '!R$5*'Balance Sheet'!R$98</f>
        <v>38.779423366075491</v>
      </c>
      <c r="S103" s="37">
        <f>R103</f>
        <v>38.779423366075491</v>
      </c>
      <c r="T103" s="4">
        <f>T99/'Profit and Loss Statement '!T$5*'Balance Sheet'!T$98</f>
        <v>38.120448305787491</v>
      </c>
      <c r="U103" s="37">
        <f>T103</f>
        <v>38.120448305787491</v>
      </c>
      <c r="V103" s="4">
        <f>V99/'Profit and Loss Statement '!V$5*'Balance Sheet'!V$98</f>
        <v>37.66779995065589</v>
      </c>
      <c r="W103" s="37">
        <f>V103</f>
        <v>37.66779995065589</v>
      </c>
      <c r="X103" s="4">
        <f>X99/'Profit and Loss Statement '!X$5*'Balance Sheet'!X$98</f>
        <v>37.368083137903653</v>
      </c>
      <c r="Y103" s="37">
        <f>X103</f>
        <v>37.368083137903653</v>
      </c>
      <c r="Z103" s="4">
        <f>Z99/'Profit and Loss Statement '!Z$5*'Balance Sheet'!Z$98</f>
        <v>37.184331387399794</v>
      </c>
      <c r="AG103" s="4">
        <f>AG99/'Profit and Loss Statement '!AG$5*'Balance Sheet'!AG$98</f>
        <v>41.305407569901462</v>
      </c>
      <c r="AH103" s="4">
        <f>AH99/'Profit and Loss Statement '!AH$5*'Balance Sheet'!AH$98</f>
        <v>44.732395757855215</v>
      </c>
      <c r="AI103" s="4">
        <f>AH103</f>
        <v>44.732395757855215</v>
      </c>
      <c r="AJ103" s="4">
        <f t="shared" ref="AJ103:AO103" si="258">AI103</f>
        <v>44.732395757855215</v>
      </c>
      <c r="AK103" s="4">
        <f t="shared" si="258"/>
        <v>44.732395757855215</v>
      </c>
      <c r="AL103" s="4">
        <f t="shared" si="258"/>
        <v>44.732395757855215</v>
      </c>
      <c r="AM103" s="4">
        <f t="shared" si="258"/>
        <v>44.732395757855215</v>
      </c>
      <c r="AN103" s="4">
        <f t="shared" si="258"/>
        <v>44.732395757855215</v>
      </c>
      <c r="AO103" s="4">
        <f t="shared" si="258"/>
        <v>44.732395757855215</v>
      </c>
    </row>
    <row r="104" spans="1:41" x14ac:dyDescent="0.3">
      <c r="A104" t="s">
        <v>190</v>
      </c>
      <c r="I104" s="4">
        <f>I100/'Profit and Loss Statement '!I$5*'Balance Sheet'!I$98</f>
        <v>67.207638116425656</v>
      </c>
      <c r="J104" s="4">
        <f>J100/'Profit and Loss Statement '!J$5*'Balance Sheet'!J$98</f>
        <v>54.280392542995926</v>
      </c>
      <c r="K104" s="4">
        <f>K100/'Profit and Loss Statement '!K$5*'Balance Sheet'!K$98</f>
        <v>71.811312310658224</v>
      </c>
      <c r="L104" s="4">
        <f>L100/'Profit and Loss Statement '!L$5*'Balance Sheet'!L$98</f>
        <v>57.833533274403337</v>
      </c>
      <c r="M104" s="4">
        <f>M100/'Profit and Loss Statement '!M$5*'Balance Sheet'!M$98</f>
        <v>66.476996762007559</v>
      </c>
      <c r="N104" s="4">
        <f>N100/'Profit and Loss Statement '!N$5*'Balance Sheet'!N$98</f>
        <v>59.988430546263395</v>
      </c>
      <c r="O104" s="37">
        <f>N104</f>
        <v>59.988430546263395</v>
      </c>
      <c r="P104" s="4">
        <f>P100/'Profit and Loss Statement '!P$5*'Balance Sheet'!P$98</f>
        <v>53.581527641055857</v>
      </c>
      <c r="Q104" s="37">
        <f>P104</f>
        <v>53.581527641055857</v>
      </c>
      <c r="R104" s="4">
        <f>R100/'Profit and Loss Statement '!R$5*'Balance Sheet'!R$98</f>
        <v>52.306886824599005</v>
      </c>
      <c r="S104" s="37">
        <f>R104</f>
        <v>52.306886824599005</v>
      </c>
      <c r="T104" s="4">
        <f>T100/'Profit and Loss Statement '!T$5*'Balance Sheet'!T$98</f>
        <v>51.418040861797209</v>
      </c>
      <c r="U104" s="37">
        <f>T104</f>
        <v>51.418040861797209</v>
      </c>
      <c r="V104" s="4">
        <f>V100/'Profit and Loss Statement '!V$5*'Balance Sheet'!V$98</f>
        <v>50.807494746665391</v>
      </c>
      <c r="W104" s="37">
        <f>V104</f>
        <v>50.807494746665391</v>
      </c>
      <c r="X104" s="4">
        <f>X100/'Profit and Loss Statement '!X$5*'Balance Sheet'!X$98</f>
        <v>50.403227430566631</v>
      </c>
      <c r="Y104" s="37">
        <f>X104</f>
        <v>50.403227430566631</v>
      </c>
      <c r="Z104" s="4">
        <f>Z100/'Profit and Loss Statement '!Z$5*'Balance Sheet'!Z$98</f>
        <v>50.1553773806395</v>
      </c>
      <c r="AG104" s="4">
        <f>AG100/'Profit and Loss Statement '!AG$5*'Balance Sheet'!AG$98</f>
        <v>57.586092830530312</v>
      </c>
      <c r="AH104" s="4">
        <f>AH100/'Profit and Loss Statement '!AH$5*'Balance Sheet'!AH$98</f>
        <v>60.336440287201107</v>
      </c>
      <c r="AI104" s="4">
        <f>AH104</f>
        <v>60.336440287201107</v>
      </c>
      <c r="AJ104" s="4">
        <f t="shared" ref="AJ104:AO104" si="259">AI104</f>
        <v>60.336440287201107</v>
      </c>
      <c r="AK104" s="4">
        <f t="shared" si="259"/>
        <v>60.336440287201107</v>
      </c>
      <c r="AL104" s="4">
        <f t="shared" si="259"/>
        <v>60.336440287201107</v>
      </c>
      <c r="AM104" s="4">
        <f t="shared" si="259"/>
        <v>60.336440287201107</v>
      </c>
      <c r="AN104" s="4">
        <f t="shared" si="259"/>
        <v>60.336440287201107</v>
      </c>
      <c r="AO104" s="4">
        <f t="shared" si="259"/>
        <v>60.336440287201107</v>
      </c>
    </row>
    <row r="105" spans="1:41" x14ac:dyDescent="0.3">
      <c r="A105" t="s">
        <v>191</v>
      </c>
      <c r="I105" s="4">
        <f>I101/'Profit and Loss Statement '!I$5*'Balance Sheet'!I$98</f>
        <v>123.03355580274379</v>
      </c>
      <c r="J105" s="4">
        <f>J101/'Profit and Loss Statement '!J$5*'Balance Sheet'!J$98</f>
        <v>111.20831692267296</v>
      </c>
      <c r="K105" s="4">
        <f>K101/'Profit and Loss Statement '!K$5*'Balance Sheet'!K$98</f>
        <v>122.43734508399889</v>
      </c>
      <c r="L105" s="4">
        <f>L101/'Profit and Loss Statement '!L$5*'Balance Sheet'!L$98</f>
        <v>108.68417729511302</v>
      </c>
      <c r="M105" s="4">
        <f>M101/'Profit and Loss Statement '!M$5*'Balance Sheet'!M$98</f>
        <v>116.05389908256879</v>
      </c>
      <c r="N105" s="4">
        <f>N101/'Profit and Loss Statement '!N$5*'Balance Sheet'!N$98</f>
        <v>112.73378699190204</v>
      </c>
      <c r="O105" s="37">
        <f>N105</f>
        <v>112.73378699190204</v>
      </c>
      <c r="P105" s="4">
        <f>P101/'Profit and Loss Statement '!P$5*'Balance Sheet'!P$98</f>
        <v>100.69355822084856</v>
      </c>
      <c r="Q105" s="37">
        <f>P105</f>
        <v>100.69355822084856</v>
      </c>
      <c r="R105" s="4">
        <f>R101/'Profit and Loss Statement '!R$5*'Balance Sheet'!R$98</f>
        <v>98.298178228654692</v>
      </c>
      <c r="S105" s="37">
        <f>R105</f>
        <v>98.298178228654692</v>
      </c>
      <c r="T105" s="4">
        <f>T101/'Profit and Loss Statement '!T$5*'Balance Sheet'!T$98</f>
        <v>96.627806616551354</v>
      </c>
      <c r="U105" s="37">
        <f>T105</f>
        <v>96.627806616551354</v>
      </c>
      <c r="V105" s="4">
        <f>V101/'Profit and Loss Statement '!V$5*'Balance Sheet'!V$98</f>
        <v>95.480432446811719</v>
      </c>
      <c r="W105" s="37">
        <f>V105</f>
        <v>95.480432446811719</v>
      </c>
      <c r="X105" s="4">
        <f>X101/'Profit and Loss Statement '!X$5*'Balance Sheet'!X$98</f>
        <v>94.720709528811398</v>
      </c>
      <c r="Y105" s="37">
        <f>X105</f>
        <v>94.720709528811398</v>
      </c>
      <c r="Z105" s="4">
        <f>Z101/'Profit and Loss Statement '!Z$5*'Balance Sheet'!Z$98</f>
        <v>94.254935137316551</v>
      </c>
      <c r="AG105" s="4">
        <f>AG101/'Profit and Loss Statement '!AG$5*'Balance Sheet'!AG$98</f>
        <v>117.98095337581393</v>
      </c>
      <c r="AH105" s="4">
        <f>AH101/'Profit and Loss Statement '!AH$5*'Balance Sheet'!AH$98</f>
        <v>113.38778736578618</v>
      </c>
      <c r="AI105" s="4">
        <f>AH105</f>
        <v>113.38778736578618</v>
      </c>
      <c r="AJ105" s="4">
        <f t="shared" ref="AJ105:AO105" si="260">AI105</f>
        <v>113.38778736578618</v>
      </c>
      <c r="AK105" s="4">
        <f t="shared" si="260"/>
        <v>113.38778736578618</v>
      </c>
      <c r="AL105" s="4">
        <f t="shared" si="260"/>
        <v>113.38778736578618</v>
      </c>
      <c r="AM105" s="4">
        <f t="shared" si="260"/>
        <v>113.38778736578618</v>
      </c>
      <c r="AN105" s="4">
        <f t="shared" si="260"/>
        <v>113.38778736578618</v>
      </c>
      <c r="AO105" s="4">
        <f t="shared" si="260"/>
        <v>113.38778736578618</v>
      </c>
    </row>
    <row r="107" spans="1:41" x14ac:dyDescent="0.3">
      <c r="A107" s="3" t="s">
        <v>142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high="1" low="1" negative="1" xr2:uid="{594ABFE4-0EB8-45A3-9F67-1707A7C87CD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'Balance Sheet'!AE12:AO12</xm:f>
              <xm:sqref>AQ12</xm:sqref>
            </x14:sparkline>
          </x14:sparklines>
        </x14:sparklineGroup>
        <x14:sparklineGroup displayEmptyCellsAs="gap" markers="1" high="1" low="1" negative="1" xr2:uid="{65BDA71C-B139-4D3C-AB25-71B198A21C6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'Balance Sheet'!AE5:AO5</xm:f>
              <xm:sqref>AQ5</xm:sqref>
            </x14:sparkline>
          </x14:sparklines>
        </x14:sparklineGroup>
        <x14:sparklineGroup displayEmptyCellsAs="gap" markers="1" high="1" low="1" negative="1" xr2:uid="{409B7169-8D38-4C49-8428-00913C6C359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'Balance Sheet'!AE20:AO20</xm:f>
              <xm:sqref>AQ20</xm:sqref>
            </x14:sparkline>
          </x14:sparklines>
        </x14:sparklineGroup>
        <x14:sparklineGroup displayEmptyCellsAs="gap" markers="1" high="1" low="1" negative="1" xr2:uid="{24D802B4-46CE-4E86-9BF8-CEE3F85B0A6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'Balance Sheet'!AE4:AO4</xm:f>
              <xm:sqref>AQ4</xm:sqref>
            </x14:sparkline>
          </x14:sparklines>
        </x14:sparklineGroup>
        <x14:sparklineGroup displayEmptyCellsAs="gap" markers="1" high="1" low="1" negative="1" xr2:uid="{27613C61-305F-439B-8E63-AB25A3B5417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'Balance Sheet'!AE6:AO6</xm:f>
              <xm:sqref>AQ6</xm:sqref>
            </x14:sparkline>
          </x14:sparklines>
        </x14:sparklineGroup>
        <x14:sparklineGroup displayEmptyCellsAs="gap" markers="1" high="1" low="1" negative="1" xr2:uid="{02B77FE7-8C84-4CD2-BE06-53234480F2F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'Balance Sheet'!AE7:AO7</xm:f>
              <xm:sqref>AQ7</xm:sqref>
            </x14:sparkline>
          </x14:sparklines>
        </x14:sparklineGroup>
        <x14:sparklineGroup displayEmptyCellsAs="gap" markers="1" high="1" low="1" negative="1" xr2:uid="{D4610A61-E2B6-4CDC-9350-691446BA946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'Balance Sheet'!AE8:AO8</xm:f>
              <xm:sqref>AQ8</xm:sqref>
            </x14:sparkline>
          </x14:sparklines>
        </x14:sparklineGroup>
        <x14:sparklineGroup displayEmptyCellsAs="gap" markers="1" high="1" low="1" negative="1" xr2:uid="{CB3CE01D-1EA5-40A9-B0A7-36C405E041D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'Balance Sheet'!AE9:AO9</xm:f>
              <xm:sqref>AQ9</xm:sqref>
            </x14:sparkline>
          </x14:sparklines>
        </x14:sparklineGroup>
        <x14:sparklineGroup displayEmptyCellsAs="gap" markers="1" high="1" low="1" negative="1" xr2:uid="{CA75F1CB-406C-45CB-9A54-4B6A6FD953C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'Balance Sheet'!AE10:AO10</xm:f>
              <xm:sqref>AQ10</xm:sqref>
            </x14:sparkline>
          </x14:sparklines>
        </x14:sparklineGroup>
        <x14:sparklineGroup displayEmptyCellsAs="gap" markers="1" high="1" low="1" negative="1" xr2:uid="{A3B92267-D1ED-47E8-BC2A-4D886047975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'Balance Sheet'!AE11:AO11</xm:f>
              <xm:sqref>AQ11</xm:sqref>
            </x14:sparkline>
          </x14:sparklines>
        </x14:sparklineGroup>
        <x14:sparklineGroup displayEmptyCellsAs="gap" markers="1" high="1" low="1" negative="1" xr2:uid="{EC3EFD3D-786F-4F49-BD2E-6F3AC81D62A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'Balance Sheet'!AE13:AO13</xm:f>
              <xm:sqref>AQ13</xm:sqref>
            </x14:sparkline>
          </x14:sparklines>
        </x14:sparklineGroup>
        <x14:sparklineGroup displayEmptyCellsAs="gap" markers="1" high="1" low="1" negative="1" xr2:uid="{7CF44E93-8E02-428D-9E68-BCD4D13D329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'Balance Sheet'!AE14:AO14</xm:f>
              <xm:sqref>AQ14</xm:sqref>
            </x14:sparkline>
          </x14:sparklines>
        </x14:sparklineGroup>
        <x14:sparklineGroup displayEmptyCellsAs="gap" markers="1" high="1" low="1" negative="1" xr2:uid="{E594BAF2-12BC-48CC-9BBF-10B195BBE80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'Balance Sheet'!AE15:AO15</xm:f>
              <xm:sqref>AQ15</xm:sqref>
            </x14:sparkline>
          </x14:sparklines>
        </x14:sparklineGroup>
        <x14:sparklineGroup displayEmptyCellsAs="gap" markers="1" high="1" low="1" negative="1" xr2:uid="{20684123-EC35-46F6-83F9-37E3EDB8A63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'Balance Sheet'!AE16:AO16</xm:f>
              <xm:sqref>AQ16</xm:sqref>
            </x14:sparkline>
          </x14:sparklines>
        </x14:sparklineGroup>
        <x14:sparklineGroup displayEmptyCellsAs="gap" markers="1" high="1" low="1" negative="1" xr2:uid="{223B6CE8-B23C-40BA-90B7-29E6BE0D687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'Balance Sheet'!AE17:AO17</xm:f>
              <xm:sqref>AQ17</xm:sqref>
            </x14:sparkline>
          </x14:sparklines>
        </x14:sparklineGroup>
        <x14:sparklineGroup displayEmptyCellsAs="gap" markers="1" high="1" low="1" negative="1" xr2:uid="{F3D69BCE-D9DE-4F70-8B09-9D150A00E1A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'Balance Sheet'!AE18:AO18</xm:f>
              <xm:sqref>AQ18</xm:sqref>
            </x14:sparkline>
          </x14:sparklines>
        </x14:sparklineGroup>
        <x14:sparklineGroup displayEmptyCellsAs="gap" markers="1" high="1" low="1" negative="1" xr2:uid="{9E0D67A7-181C-4388-AEEE-CF5B4559110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'Balance Sheet'!AE19:AO19</xm:f>
              <xm:sqref>AQ19</xm:sqref>
            </x14:sparkline>
          </x14:sparklines>
        </x14:sparklineGroup>
        <x14:sparklineGroup displayEmptyCellsAs="gap" markers="1" high="1" low="1" negative="1" xr2:uid="{ABC6197B-AD64-417D-9580-6365BB5B23B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'Balance Sheet'!AE3:AO3</xm:f>
              <xm:sqref>AQ3</xm:sqref>
            </x14:sparkline>
          </x14:sparklines>
        </x14:sparklineGroup>
        <x14:sparklineGroup displayEmptyCellsAs="gap" markers="1" high="1" low="1" negative="1" xr2:uid="{BBA33D30-3563-4B8A-8788-AC4C091D856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'Balance Sheet'!AE22:AO22</xm:f>
              <xm:sqref>AQ22</xm:sqref>
            </x14:sparkline>
          </x14:sparklines>
        </x14:sparklineGroup>
        <x14:sparklineGroup displayEmptyCellsAs="gap" markers="1" high="1" low="1" negative="1" xr2:uid="{6700C61B-85A6-4C87-A066-FF1515A4C96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'Balance Sheet'!AE24:AO24</xm:f>
              <xm:sqref>AQ24</xm:sqref>
            </x14:sparkline>
          </x14:sparklines>
        </x14:sparklineGroup>
        <x14:sparklineGroup displayEmptyCellsAs="gap" markers="1" high="1" low="1" negative="1" xr2:uid="{F0A2BF03-52D3-4764-8472-1E349C07E55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'Balance Sheet'!AE25:AO25</xm:f>
              <xm:sqref>AQ25</xm:sqref>
            </x14:sparkline>
          </x14:sparklines>
        </x14:sparklineGroup>
        <x14:sparklineGroup displayEmptyCellsAs="gap" markers="1" high="1" low="1" negative="1" xr2:uid="{0C8E52AB-100D-439B-84CC-293D06BB298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'Balance Sheet'!AE26:AO26</xm:f>
              <xm:sqref>AQ26</xm:sqref>
            </x14:sparkline>
          </x14:sparklines>
        </x14:sparklineGroup>
        <x14:sparklineGroup displayEmptyCellsAs="gap" markers="1" high="1" low="1" negative="1" xr2:uid="{F4A729ED-FA74-4C85-8D43-E9C5C63B5E4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'Balance Sheet'!AE27:AO27</xm:f>
              <xm:sqref>AQ27</xm:sqref>
            </x14:sparkline>
          </x14:sparklines>
        </x14:sparklineGroup>
        <x14:sparklineGroup displayEmptyCellsAs="gap" markers="1" high="1" low="1" negative="1" xr2:uid="{CBFD0C75-1A5C-4771-9C72-4EC5A360AD3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'Balance Sheet'!AE28:AO28</xm:f>
              <xm:sqref>AQ28</xm:sqref>
            </x14:sparkline>
          </x14:sparklines>
        </x14:sparklineGroup>
        <x14:sparklineGroup displayEmptyCellsAs="gap" markers="1" high="1" low="1" negative="1" xr2:uid="{E554E041-5EF7-4B98-8FD5-35EDAC9C54B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'Balance Sheet'!AE29:AO29</xm:f>
              <xm:sqref>AQ29</xm:sqref>
            </x14:sparkline>
          </x14:sparklines>
        </x14:sparklineGroup>
        <x14:sparklineGroup displayEmptyCellsAs="gap" markers="1" high="1" low="1" negative="1" xr2:uid="{5432D677-D8E8-4C10-AC62-1553114C2D4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'Balance Sheet'!AE31:AO31</xm:f>
              <xm:sqref>AQ31</xm:sqref>
            </x14:sparkline>
          </x14:sparklines>
        </x14:sparklineGroup>
        <x14:sparklineGroup displayEmptyCellsAs="gap" markers="1" high="1" low="1" negative="1" xr2:uid="{1BEAC433-90BF-4FB3-AF9C-2C3802353E3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'Balance Sheet'!AE32:AO32</xm:f>
              <xm:sqref>AQ32</xm:sqref>
            </x14:sparkline>
          </x14:sparklines>
        </x14:sparklineGroup>
        <x14:sparklineGroup displayEmptyCellsAs="gap" markers="1" high="1" low="1" negative="1" xr2:uid="{3F7CB82E-D0F3-4D5F-96CA-13D2DA696BF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'Balance Sheet'!AE33:AO33</xm:f>
              <xm:sqref>AQ33</xm:sqref>
            </x14:sparkline>
          </x14:sparklines>
        </x14:sparklineGroup>
        <x14:sparklineGroup displayEmptyCellsAs="gap" markers="1" high="1" low="1" negative="1" xr2:uid="{6A1C8905-875A-4E58-99CA-0215570B2A7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'Balance Sheet'!AE34:AO34</xm:f>
              <xm:sqref>AQ34</xm:sqref>
            </x14:sparkline>
          </x14:sparklines>
        </x14:sparklineGroup>
        <x14:sparklineGroup displayEmptyCellsAs="gap" markers="1" high="1" low="1" negative="1" xr2:uid="{9354E155-FFE4-4719-B7C1-B9DB5767C05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'Balance Sheet'!AE35:AO35</xm:f>
              <xm:sqref>AQ35</xm:sqref>
            </x14:sparkline>
          </x14:sparklines>
        </x14:sparklineGroup>
        <x14:sparklineGroup displayEmptyCellsAs="gap" markers="1" high="1" low="1" negative="1" xr2:uid="{8E25080A-227C-47D3-802B-DE4B97144C8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'Balance Sheet'!AE36:AO36</xm:f>
              <xm:sqref>AQ36</xm:sqref>
            </x14:sparkline>
          </x14:sparklines>
        </x14:sparklineGroup>
        <x14:sparklineGroup displayEmptyCellsAs="gap" markers="1" high="1" low="1" negative="1" xr2:uid="{E1E06E15-EC43-4B38-B4CC-ED2B8F85A48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'Balance Sheet'!AE38:AO38</xm:f>
              <xm:sqref>AQ38</xm:sqref>
            </x14:sparkline>
          </x14:sparklines>
        </x14:sparklineGroup>
        <x14:sparklineGroup displayEmptyCellsAs="gap" markers="1" high="1" low="1" negative="1" xr2:uid="{78E73833-8D9E-4C98-B9F5-D3EB48EF822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'Balance Sheet'!AE39:AO39</xm:f>
              <xm:sqref>AQ39</xm:sqref>
            </x14:sparkline>
          </x14:sparklines>
        </x14:sparklineGroup>
        <x14:sparklineGroup displayEmptyCellsAs="gap" markers="1" high="1" low="1" negative="1" xr2:uid="{364C545C-989F-4F75-942E-01F595B6CE1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'Balance Sheet'!AE40:AO40</xm:f>
              <xm:sqref>AQ40</xm:sqref>
            </x14:sparkline>
          </x14:sparklines>
        </x14:sparklineGroup>
        <x14:sparklineGroup displayEmptyCellsAs="gap" markers="1" high="1" low="1" negative="1" xr2:uid="{3EE346F8-5FD5-4350-AF0C-35A5AD86368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'Balance Sheet'!AE41:AO41</xm:f>
              <xm:sqref>AQ41</xm:sqref>
            </x14:sparkline>
          </x14:sparklines>
        </x14:sparklineGroup>
        <x14:sparklineGroup displayEmptyCellsAs="gap" markers="1" high="1" low="1" negative="1" xr2:uid="{0C5711E1-B72D-4196-834D-A578739C4FD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'Balance Sheet'!AE42:AO42</xm:f>
              <xm:sqref>AQ42</xm:sqref>
            </x14:sparkline>
          </x14:sparklines>
        </x14:sparklineGroup>
        <x14:sparklineGroup displayEmptyCellsAs="gap" markers="1" high="1" low="1" negative="1" xr2:uid="{551D42E2-F2F0-4016-B03F-B220E265BA7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'Balance Sheet'!AE43:AO43</xm:f>
              <xm:sqref>AQ43</xm:sqref>
            </x14:sparkline>
          </x14:sparklines>
        </x14:sparklineGroup>
        <x14:sparklineGroup displayEmptyCellsAs="gap" markers="1" high="1" low="1" negative="1" xr2:uid="{925D386D-E4E8-4039-BD94-AECC926238A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'Balance Sheet'!AE44:AO44</xm:f>
              <xm:sqref>AQ44</xm:sqref>
            </x14:sparkline>
          </x14:sparklines>
        </x14:sparklineGroup>
        <x14:sparklineGroup displayEmptyCellsAs="gap" markers="1" high="1" low="1" negative="1" xr2:uid="{BDCE1EA6-51D0-45AE-8979-33B7AA934A3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'Balance Sheet'!AE45:AO45</xm:f>
              <xm:sqref>AQ45</xm:sqref>
            </x14:sparkline>
          </x14:sparklines>
        </x14:sparklineGroup>
        <x14:sparklineGroup displayEmptyCellsAs="gap" markers="1" high="1" low="1" negative="1" xr2:uid="{E00F580C-23EB-4CDD-BB6B-BEBBD7B1344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'Balance Sheet'!AE47:AO47</xm:f>
              <xm:sqref>AQ47</xm:sqref>
            </x14:sparkline>
          </x14:sparklines>
        </x14:sparklineGroup>
        <x14:sparklineGroup displayEmptyCellsAs="gap" markers="1" high="1" low="1" negative="1" xr2:uid="{53748A9F-BC00-4DF4-A4EC-DAE6181BBA0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'Balance Sheet'!E47:Z47</xm:f>
              <xm:sqref>AB47</xm:sqref>
            </x14:sparkline>
          </x14:sparklines>
        </x14:sparklineGroup>
        <x14:sparklineGroup displayEmptyCellsAs="gap" markers="1" high="1" low="1" negative="1" xr2:uid="{0C355F89-B516-42B1-91D0-2861EB7A0EA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'Balance Sheet'!E45:Z45</xm:f>
              <xm:sqref>AB45</xm:sqref>
            </x14:sparkline>
          </x14:sparklines>
        </x14:sparklineGroup>
        <x14:sparklineGroup displayEmptyCellsAs="gap" markers="1" high="1" low="1" negative="1" xr2:uid="{11957298-FEE5-4398-9A1D-879A0261BFF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'Balance Sheet'!E44:Z44</xm:f>
              <xm:sqref>AB44</xm:sqref>
            </x14:sparkline>
          </x14:sparklines>
        </x14:sparklineGroup>
        <x14:sparklineGroup displayEmptyCellsAs="gap" markers="1" high="1" low="1" negative="1" xr2:uid="{7F2FBA2A-1160-4BA4-B3CA-1F8125B848B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'Balance Sheet'!E43:Z43</xm:f>
              <xm:sqref>AB43</xm:sqref>
            </x14:sparkline>
          </x14:sparklines>
        </x14:sparklineGroup>
        <x14:sparklineGroup displayEmptyCellsAs="gap" markers="1" high="1" low="1" negative="1" xr2:uid="{149A857B-E64A-43C9-B2D2-E39473A7256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'Balance Sheet'!E42:Z42</xm:f>
              <xm:sqref>AB42</xm:sqref>
            </x14:sparkline>
          </x14:sparklines>
        </x14:sparklineGroup>
        <x14:sparklineGroup displayEmptyCellsAs="gap" markers="1" high="1" low="1" negative="1" xr2:uid="{78C4C745-54E7-420C-B38C-917AEEB9D79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'Balance Sheet'!E41:Z41</xm:f>
              <xm:sqref>AB41</xm:sqref>
            </x14:sparkline>
          </x14:sparklines>
        </x14:sparklineGroup>
        <x14:sparklineGroup displayEmptyCellsAs="gap" markers="1" high="1" low="1" negative="1" xr2:uid="{48C3CA34-4B76-4F84-933F-1A190F1C900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'Balance Sheet'!E40:Z40</xm:f>
              <xm:sqref>AB40</xm:sqref>
            </x14:sparkline>
          </x14:sparklines>
        </x14:sparklineGroup>
        <x14:sparklineGroup displayEmptyCellsAs="gap" markers="1" high="1" low="1" negative="1" xr2:uid="{B67DEB81-D855-4555-A2D8-5BB438DB76C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'Balance Sheet'!E39:Z39</xm:f>
              <xm:sqref>AB39</xm:sqref>
            </x14:sparkline>
          </x14:sparklines>
        </x14:sparklineGroup>
        <x14:sparklineGroup displayEmptyCellsAs="gap" markers="1" high="1" low="1" negative="1" xr2:uid="{AE47A968-C684-418F-BCAE-237F5C41B0B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'Balance Sheet'!E38:Z38</xm:f>
              <xm:sqref>AB38</xm:sqref>
            </x14:sparkline>
          </x14:sparklines>
        </x14:sparklineGroup>
        <x14:sparklineGroup displayEmptyCellsAs="gap" markers="1" high="1" low="1" negative="1" xr2:uid="{00432A18-8F14-496F-85DB-336F0571A5D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'Balance Sheet'!E36:Z36</xm:f>
              <xm:sqref>AB36</xm:sqref>
            </x14:sparkline>
          </x14:sparklines>
        </x14:sparklineGroup>
        <x14:sparklineGroup displayEmptyCellsAs="gap" markers="1" high="1" low="1" negative="1" xr2:uid="{8BC5E5D6-8747-4517-8B7D-513D0E59EE0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'Balance Sheet'!E35:Z35</xm:f>
              <xm:sqref>AB35</xm:sqref>
            </x14:sparkline>
          </x14:sparklines>
        </x14:sparklineGroup>
        <x14:sparklineGroup displayEmptyCellsAs="gap" markers="1" high="1" low="1" negative="1" xr2:uid="{1EAB1D8F-18AD-4129-8E52-043A5B6787E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'Balance Sheet'!E34:Z34</xm:f>
              <xm:sqref>AB34</xm:sqref>
            </x14:sparkline>
          </x14:sparklines>
        </x14:sparklineGroup>
        <x14:sparklineGroup displayEmptyCellsAs="gap" markers="1" high="1" low="1" negative="1" xr2:uid="{2DC86AE3-DCF6-4289-B03D-F53102A72F8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'Balance Sheet'!E33:Z33</xm:f>
              <xm:sqref>AB33</xm:sqref>
            </x14:sparkline>
          </x14:sparklines>
        </x14:sparklineGroup>
        <x14:sparklineGroup displayEmptyCellsAs="gap" markers="1" high="1" low="1" negative="1" xr2:uid="{79F536B0-DFE9-4B98-9EE9-08540B3FBE1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'Balance Sheet'!E32:Z32</xm:f>
              <xm:sqref>AB32</xm:sqref>
            </x14:sparkline>
          </x14:sparklines>
        </x14:sparklineGroup>
        <x14:sparklineGroup displayEmptyCellsAs="gap" markers="1" high="1" low="1" negative="1" xr2:uid="{7FF3863D-42E2-4F5C-80E9-9D170B0851B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'Balance Sheet'!E31:Z31</xm:f>
              <xm:sqref>AB31</xm:sqref>
            </x14:sparkline>
          </x14:sparklines>
        </x14:sparklineGroup>
        <x14:sparklineGroup displayEmptyCellsAs="gap" markers="1" high="1" low="1" negative="1" xr2:uid="{71554BA5-79B6-45CB-862B-323E1B60ACC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'Balance Sheet'!E29:Z29</xm:f>
              <xm:sqref>AB29</xm:sqref>
            </x14:sparkline>
          </x14:sparklines>
        </x14:sparklineGroup>
        <x14:sparklineGroup displayEmptyCellsAs="gap" markers="1" high="1" low="1" negative="1" xr2:uid="{EC7F2BDC-FD58-4BE7-8BAB-12218B3A917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'Balance Sheet'!E28:Z28</xm:f>
              <xm:sqref>AB28</xm:sqref>
            </x14:sparkline>
          </x14:sparklines>
        </x14:sparklineGroup>
        <x14:sparklineGroup displayEmptyCellsAs="gap" markers="1" high="1" low="1" negative="1" xr2:uid="{4AEE6313-FFAB-46F5-B252-26B12443AC6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'Balance Sheet'!E27:Z27</xm:f>
              <xm:sqref>AB27</xm:sqref>
            </x14:sparkline>
          </x14:sparklines>
        </x14:sparklineGroup>
        <x14:sparklineGroup displayEmptyCellsAs="gap" markers="1" high="1" low="1" negative="1" xr2:uid="{FDD966E1-F3B1-4001-B27B-EFCF6B3CC54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'Balance Sheet'!E26:Z26</xm:f>
              <xm:sqref>AB26</xm:sqref>
            </x14:sparkline>
          </x14:sparklines>
        </x14:sparklineGroup>
        <x14:sparklineGroup displayEmptyCellsAs="gap" markers="1" high="1" low="1" negative="1" xr2:uid="{3B9CFAF7-F5D6-4B2A-A725-24D0474EB43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'Balance Sheet'!E25:Z25</xm:f>
              <xm:sqref>AB25</xm:sqref>
            </x14:sparkline>
          </x14:sparklines>
        </x14:sparklineGroup>
        <x14:sparklineGroup displayEmptyCellsAs="gap" markers="1" high="1" low="1" negative="1" xr2:uid="{34FF1D82-4FD3-4974-96F2-126C825357B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'Balance Sheet'!E24:Z24</xm:f>
              <xm:sqref>AB24</xm:sqref>
            </x14:sparkline>
          </x14:sparklines>
        </x14:sparklineGroup>
        <x14:sparklineGroup displayEmptyCellsAs="gap" markers="1" high="1" low="1" negative="1" xr2:uid="{F2BE307A-7564-4FB6-8F83-16F3EC29466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'Balance Sheet'!E22:Z22</xm:f>
              <xm:sqref>AB22</xm:sqref>
            </x14:sparkline>
          </x14:sparklines>
        </x14:sparklineGroup>
        <x14:sparklineGroup displayEmptyCellsAs="gap" markers="1" high="1" low="1" negative="1" xr2:uid="{B248318C-0F90-4DF8-A6A3-E25CB93B3B3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'Balance Sheet'!E20:Z20</xm:f>
              <xm:sqref>AB20</xm:sqref>
            </x14:sparkline>
          </x14:sparklines>
        </x14:sparklineGroup>
        <x14:sparklineGroup displayEmptyCellsAs="gap" markers="1" high="1" low="1" negative="1" xr2:uid="{E19C37E0-2488-43E2-9C8A-FF236E4E1B3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'Balance Sheet'!E19:Z19</xm:f>
              <xm:sqref>AB19</xm:sqref>
            </x14:sparkline>
          </x14:sparklines>
        </x14:sparklineGroup>
        <x14:sparklineGroup displayEmptyCellsAs="gap" markers="1" high="1" low="1" negative="1" xr2:uid="{B57DC24B-653D-4BD0-8A3B-6C6EB249549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'Balance Sheet'!E18:Z18</xm:f>
              <xm:sqref>AB18</xm:sqref>
            </x14:sparkline>
          </x14:sparklines>
        </x14:sparklineGroup>
        <x14:sparklineGroup displayEmptyCellsAs="gap" markers="1" high="1" low="1" negative="1" xr2:uid="{7ABA3F93-C4DD-482B-B5DE-4BB2FDA9BD8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'Balance Sheet'!E17:Z17</xm:f>
              <xm:sqref>AB17</xm:sqref>
            </x14:sparkline>
          </x14:sparklines>
        </x14:sparklineGroup>
        <x14:sparklineGroup displayEmptyCellsAs="gap" markers="1" high="1" low="1" negative="1" xr2:uid="{7A21808E-F068-474F-B25D-3B563D85596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'Balance Sheet'!E16:Z16</xm:f>
              <xm:sqref>AB16</xm:sqref>
            </x14:sparkline>
          </x14:sparklines>
        </x14:sparklineGroup>
        <x14:sparklineGroup displayEmptyCellsAs="gap" markers="1" high="1" low="1" negative="1" xr2:uid="{8D7B1C27-C18B-4729-831C-E85F44484CE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'Balance Sheet'!E15:Z15</xm:f>
              <xm:sqref>AB15</xm:sqref>
            </x14:sparkline>
          </x14:sparklines>
        </x14:sparklineGroup>
        <x14:sparklineGroup displayEmptyCellsAs="gap" markers="1" high="1" low="1" negative="1" xr2:uid="{EC461DF3-27F7-416A-BB82-16C7579D46E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'Balance Sheet'!E14:Z14</xm:f>
              <xm:sqref>AB14</xm:sqref>
            </x14:sparkline>
          </x14:sparklines>
        </x14:sparklineGroup>
        <x14:sparklineGroup displayEmptyCellsAs="gap" markers="1" high="1" low="1" negative="1" xr2:uid="{6032B226-4968-408B-9BE5-1D67DB1A4EC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'Balance Sheet'!E13:Z13</xm:f>
              <xm:sqref>AB13</xm:sqref>
            </x14:sparkline>
          </x14:sparklines>
        </x14:sparklineGroup>
        <x14:sparklineGroup displayEmptyCellsAs="gap" markers="1" high="1" low="1" negative="1" xr2:uid="{C6F1C622-79D0-4ADA-A8F4-FE8F3D0AB40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'Balance Sheet'!E11:Z11</xm:f>
              <xm:sqref>AB11</xm:sqref>
            </x14:sparkline>
          </x14:sparklines>
        </x14:sparklineGroup>
        <x14:sparklineGroup displayEmptyCellsAs="gap" markers="1" high="1" low="1" negative="1" xr2:uid="{6619E55C-B25E-4ECB-AB1F-9862234EF24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'Balance Sheet'!E10:Z10</xm:f>
              <xm:sqref>AB10</xm:sqref>
            </x14:sparkline>
          </x14:sparklines>
        </x14:sparklineGroup>
        <x14:sparklineGroup displayEmptyCellsAs="gap" markers="1" high="1" low="1" negative="1" xr2:uid="{097E5EFD-9F60-4F6F-8010-19AB3738D60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'Balance Sheet'!E9:Z9</xm:f>
              <xm:sqref>AB9</xm:sqref>
            </x14:sparkline>
          </x14:sparklines>
        </x14:sparklineGroup>
        <x14:sparklineGroup displayEmptyCellsAs="gap" markers="1" high="1" low="1" negative="1" xr2:uid="{FDA8D7EA-C1A2-4141-8FA0-9F60024C2C7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'Balance Sheet'!E8:Z8</xm:f>
              <xm:sqref>AB8</xm:sqref>
            </x14:sparkline>
          </x14:sparklines>
        </x14:sparklineGroup>
        <x14:sparklineGroup displayEmptyCellsAs="gap" markers="1" high="1" low="1" negative="1" xr2:uid="{563ED5D4-3FEF-4FB0-99F5-0A2F1933054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'Balance Sheet'!E7:Z7</xm:f>
              <xm:sqref>AB7</xm:sqref>
            </x14:sparkline>
          </x14:sparklines>
        </x14:sparklineGroup>
        <x14:sparklineGroup displayEmptyCellsAs="gap" markers="1" high="1" low="1" negative="1" xr2:uid="{695A612D-5638-4702-9269-26C449BC332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'Balance Sheet'!E6:Z6</xm:f>
              <xm:sqref>AB6</xm:sqref>
            </x14:sparkline>
          </x14:sparklines>
        </x14:sparklineGroup>
        <x14:sparklineGroup displayEmptyCellsAs="gap" markers="1" high="1" low="1" negative="1" xr2:uid="{FE831012-E90A-4B85-ABEC-5698C173B6E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'Balance Sheet'!E4:Z4</xm:f>
              <xm:sqref>AB4</xm:sqref>
            </x14:sparkline>
          </x14:sparklines>
        </x14:sparklineGroup>
        <x14:sparklineGroup displayEmptyCellsAs="gap" markers="1" high="1" low="1" negative="1" xr2:uid="{C34F7DC3-098F-4189-B2AF-8C4E2C15330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'Balance Sheet'!E3:Z3</xm:f>
              <xm:sqref>AB3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7F15C-3168-4F1F-9006-D2C0FB0320AF}">
  <dimension ref="A1:AX52"/>
  <sheetViews>
    <sheetView workbookViewId="0">
      <pane xSplit="1" ySplit="1" topLeftCell="N2" activePane="bottomRight" state="frozen"/>
      <selection pane="topRight" activeCell="B1" sqref="B1"/>
      <selection pane="bottomLeft" activeCell="A2" sqref="A2"/>
      <selection pane="bottomRight" activeCell="P20" sqref="P20"/>
    </sheetView>
  </sheetViews>
  <sheetFormatPr defaultRowHeight="14.4" x14ac:dyDescent="0.3"/>
  <cols>
    <col min="1" max="1" width="44.5546875" bestFit="1" customWidth="1"/>
    <col min="2" max="2" width="0" hidden="1" customWidth="1"/>
    <col min="3" max="8" width="0" style="4" hidden="1" customWidth="1"/>
    <col min="9" max="14" width="8.88671875" style="4"/>
    <col min="15" max="30" width="8.88671875" customWidth="1"/>
    <col min="31" max="34" width="8.88671875" style="4" customWidth="1"/>
    <col min="35" max="41" width="9" customWidth="1"/>
    <col min="42" max="44" width="8.88671875" customWidth="1"/>
    <col min="45" max="45" width="8.88671875" style="34"/>
  </cols>
  <sheetData>
    <row r="1" spans="1:50" x14ac:dyDescent="0.3">
      <c r="A1" t="str">
        <f>'Profit and Loss Statement '!A1</f>
        <v>In millions of €</v>
      </c>
      <c r="B1" t="str">
        <f>'Profit and Loss Statement '!B1</f>
        <v>H1'19</v>
      </c>
      <c r="C1" s="4" t="str">
        <f>'Profit and Loss Statement '!C1</f>
        <v>H2'19</v>
      </c>
      <c r="D1" s="4" t="str">
        <f>'Profit and Loss Statement '!D1</f>
        <v>FY'19</v>
      </c>
      <c r="E1" s="4" t="str">
        <f>'Profit and Loss Statement '!E1</f>
        <v>H1'20</v>
      </c>
      <c r="F1" s="4" t="str">
        <f>'Profit and Loss Statement '!F1</f>
        <v>H2'20</v>
      </c>
      <c r="G1" s="4" t="str">
        <f>'Profit and Loss Statement '!G1</f>
        <v>H1'21</v>
      </c>
      <c r="H1" s="4" t="str">
        <f>'Profit and Loss Statement '!H1</f>
        <v>H2'21</v>
      </c>
      <c r="I1" s="4" t="str">
        <f>'Profit and Loss Statement '!I1</f>
        <v>H1'22</v>
      </c>
      <c r="J1" s="4" t="str">
        <f>'Profit and Loss Statement '!J1</f>
        <v>H2'22</v>
      </c>
      <c r="K1" s="4" t="str">
        <f>'Profit and Loss Statement '!K1</f>
        <v>H1'23</v>
      </c>
      <c r="L1" s="4" t="str">
        <f>'Profit and Loss Statement '!L1</f>
        <v>H2'23</v>
      </c>
      <c r="M1" s="4" t="str">
        <f>'Profit and Loss Statement '!M1</f>
        <v>H1'24</v>
      </c>
      <c r="N1" s="4" t="str">
        <f>'Profit and Loss Statement '!N1</f>
        <v>H2'24</v>
      </c>
      <c r="O1" t="str">
        <f>'Profit and Loss Statement '!O1</f>
        <v>H1'25</v>
      </c>
      <c r="P1" t="str">
        <f>'Profit and Loss Statement '!P1</f>
        <v>H2'25</v>
      </c>
      <c r="Q1" t="str">
        <f>'Profit and Loss Statement '!Q1</f>
        <v>H1'26</v>
      </c>
      <c r="R1" t="str">
        <f>'Profit and Loss Statement '!R1</f>
        <v>H2'26</v>
      </c>
      <c r="S1" t="str">
        <f>'Profit and Loss Statement '!S1</f>
        <v>H1'27</v>
      </c>
      <c r="T1" t="str">
        <f>'Profit and Loss Statement '!T1</f>
        <v>H2'27</v>
      </c>
      <c r="U1" t="str">
        <f>'Profit and Loss Statement '!U1</f>
        <v>H1'28</v>
      </c>
      <c r="V1" t="str">
        <f>'Profit and Loss Statement '!V1</f>
        <v>H2'28</v>
      </c>
      <c r="W1" t="str">
        <f>'Profit and Loss Statement '!W1</f>
        <v>H1'29</v>
      </c>
      <c r="X1" t="str">
        <f>'Profit and Loss Statement '!X1</f>
        <v>H2'29</v>
      </c>
      <c r="Y1" t="str">
        <f>'Profit and Loss Statement '!Y1</f>
        <v>H1'30</v>
      </c>
      <c r="Z1" t="str">
        <f>'Profit and Loss Statement '!Z1</f>
        <v>H2'30</v>
      </c>
      <c r="AE1" s="4" t="str">
        <f>'Profit and Loss Statement '!AE1</f>
        <v>FY'20</v>
      </c>
      <c r="AF1" s="4" t="str">
        <f>'Profit and Loss Statement '!AF1</f>
        <v>FY'21</v>
      </c>
      <c r="AG1" s="4" t="str">
        <f>'Profit and Loss Statement '!AG1</f>
        <v>FY'22</v>
      </c>
      <c r="AH1" s="4" t="str">
        <f>'Profit and Loss Statement '!AH1</f>
        <v>FY'23</v>
      </c>
      <c r="AI1" t="str">
        <f>'Profit and Loss Statement '!AI1</f>
        <v>FY'24</v>
      </c>
      <c r="AJ1" t="str">
        <f>'Profit and Loss Statement '!AJ1</f>
        <v>FY'25</v>
      </c>
      <c r="AK1" t="str">
        <f>'Profit and Loss Statement '!AK1</f>
        <v>FY'26</v>
      </c>
      <c r="AL1" t="str">
        <f>'Profit and Loss Statement '!AL1</f>
        <v>FY'27</v>
      </c>
      <c r="AM1" t="str">
        <f>'Profit and Loss Statement '!AM1</f>
        <v>FY'28</v>
      </c>
      <c r="AN1" t="str">
        <f>'Profit and Loss Statement '!AN1</f>
        <v>FY'29</v>
      </c>
      <c r="AO1" t="str">
        <f>'Profit and Loss Statement '!AO1</f>
        <v>FY'30</v>
      </c>
      <c r="AU1" s="40"/>
    </row>
    <row r="2" spans="1:50" x14ac:dyDescent="0.3">
      <c r="AU2" s="40"/>
    </row>
    <row r="3" spans="1:50" x14ac:dyDescent="0.3">
      <c r="A3" t="s">
        <v>86</v>
      </c>
      <c r="B3">
        <v>1038</v>
      </c>
      <c r="C3" s="4">
        <f>D3-B3</f>
        <v>1336</v>
      </c>
      <c r="D3" s="4">
        <v>2374</v>
      </c>
      <c r="E3" s="4">
        <v>-272</v>
      </c>
      <c r="F3" s="4">
        <f>AE3-E3</f>
        <v>184</v>
      </c>
      <c r="G3" s="4">
        <v>1169</v>
      </c>
      <c r="H3" s="4">
        <f>AF3-G3</f>
        <v>2366</v>
      </c>
      <c r="I3" s="4">
        <v>1455</v>
      </c>
      <c r="J3" s="4">
        <f>AG3-I3</f>
        <v>1584</v>
      </c>
      <c r="K3" s="4">
        <v>1187</v>
      </c>
      <c r="L3" s="4">
        <f>AH3-K3</f>
        <v>1214</v>
      </c>
      <c r="M3" s="4">
        <f>'Profit and Loss Statement '!M24</f>
        <v>-48</v>
      </c>
      <c r="N3" s="4">
        <f>'Profit and Loss Statement '!N24</f>
        <v>843.2188199999996</v>
      </c>
      <c r="O3" s="4">
        <f>'Profit and Loss Statement '!O24</f>
        <v>1077.6021821294748</v>
      </c>
      <c r="P3" s="4">
        <f>'Profit and Loss Statement '!P24</f>
        <v>885.31721256583387</v>
      </c>
      <c r="Q3" s="42">
        <f>'Profit and Loss Statement '!Q24</f>
        <v>1181.1558700920939</v>
      </c>
      <c r="R3" s="4">
        <f>'Profit and Loss Statement '!R24</f>
        <v>1079.8071380912518</v>
      </c>
      <c r="S3" s="4">
        <f>'Profit and Loss Statement '!S24</f>
        <v>1340.9253583446161</v>
      </c>
      <c r="T3" s="4">
        <f>'Profit and Loss Statement '!T24</f>
        <v>1287.5893409624314</v>
      </c>
      <c r="U3" s="4">
        <f>'Profit and Loss Statement '!U24</f>
        <v>1559.8327618448518</v>
      </c>
      <c r="V3" s="4">
        <f>'Profit and Loss Statement '!V24</f>
        <v>1514.4698452922328</v>
      </c>
      <c r="W3" s="4">
        <f>'Profit and Loss Statement '!W24</f>
        <v>1844.0396710466605</v>
      </c>
      <c r="X3" s="4">
        <f>'Profit and Loss Statement '!X24</f>
        <v>1766.5016442901083</v>
      </c>
      <c r="Y3" s="4">
        <f>'Profit and Loss Statement '!Y24</f>
        <v>2202.8125561708148</v>
      </c>
      <c r="Z3" s="4">
        <f>'Profit and Loss Statement '!Z24</f>
        <v>2050.3134328137271</v>
      </c>
      <c r="AE3" s="4">
        <v>-88</v>
      </c>
      <c r="AF3" s="4">
        <v>3535</v>
      </c>
      <c r="AG3" s="4">
        <v>3039</v>
      </c>
      <c r="AH3" s="4">
        <v>2401</v>
      </c>
      <c r="AI3" s="4">
        <v>1161</v>
      </c>
      <c r="AJ3" s="42">
        <f>'Profit and Loss Statement '!AJ24</f>
        <v>1962.9193946953087</v>
      </c>
      <c r="AK3" s="39">
        <f>'Profit and Loss Statement '!AK24</f>
        <v>2260.963008183342</v>
      </c>
      <c r="AL3" s="39">
        <f>'Profit and Loss Statement '!AL24</f>
        <v>2628.5146993070475</v>
      </c>
      <c r="AM3" s="39">
        <f>'Profit and Loss Statement '!AM24</f>
        <v>3074.3026071370882</v>
      </c>
      <c r="AN3" s="39">
        <f>'Profit and Loss Statement '!AN24</f>
        <v>3610.5413153367667</v>
      </c>
      <c r="AO3" s="39">
        <f>'Profit and Loss Statement '!AO24</f>
        <v>4253.1259889845351</v>
      </c>
    </row>
    <row r="4" spans="1:50" x14ac:dyDescent="0.3">
      <c r="A4" t="s">
        <v>87</v>
      </c>
      <c r="AI4" s="4"/>
      <c r="AU4" s="40"/>
    </row>
    <row r="5" spans="1:50" x14ac:dyDescent="0.3">
      <c r="A5" t="s">
        <v>7</v>
      </c>
      <c r="B5">
        <v>911</v>
      </c>
      <c r="C5" s="4">
        <f t="shared" ref="C5:C21" si="0">D5-B5</f>
        <v>1048</v>
      </c>
      <c r="D5" s="4">
        <v>1959</v>
      </c>
      <c r="E5" s="4">
        <v>1479</v>
      </c>
      <c r="F5" s="4">
        <f t="shared" ref="F5:F10" si="1">AE5-E5</f>
        <v>1395</v>
      </c>
      <c r="G5" s="4">
        <v>870</v>
      </c>
      <c r="H5" s="4">
        <f t="shared" ref="H5:H10" si="2">AF5-G5</f>
        <v>1089</v>
      </c>
      <c r="I5" s="4">
        <v>932</v>
      </c>
      <c r="J5" s="4">
        <f t="shared" ref="J5:J10" si="3">AG5-I5</f>
        <v>954</v>
      </c>
      <c r="K5" s="4">
        <v>1244</v>
      </c>
      <c r="L5" s="4">
        <f t="shared" ref="L5:L10" si="4">AH5-K5</f>
        <v>1852</v>
      </c>
      <c r="M5" s="4">
        <v>1367</v>
      </c>
      <c r="N5" s="4">
        <f>-'Profit and Loss Statement '!N13</f>
        <v>1238</v>
      </c>
      <c r="O5" s="4">
        <f>-'Profit and Loss Statement '!O13</f>
        <v>1692.54</v>
      </c>
      <c r="P5" s="4">
        <f>-'Profit and Loss Statement '!P13</f>
        <v>1425.7200000000003</v>
      </c>
      <c r="Q5" s="42">
        <f>-'Profit and Loss Statement '!Q13</f>
        <v>1766.7081680802803</v>
      </c>
      <c r="R5" s="4">
        <f>-'Profit and Loss Statement '!R13</f>
        <v>1514.0154381908105</v>
      </c>
      <c r="S5" s="4">
        <f>-'Profit and Loss Statement '!S13</f>
        <v>1848.0132155794938</v>
      </c>
      <c r="T5" s="4">
        <f>-'Profit and Loss Statement '!T13</f>
        <v>1610.8071614041589</v>
      </c>
      <c r="U5" s="4">
        <f>-'Profit and Loss Statement '!U13</f>
        <v>1937.8441918754284</v>
      </c>
      <c r="V5" s="4">
        <f>-'Profit and Loss Statement '!V13</f>
        <v>1717.7487998517004</v>
      </c>
      <c r="W5" s="4">
        <f>-'Profit and Loss Statement '!W13</f>
        <v>2037.7756132951386</v>
      </c>
      <c r="X5" s="4">
        <f>-'Profit and Loss Statement '!X13</f>
        <v>1836.7147777323084</v>
      </c>
      <c r="Y5" s="4">
        <f>-'Profit and Loss Statement '!Y13</f>
        <v>2149.6332707486345</v>
      </c>
      <c r="Z5" s="4">
        <f>-'Profit and Loss Statement '!Z13</f>
        <v>1969.8786556531368</v>
      </c>
      <c r="AE5" s="4">
        <v>2874</v>
      </c>
      <c r="AF5" s="4">
        <v>1959</v>
      </c>
      <c r="AG5" s="4">
        <v>1886</v>
      </c>
      <c r="AH5" s="4">
        <v>3096</v>
      </c>
      <c r="AI5" s="4">
        <v>2605</v>
      </c>
      <c r="AJ5" s="42">
        <f>-'Profit and Loss Statement '!AJ13</f>
        <v>3118.26</v>
      </c>
      <c r="AK5" s="39">
        <f>-'Profit and Loss Statement '!AK13</f>
        <v>3280.7236062710908</v>
      </c>
      <c r="AL5" s="39">
        <f>-'Profit and Loss Statement '!AL13</f>
        <v>3458.8203769836527</v>
      </c>
      <c r="AM5" s="39">
        <f>-'Profit and Loss Statement '!AM13</f>
        <v>3655.5929917271287</v>
      </c>
      <c r="AN5" s="39">
        <f>-'Profit and Loss Statement '!AN13</f>
        <v>3874.490391027447</v>
      </c>
      <c r="AO5" s="39">
        <f>-'Profit and Loss Statement '!AO13</f>
        <v>4119.5119264017712</v>
      </c>
      <c r="AU5" s="40"/>
      <c r="AX5" s="4"/>
    </row>
    <row r="6" spans="1:50" x14ac:dyDescent="0.3">
      <c r="A6" t="s">
        <v>9</v>
      </c>
      <c r="B6">
        <v>227</v>
      </c>
      <c r="C6" s="4">
        <f t="shared" si="0"/>
        <v>227</v>
      </c>
      <c r="D6" s="4">
        <v>454</v>
      </c>
      <c r="E6" s="4">
        <v>207</v>
      </c>
      <c r="F6" s="4">
        <f t="shared" si="1"/>
        <v>240</v>
      </c>
      <c r="G6" s="4">
        <v>202</v>
      </c>
      <c r="H6" s="4">
        <f t="shared" si="2"/>
        <v>211</v>
      </c>
      <c r="I6" s="4">
        <v>185</v>
      </c>
      <c r="J6" s="4">
        <f t="shared" si="3"/>
        <v>199</v>
      </c>
      <c r="K6" s="4">
        <v>249</v>
      </c>
      <c r="L6" s="4">
        <f t="shared" si="4"/>
        <v>301</v>
      </c>
      <c r="M6" s="4">
        <v>295</v>
      </c>
      <c r="N6" s="4">
        <f t="shared" ref="N6:N10" si="5">AI6-M6</f>
        <v>275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E6" s="4">
        <v>447</v>
      </c>
      <c r="AF6" s="4">
        <v>413</v>
      </c>
      <c r="AG6" s="4">
        <v>384</v>
      </c>
      <c r="AH6" s="4">
        <v>550</v>
      </c>
      <c r="AI6" s="4">
        <v>570</v>
      </c>
      <c r="AJ6" s="4"/>
      <c r="AK6" s="4"/>
      <c r="AL6" s="4"/>
      <c r="AM6" s="4"/>
      <c r="AN6" s="4"/>
      <c r="AO6" s="4"/>
      <c r="AU6" s="40"/>
    </row>
    <row r="7" spans="1:50" x14ac:dyDescent="0.3">
      <c r="A7" t="s">
        <v>4</v>
      </c>
      <c r="B7">
        <v>-78</v>
      </c>
      <c r="C7" s="4">
        <f t="shared" si="0"/>
        <v>-17</v>
      </c>
      <c r="D7" s="4">
        <v>-95</v>
      </c>
      <c r="E7" s="4">
        <v>-5</v>
      </c>
      <c r="F7" s="4">
        <f t="shared" si="1"/>
        <v>-51</v>
      </c>
      <c r="G7" s="4">
        <v>-20</v>
      </c>
      <c r="H7" s="4">
        <f t="shared" si="2"/>
        <v>-1306</v>
      </c>
      <c r="I7" s="4">
        <v>-31</v>
      </c>
      <c r="J7" s="4">
        <f t="shared" si="3"/>
        <v>-116</v>
      </c>
      <c r="K7" s="4">
        <v>-103</v>
      </c>
      <c r="L7" s="4">
        <f t="shared" si="4"/>
        <v>-249</v>
      </c>
      <c r="M7" s="4">
        <v>-5</v>
      </c>
      <c r="N7" s="4">
        <f t="shared" si="5"/>
        <v>-32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E7" s="4">
        <v>-56</v>
      </c>
      <c r="AF7" s="4">
        <v>-1326</v>
      </c>
      <c r="AG7" s="4">
        <v>-147</v>
      </c>
      <c r="AH7" s="4">
        <v>-352</v>
      </c>
      <c r="AI7" s="4">
        <v>-37</v>
      </c>
      <c r="AJ7" s="4"/>
      <c r="AK7" s="4"/>
      <c r="AL7" s="4"/>
      <c r="AM7" s="4"/>
      <c r="AN7" s="4"/>
      <c r="AO7" s="4"/>
      <c r="AU7" s="40">
        <v>0</v>
      </c>
    </row>
    <row r="8" spans="1:50" x14ac:dyDescent="0.3">
      <c r="A8" t="s">
        <v>88</v>
      </c>
      <c r="B8">
        <v>-85</v>
      </c>
      <c r="C8" s="4">
        <f t="shared" si="0"/>
        <v>-88</v>
      </c>
      <c r="D8" s="4">
        <v>-173</v>
      </c>
      <c r="E8" s="4">
        <v>32</v>
      </c>
      <c r="F8" s="4">
        <f t="shared" si="1"/>
        <v>-11</v>
      </c>
      <c r="G8" s="4">
        <v>-75</v>
      </c>
      <c r="H8" s="4">
        <f t="shared" si="2"/>
        <v>-181</v>
      </c>
      <c r="I8" s="4">
        <v>-85</v>
      </c>
      <c r="J8" s="4">
        <f t="shared" si="3"/>
        <v>-145</v>
      </c>
      <c r="K8" s="4">
        <v>-107</v>
      </c>
      <c r="L8" s="4">
        <f t="shared" si="4"/>
        <v>-119</v>
      </c>
      <c r="M8" s="4">
        <v>751</v>
      </c>
      <c r="N8" s="4">
        <f t="shared" si="5"/>
        <v>-64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E8" s="4">
        <v>21</v>
      </c>
      <c r="AF8" s="4">
        <v>-256</v>
      </c>
      <c r="AG8" s="4">
        <v>-230</v>
      </c>
      <c r="AH8" s="4">
        <v>-226</v>
      </c>
      <c r="AI8" s="4">
        <v>687</v>
      </c>
      <c r="AJ8" s="4"/>
      <c r="AK8" s="4"/>
      <c r="AL8" s="4"/>
      <c r="AM8" s="4"/>
      <c r="AN8" s="4"/>
      <c r="AO8" s="4"/>
      <c r="AU8" s="40">
        <v>0</v>
      </c>
    </row>
    <row r="9" spans="1:50" x14ac:dyDescent="0.3">
      <c r="A9" t="s">
        <v>89</v>
      </c>
      <c r="B9">
        <v>438</v>
      </c>
      <c r="C9" s="4">
        <f t="shared" si="0"/>
        <v>472</v>
      </c>
      <c r="D9" s="4">
        <v>910</v>
      </c>
      <c r="E9" s="4">
        <v>51</v>
      </c>
      <c r="F9" s="4">
        <f t="shared" si="1"/>
        <v>194</v>
      </c>
      <c r="G9" s="4">
        <v>440</v>
      </c>
      <c r="H9" s="4">
        <f t="shared" si="2"/>
        <v>359</v>
      </c>
      <c r="I9" s="4">
        <v>547</v>
      </c>
      <c r="J9" s="4">
        <f t="shared" si="3"/>
        <v>584</v>
      </c>
      <c r="K9" s="4">
        <v>89</v>
      </c>
      <c r="L9" s="4">
        <f t="shared" si="4"/>
        <v>32</v>
      </c>
      <c r="M9" s="4">
        <v>387</v>
      </c>
      <c r="N9" s="4">
        <f t="shared" si="5"/>
        <v>459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E9" s="4">
        <v>245</v>
      </c>
      <c r="AF9" s="4">
        <v>799</v>
      </c>
      <c r="AG9" s="4">
        <v>1131</v>
      </c>
      <c r="AH9" s="4">
        <v>121</v>
      </c>
      <c r="AI9" s="4">
        <v>846</v>
      </c>
      <c r="AJ9" s="4"/>
      <c r="AK9" s="4"/>
      <c r="AL9" s="4"/>
      <c r="AM9" s="4"/>
      <c r="AN9" s="4"/>
      <c r="AO9" s="4"/>
      <c r="AU9">
        <v>0</v>
      </c>
    </row>
    <row r="10" spans="1:50" x14ac:dyDescent="0.3">
      <c r="A10" t="s">
        <v>90</v>
      </c>
      <c r="B10">
        <v>182</v>
      </c>
      <c r="C10" s="4">
        <f t="shared" si="0"/>
        <v>58</v>
      </c>
      <c r="D10" s="4">
        <v>240</v>
      </c>
      <c r="E10" s="4">
        <v>85</v>
      </c>
      <c r="F10" s="4">
        <f t="shared" si="1"/>
        <v>146</v>
      </c>
      <c r="G10" s="4">
        <v>-9</v>
      </c>
      <c r="H10" s="4">
        <f t="shared" si="2"/>
        <v>39</v>
      </c>
      <c r="I10" s="4">
        <v>97</v>
      </c>
      <c r="J10" s="4">
        <f t="shared" si="3"/>
        <v>187</v>
      </c>
      <c r="K10" s="4">
        <v>316</v>
      </c>
      <c r="L10" s="4">
        <f t="shared" si="4"/>
        <v>221</v>
      </c>
      <c r="M10" s="4">
        <v>169</v>
      </c>
      <c r="N10" s="4">
        <f t="shared" si="5"/>
        <v>57</v>
      </c>
      <c r="O10" s="4">
        <f>'Balance Sheet'!O38-'Balance Sheet'!N38</f>
        <v>926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E10" s="4">
        <v>231</v>
      </c>
      <c r="AF10" s="4">
        <v>30</v>
      </c>
      <c r="AG10" s="4">
        <v>284</v>
      </c>
      <c r="AH10" s="4">
        <v>537</v>
      </c>
      <c r="AI10" s="4">
        <v>226</v>
      </c>
      <c r="AJ10" s="42">
        <f>'Balance Sheet'!AJ38-'Balance Sheet'!AI38+'Balance Sheet'!AJ40-'Balance Sheet'!AI40+'Balance Sheet'!AJ41-'Balance Sheet'!AI41+'Balance Sheet'!AJ42-'Balance Sheet'!AI42+'Balance Sheet'!AJ43-'Balance Sheet'!AI43+'Balance Sheet'!AI15-'Balance Sheet'!AJ15+'Balance Sheet'!AI16-'Balance Sheet'!AJ16+'Balance Sheet'!AI18-'Balance Sheet'!AJ18</f>
        <v>926</v>
      </c>
      <c r="AK10" s="39">
        <f>'Balance Sheet'!AK38-'Balance Sheet'!AJ38+'Balance Sheet'!AK40-'Balance Sheet'!AJ40+'Balance Sheet'!AK41-'Balance Sheet'!AJ41+'Balance Sheet'!AK42-'Balance Sheet'!AJ42+'Balance Sheet'!AK43-'Balance Sheet'!AJ43+'Balance Sheet'!AJ15-'Balance Sheet'!AK15+'Balance Sheet'!AJ16-'Balance Sheet'!AK16+'Balance Sheet'!AJ18-'Balance Sheet'!AK18</f>
        <v>0</v>
      </c>
      <c r="AL10" s="39">
        <f>'Balance Sheet'!AL38-'Balance Sheet'!AK38+'Balance Sheet'!AL40-'Balance Sheet'!AK40+'Balance Sheet'!AL41-'Balance Sheet'!AK41+'Balance Sheet'!AL42-'Balance Sheet'!AK42+'Balance Sheet'!AL43-'Balance Sheet'!AK43+'Balance Sheet'!AK15-'Balance Sheet'!AL15+'Balance Sheet'!AK16-'Balance Sheet'!AL16+'Balance Sheet'!AK18-'Balance Sheet'!AL18</f>
        <v>0</v>
      </c>
      <c r="AM10" s="39">
        <f>'Balance Sheet'!AM38-'Balance Sheet'!AL38+'Balance Sheet'!AM40-'Balance Sheet'!AL40+'Balance Sheet'!AM41-'Balance Sheet'!AL41+'Balance Sheet'!AM42-'Balance Sheet'!AL42+'Balance Sheet'!AM43-'Balance Sheet'!AL43+'Balance Sheet'!AL15-'Balance Sheet'!AM15+'Balance Sheet'!AL16-'Balance Sheet'!AM16+'Balance Sheet'!AL18-'Balance Sheet'!AM18</f>
        <v>0</v>
      </c>
      <c r="AN10" s="39">
        <f>'Balance Sheet'!AN38-'Balance Sheet'!AM38+'Balance Sheet'!AN40-'Balance Sheet'!AM40+'Balance Sheet'!AN41-'Balance Sheet'!AM41+'Balance Sheet'!AN42-'Balance Sheet'!AM42+'Balance Sheet'!AN43-'Balance Sheet'!AM43+'Balance Sheet'!AM15-'Balance Sheet'!AN15+'Balance Sheet'!AM16-'Balance Sheet'!AN16+'Balance Sheet'!AM18-'Balance Sheet'!AN18</f>
        <v>0</v>
      </c>
      <c r="AO10" s="39">
        <f>'Balance Sheet'!AO38-'Balance Sheet'!AN38+'Balance Sheet'!AO40-'Balance Sheet'!AN40+'Balance Sheet'!AO41-'Balance Sheet'!AN41+'Balance Sheet'!AO42-'Balance Sheet'!AN42+'Balance Sheet'!AO43-'Balance Sheet'!AN43+'Balance Sheet'!AN15-'Balance Sheet'!AO15+'Balance Sheet'!AN16-'Balance Sheet'!AO16+'Balance Sheet'!AN18-'Balance Sheet'!AO18</f>
        <v>0</v>
      </c>
      <c r="AU10">
        <v>0</v>
      </c>
    </row>
    <row r="11" spans="1:50" x14ac:dyDescent="0.3">
      <c r="A11" s="3" t="s">
        <v>91</v>
      </c>
      <c r="B11" s="3">
        <f>B3+SUM(B5:B10)</f>
        <v>2633</v>
      </c>
      <c r="C11" s="5">
        <f t="shared" ref="C11:Z11" si="6">C3+SUM(C5:C10)</f>
        <v>3036</v>
      </c>
      <c r="D11" s="5">
        <f t="shared" si="6"/>
        <v>5669</v>
      </c>
      <c r="E11" s="5">
        <f t="shared" si="6"/>
        <v>1577</v>
      </c>
      <c r="F11" s="5">
        <f t="shared" si="6"/>
        <v>2097</v>
      </c>
      <c r="G11" s="5">
        <f t="shared" si="6"/>
        <v>2577</v>
      </c>
      <c r="H11" s="5">
        <f t="shared" si="6"/>
        <v>2577</v>
      </c>
      <c r="I11" s="5">
        <f t="shared" si="6"/>
        <v>3100</v>
      </c>
      <c r="J11" s="5">
        <f t="shared" si="6"/>
        <v>3247</v>
      </c>
      <c r="K11" s="5">
        <f t="shared" si="6"/>
        <v>2875</v>
      </c>
      <c r="L11" s="5">
        <f t="shared" si="6"/>
        <v>3252</v>
      </c>
      <c r="M11" s="5">
        <f t="shared" si="6"/>
        <v>2916</v>
      </c>
      <c r="N11" s="5">
        <f t="shared" si="6"/>
        <v>2776.2188199999996</v>
      </c>
      <c r="O11" s="5">
        <f t="shared" si="6"/>
        <v>3696.1421821294748</v>
      </c>
      <c r="P11" s="5">
        <f t="shared" si="6"/>
        <v>2311.0372125658341</v>
      </c>
      <c r="Q11" s="5">
        <f t="shared" si="6"/>
        <v>2947.8640381723744</v>
      </c>
      <c r="R11" s="5">
        <f t="shared" si="6"/>
        <v>2593.8225762820621</v>
      </c>
      <c r="S11" s="5">
        <f t="shared" si="6"/>
        <v>3188.9385739241097</v>
      </c>
      <c r="T11" s="5">
        <f t="shared" si="6"/>
        <v>2898.3965023665905</v>
      </c>
      <c r="U11" s="5">
        <f t="shared" si="6"/>
        <v>3497.6769537202799</v>
      </c>
      <c r="V11" s="5">
        <f t="shared" si="6"/>
        <v>3232.2186451439329</v>
      </c>
      <c r="W11" s="5">
        <f t="shared" si="6"/>
        <v>3881.8152843417993</v>
      </c>
      <c r="X11" s="5">
        <f t="shared" si="6"/>
        <v>3603.2164220224167</v>
      </c>
      <c r="Y11" s="5">
        <f t="shared" si="6"/>
        <v>4352.4458269194492</v>
      </c>
      <c r="Z11" s="5">
        <f t="shared" si="6"/>
        <v>4020.1920884668639</v>
      </c>
      <c r="AE11" s="5">
        <f t="shared" ref="AE11:AH11" si="7">AE3+SUM(AE5:AE10)</f>
        <v>3674</v>
      </c>
      <c r="AF11" s="5">
        <f t="shared" si="7"/>
        <v>5154</v>
      </c>
      <c r="AG11" s="5">
        <f t="shared" si="7"/>
        <v>6347</v>
      </c>
      <c r="AH11" s="5">
        <f t="shared" si="7"/>
        <v>6127</v>
      </c>
      <c r="AI11" s="5">
        <f t="shared" ref="AI11" si="8">AI3+SUM(AI5:AI10)</f>
        <v>6058</v>
      </c>
      <c r="AJ11" s="5">
        <f t="shared" ref="AJ11:AO11" si="9">AJ3+SUM(AJ5:AJ10)</f>
        <v>6007.1793946953094</v>
      </c>
      <c r="AK11" s="5">
        <f t="shared" si="9"/>
        <v>5541.6866144544329</v>
      </c>
      <c r="AL11" s="5">
        <f t="shared" si="9"/>
        <v>6087.3350762907003</v>
      </c>
      <c r="AM11" s="5">
        <f t="shared" si="9"/>
        <v>6729.8955988642174</v>
      </c>
      <c r="AN11" s="5">
        <f t="shared" si="9"/>
        <v>7485.0317063642142</v>
      </c>
      <c r="AO11" s="5">
        <f t="shared" si="9"/>
        <v>8372.6379153863054</v>
      </c>
      <c r="AU11" s="40">
        <v>0</v>
      </c>
    </row>
    <row r="12" spans="1:50" x14ac:dyDescent="0.3">
      <c r="A12" t="s">
        <v>92</v>
      </c>
      <c r="B12">
        <v>-332</v>
      </c>
      <c r="C12" s="4">
        <f t="shared" si="0"/>
        <v>75</v>
      </c>
      <c r="D12" s="4">
        <v>-257</v>
      </c>
      <c r="E12" s="4">
        <v>-155</v>
      </c>
      <c r="F12" s="4">
        <f>AE12-E12</f>
        <v>137</v>
      </c>
      <c r="G12" s="4">
        <v>-330</v>
      </c>
      <c r="H12" s="4">
        <f>AF12-G12</f>
        <v>22</v>
      </c>
      <c r="I12" s="4">
        <v>-611</v>
      </c>
      <c r="J12" s="4">
        <f>AG12-I12</f>
        <v>-182</v>
      </c>
      <c r="K12" s="4">
        <v>-611</v>
      </c>
      <c r="L12" s="4">
        <f>AH12-K12</f>
        <v>607</v>
      </c>
      <c r="M12" s="4">
        <v>-220</v>
      </c>
      <c r="N12" s="4">
        <f>AI12-M12</f>
        <v>181</v>
      </c>
      <c r="O12" s="4">
        <f>'Balance Sheet'!N13-'Balance Sheet'!O13</f>
        <v>-188.91086324661228</v>
      </c>
      <c r="P12" s="4">
        <f>AJ12-O12</f>
        <v>-567.490763892627</v>
      </c>
      <c r="Q12" s="42">
        <f>'Balance Sheet'!P13-'Balance Sheet'!Q13</f>
        <v>761.54626317923839</v>
      </c>
      <c r="R12" s="4">
        <f>AK12-Q12</f>
        <v>-1178.0494786310369</v>
      </c>
      <c r="S12" s="4">
        <f>'Balance Sheet'!R13-'Balance Sheet'!S13</f>
        <v>988.39052526088608</v>
      </c>
      <c r="T12" s="4">
        <f>AL12-S12</f>
        <v>-1485.9576761261519</v>
      </c>
      <c r="U12" s="4">
        <f>'Balance Sheet'!T13-'Balance Sheet'!U13</f>
        <v>1204.6743604540302</v>
      </c>
      <c r="V12" s="4">
        <f>AM12-U12</f>
        <v>-1778.1949399765012</v>
      </c>
      <c r="W12" s="4">
        <f>'Balance Sheet'!V13-'Balance Sheet'!W13</f>
        <v>1402.3330218620122</v>
      </c>
      <c r="X12" s="4">
        <f>AN12-W12</f>
        <v>-2114.273914971147</v>
      </c>
      <c r="Y12" s="4">
        <f>'Balance Sheet'!X13-'Balance Sheet'!Y13</f>
        <v>1634.798888160838</v>
      </c>
      <c r="Z12" s="4">
        <f>AO12-Y12</f>
        <v>-2456.1485098399271</v>
      </c>
      <c r="AE12" s="4">
        <v>-18</v>
      </c>
      <c r="AF12" s="4">
        <v>-308</v>
      </c>
      <c r="AG12" s="4">
        <v>-793</v>
      </c>
      <c r="AH12" s="4">
        <v>-4</v>
      </c>
      <c r="AI12" s="4">
        <v>-39</v>
      </c>
      <c r="AJ12" s="42">
        <f>'Balance Sheet'!AI13-'Balance Sheet'!AJ13</f>
        <v>-756.40162713923928</v>
      </c>
      <c r="AK12" s="42">
        <f>'Balance Sheet'!AJ13-'Balance Sheet'!AK13</f>
        <v>-416.5032154517985</v>
      </c>
      <c r="AL12" s="42">
        <f>'Balance Sheet'!AK13-'Balance Sheet'!AL13</f>
        <v>-497.56715086526583</v>
      </c>
      <c r="AM12" s="42">
        <f>'Balance Sheet'!AL13-'Balance Sheet'!AM13</f>
        <v>-573.52057952247105</v>
      </c>
      <c r="AN12" s="42">
        <f>'Balance Sheet'!AM13-'Balance Sheet'!AN13</f>
        <v>-711.94089310913478</v>
      </c>
      <c r="AO12" s="42">
        <f>'Balance Sheet'!AN13-'Balance Sheet'!AO13</f>
        <v>-821.34962167908907</v>
      </c>
      <c r="AU12" s="40"/>
    </row>
    <row r="13" spans="1:50" x14ac:dyDescent="0.3">
      <c r="A13" t="s">
        <v>93</v>
      </c>
      <c r="B13">
        <v>-769</v>
      </c>
      <c r="C13" s="4">
        <f t="shared" si="0"/>
        <v>524</v>
      </c>
      <c r="D13" s="4">
        <v>-245</v>
      </c>
      <c r="E13" s="4">
        <v>7</v>
      </c>
      <c r="F13" s="4">
        <f>AE13-E13</f>
        <v>1117</v>
      </c>
      <c r="G13" s="4">
        <v>-1167</v>
      </c>
      <c r="H13" s="4">
        <f>AF13-G13</f>
        <v>470</v>
      </c>
      <c r="I13" s="4">
        <v>-1150</v>
      </c>
      <c r="J13" s="4">
        <f>AG13-I13</f>
        <v>482</v>
      </c>
      <c r="K13" s="4">
        <v>-869</v>
      </c>
      <c r="L13" s="4">
        <f>AH13-K13</f>
        <v>827</v>
      </c>
      <c r="M13" s="4">
        <v>-469</v>
      </c>
      <c r="N13" s="4">
        <f>AI13-M13</f>
        <v>816</v>
      </c>
      <c r="O13" s="4">
        <f>'Balance Sheet'!N14-'Balance Sheet'!O14</f>
        <v>-484.83300796418916</v>
      </c>
      <c r="P13" s="4">
        <f>AJ13-O13</f>
        <v>-765.4491115230021</v>
      </c>
      <c r="Q13" s="42">
        <f>'Balance Sheet'!P14-'Balance Sheet'!Q14</f>
        <v>1027.197176806395</v>
      </c>
      <c r="R13" s="4">
        <f>AK13-Q13</f>
        <v>-1588.989608505557</v>
      </c>
      <c r="S13" s="4">
        <f>'Balance Sheet'!R14-'Balance Sheet'!S14</f>
        <v>1333.1717404687961</v>
      </c>
      <c r="T13" s="4">
        <f>AL13-S13</f>
        <v>-2004.3057179460247</v>
      </c>
      <c r="U13" s="4">
        <f>'Balance Sheet'!T14-'Balance Sheet'!U14</f>
        <v>1624.9020733992957</v>
      </c>
      <c r="V13" s="4">
        <f>AM13-U13</f>
        <v>-2398.4843869234237</v>
      </c>
      <c r="W13" s="4">
        <f>'Balance Sheet'!V14-'Balance Sheet'!W14</f>
        <v>1891.5101953037993</v>
      </c>
      <c r="X13" s="4">
        <f>AN13-W13</f>
        <v>-2851.7981132061768</v>
      </c>
      <c r="Y13" s="4">
        <f>'Balance Sheet'!X14-'Balance Sheet'!Y14</f>
        <v>2205.0673527759318</v>
      </c>
      <c r="Z13" s="4">
        <f>AO13-Y13</f>
        <v>-3312.9291510041894</v>
      </c>
      <c r="AE13" s="4">
        <v>1124</v>
      </c>
      <c r="AF13" s="4">
        <v>-697</v>
      </c>
      <c r="AG13" s="4">
        <v>-668</v>
      </c>
      <c r="AH13" s="4">
        <v>-42</v>
      </c>
      <c r="AI13" s="4">
        <v>347</v>
      </c>
      <c r="AJ13" s="42">
        <f>'Balance Sheet'!AI14-'Balance Sheet'!AJ14</f>
        <v>-1250.2821194871913</v>
      </c>
      <c r="AK13" s="42">
        <f>'Balance Sheet'!AJ14-'Balance Sheet'!AK14</f>
        <v>-561.79243169916208</v>
      </c>
      <c r="AL13" s="42">
        <f>'Balance Sheet'!AK14-'Balance Sheet'!AL14</f>
        <v>-671.13397747722865</v>
      </c>
      <c r="AM13" s="42">
        <f>'Balance Sheet'!AL14-'Balance Sheet'!AM14</f>
        <v>-773.58231352412804</v>
      </c>
      <c r="AN13" s="42">
        <f>'Balance Sheet'!AM14-'Balance Sheet'!AN14</f>
        <v>-960.28791790237756</v>
      </c>
      <c r="AO13" s="42">
        <f>'Balance Sheet'!AN14-'Balance Sheet'!AO14</f>
        <v>-1107.8617982282576</v>
      </c>
      <c r="AU13" s="40"/>
    </row>
    <row r="14" spans="1:50" x14ac:dyDescent="0.3">
      <c r="A14" t="s">
        <v>94</v>
      </c>
      <c r="B14">
        <v>818</v>
      </c>
      <c r="C14" s="4">
        <f t="shared" si="0"/>
        <v>-308</v>
      </c>
      <c r="D14" s="4">
        <v>510</v>
      </c>
      <c r="E14" s="4">
        <v>-548</v>
      </c>
      <c r="F14" s="4">
        <f>AE14-E14</f>
        <v>-211</v>
      </c>
      <c r="G14" s="4">
        <v>1185</v>
      </c>
      <c r="H14" s="4">
        <f>AF14-G14</f>
        <v>83</v>
      </c>
      <c r="I14" s="4">
        <v>1545</v>
      </c>
      <c r="J14" s="4">
        <f>AG14-I14</f>
        <v>-564</v>
      </c>
      <c r="K14" s="4">
        <v>470</v>
      </c>
      <c r="L14" s="4">
        <f>AH14-K14</f>
        <v>-570</v>
      </c>
      <c r="M14" s="4">
        <v>437</v>
      </c>
      <c r="N14" s="4">
        <f>AI14-M14</f>
        <v>106</v>
      </c>
      <c r="O14" s="4">
        <f>'Balance Sheet'!O39-'Balance Sheet'!N39</f>
        <v>-378.83384516472688</v>
      </c>
      <c r="P14" s="4">
        <f>AJ14-O14</f>
        <v>1438.476991409636</v>
      </c>
      <c r="Q14" s="42">
        <f>'Balance Sheet'!Q39-'Balance Sheet'!P39</f>
        <v>-1930.3693507945663</v>
      </c>
      <c r="R14" s="4">
        <f>AK14-Q14</f>
        <v>2986.1227311066777</v>
      </c>
      <c r="S14" s="4">
        <f>'Balance Sheet'!S39-'Balance Sheet'!R39</f>
        <v>-2505.3747471810475</v>
      </c>
      <c r="T14" s="4">
        <f>AL14-S14</f>
        <v>3766.6091914060362</v>
      </c>
      <c r="U14" s="4">
        <f>'Balance Sheet'!U39-'Balance Sheet'!T39</f>
        <v>-3053.6115473803857</v>
      </c>
      <c r="V14" s="4">
        <f>AM14-U14</f>
        <v>4507.3729303569926</v>
      </c>
      <c r="W14" s="4">
        <f>'Balance Sheet'!W39-'Balance Sheet'!V39</f>
        <v>-3554.6372110192151</v>
      </c>
      <c r="X14" s="4">
        <f>AN14-W14</f>
        <v>5359.2667471131008</v>
      </c>
      <c r="Y14" s="4">
        <f>'Balance Sheet'!Y39-'Balance Sheet'!X39</f>
        <v>-4143.8922636745556</v>
      </c>
      <c r="Z14" s="4">
        <f>AO14-Y14</f>
        <v>6225.8513154555731</v>
      </c>
      <c r="AE14" s="4">
        <v>-759</v>
      </c>
      <c r="AF14" s="4">
        <v>1268</v>
      </c>
      <c r="AG14" s="4">
        <v>981</v>
      </c>
      <c r="AH14" s="4">
        <v>-100</v>
      </c>
      <c r="AI14" s="4">
        <v>543</v>
      </c>
      <c r="AJ14" s="42">
        <f>'Balance Sheet'!AJ39-'Balance Sheet'!AI39</f>
        <v>1059.6431462449091</v>
      </c>
      <c r="AK14" s="42">
        <f>'Balance Sheet'!AK39-'Balance Sheet'!AJ39</f>
        <v>1055.7533803121114</v>
      </c>
      <c r="AL14" s="42">
        <f>'Balance Sheet'!AL39-'Balance Sheet'!AK39</f>
        <v>1261.2344442249887</v>
      </c>
      <c r="AM14" s="42">
        <f>'Balance Sheet'!AM39-'Balance Sheet'!AL39</f>
        <v>1453.7613829766069</v>
      </c>
      <c r="AN14" s="42">
        <f>'Balance Sheet'!AN39-'Balance Sheet'!AM39</f>
        <v>1804.6295360938857</v>
      </c>
      <c r="AO14" s="42">
        <f>'Balance Sheet'!AO39-'Balance Sheet'!AN39</f>
        <v>2081.9590517810175</v>
      </c>
      <c r="AU14" s="40"/>
    </row>
    <row r="15" spans="1:50" x14ac:dyDescent="0.3">
      <c r="A15" s="3" t="s">
        <v>95</v>
      </c>
      <c r="B15" s="3">
        <f>SUM(B12:B14)</f>
        <v>-283</v>
      </c>
      <c r="C15" s="5">
        <f t="shared" ref="C15:Z15" si="10">SUM(C12:C14)</f>
        <v>291</v>
      </c>
      <c r="D15" s="5">
        <f t="shared" si="10"/>
        <v>8</v>
      </c>
      <c r="E15" s="5">
        <f t="shared" si="10"/>
        <v>-696</v>
      </c>
      <c r="F15" s="5">
        <f t="shared" si="10"/>
        <v>1043</v>
      </c>
      <c r="G15" s="5">
        <f t="shared" si="10"/>
        <v>-312</v>
      </c>
      <c r="H15" s="5">
        <f t="shared" si="10"/>
        <v>575</v>
      </c>
      <c r="I15" s="5">
        <f t="shared" si="10"/>
        <v>-216</v>
      </c>
      <c r="J15" s="5">
        <f t="shared" si="10"/>
        <v>-264</v>
      </c>
      <c r="K15" s="5">
        <f t="shared" si="10"/>
        <v>-1010</v>
      </c>
      <c r="L15" s="5">
        <f t="shared" si="10"/>
        <v>864</v>
      </c>
      <c r="M15" s="5">
        <f t="shared" si="10"/>
        <v>-252</v>
      </c>
      <c r="N15" s="5">
        <f t="shared" si="10"/>
        <v>1103</v>
      </c>
      <c r="O15" s="5">
        <f t="shared" si="10"/>
        <v>-1052.5777163755283</v>
      </c>
      <c r="P15" s="5">
        <f t="shared" si="10"/>
        <v>105.53711599400685</v>
      </c>
      <c r="Q15" s="5">
        <f t="shared" si="10"/>
        <v>-141.62591080893299</v>
      </c>
      <c r="R15" s="5">
        <f t="shared" si="10"/>
        <v>219.08364397008381</v>
      </c>
      <c r="S15" s="5">
        <f t="shared" si="10"/>
        <v>-183.81248145136533</v>
      </c>
      <c r="T15" s="5">
        <f t="shared" si="10"/>
        <v>276.34579733385954</v>
      </c>
      <c r="U15" s="5">
        <f t="shared" si="10"/>
        <v>-224.03511352705982</v>
      </c>
      <c r="V15" s="5">
        <f t="shared" si="10"/>
        <v>330.69360345706809</v>
      </c>
      <c r="W15" s="5">
        <f t="shared" si="10"/>
        <v>-260.79399385340366</v>
      </c>
      <c r="X15" s="5">
        <f t="shared" si="10"/>
        <v>393.19471893577702</v>
      </c>
      <c r="Y15" s="5">
        <f t="shared" si="10"/>
        <v>-304.02602273778575</v>
      </c>
      <c r="Z15" s="5">
        <f t="shared" si="10"/>
        <v>456.77365461145655</v>
      </c>
      <c r="AE15" s="5">
        <f t="shared" ref="AE15:AH15" si="11">SUM(AE12:AE14)</f>
        <v>347</v>
      </c>
      <c r="AF15" s="5">
        <f t="shared" si="11"/>
        <v>263</v>
      </c>
      <c r="AG15" s="5">
        <f t="shared" si="11"/>
        <v>-480</v>
      </c>
      <c r="AH15" s="5">
        <f t="shared" si="11"/>
        <v>-146</v>
      </c>
      <c r="AI15" s="5">
        <f t="shared" ref="AI15" si="12">SUM(AI12:AI14)</f>
        <v>851</v>
      </c>
      <c r="AJ15" s="5">
        <f t="shared" ref="AJ15:AO15" si="13">SUM(AJ12:AJ14)</f>
        <v>-947.04060038152147</v>
      </c>
      <c r="AK15" s="5">
        <f t="shared" si="13"/>
        <v>77.457733161150827</v>
      </c>
      <c r="AL15" s="5">
        <f t="shared" si="13"/>
        <v>92.533315882494207</v>
      </c>
      <c r="AM15" s="5">
        <f t="shared" si="13"/>
        <v>106.65848993000782</v>
      </c>
      <c r="AN15" s="5">
        <f t="shared" si="13"/>
        <v>132.40072508237336</v>
      </c>
      <c r="AO15" s="5">
        <f t="shared" si="13"/>
        <v>152.7476318736708</v>
      </c>
    </row>
    <row r="16" spans="1:50" x14ac:dyDescent="0.3">
      <c r="A16" t="s">
        <v>96</v>
      </c>
      <c r="B16">
        <v>-98</v>
      </c>
      <c r="C16" s="4">
        <f t="shared" si="0"/>
        <v>-23</v>
      </c>
      <c r="D16" s="4">
        <v>-121</v>
      </c>
      <c r="E16" s="4">
        <v>3</v>
      </c>
      <c r="F16" s="4">
        <f>AE16-E16</f>
        <v>208</v>
      </c>
      <c r="G16" s="4">
        <v>-148</v>
      </c>
      <c r="H16" s="4">
        <f>AF16-G16</f>
        <v>-142</v>
      </c>
      <c r="I16" s="4">
        <v>-100</v>
      </c>
      <c r="J16" s="4">
        <f>AG16-I16</f>
        <v>-107</v>
      </c>
      <c r="K16" s="4">
        <v>-30</v>
      </c>
      <c r="L16" s="4">
        <f>AH16-K16</f>
        <v>-2</v>
      </c>
      <c r="M16" s="4">
        <v>22</v>
      </c>
      <c r="N16" s="4">
        <f>AI16-M16</f>
        <v>-28</v>
      </c>
      <c r="O16" s="4"/>
      <c r="P16" s="4">
        <f>AJ16-O16</f>
        <v>0</v>
      </c>
      <c r="Q16" s="4"/>
      <c r="R16" s="4">
        <f>AK16-Q16</f>
        <v>0</v>
      </c>
      <c r="S16" s="4"/>
      <c r="T16" s="4">
        <f>AL16-S16</f>
        <v>0</v>
      </c>
      <c r="U16" s="4"/>
      <c r="V16" s="4">
        <f>AM16-U16</f>
        <v>0</v>
      </c>
      <c r="W16" s="4"/>
      <c r="X16" s="4">
        <f>AN16-W16</f>
        <v>0</v>
      </c>
      <c r="Y16" s="4"/>
      <c r="Z16" s="4">
        <f>AO16-Y16</f>
        <v>0</v>
      </c>
      <c r="AE16" s="4">
        <v>211</v>
      </c>
      <c r="AF16" s="4">
        <v>-290</v>
      </c>
      <c r="AG16" s="4">
        <v>-207</v>
      </c>
      <c r="AH16" s="4">
        <v>-32</v>
      </c>
      <c r="AI16" s="4">
        <v>-6</v>
      </c>
      <c r="AJ16" s="4"/>
      <c r="AK16" s="4"/>
      <c r="AL16" s="4"/>
      <c r="AM16" s="4"/>
      <c r="AN16" s="4"/>
      <c r="AO16" s="4"/>
      <c r="AU16" s="40">
        <v>0</v>
      </c>
    </row>
    <row r="17" spans="1:47" x14ac:dyDescent="0.3">
      <c r="A17" s="3" t="s">
        <v>97</v>
      </c>
      <c r="B17" s="3">
        <f>B11+B15+B16</f>
        <v>2252</v>
      </c>
      <c r="C17" s="5">
        <f t="shared" ref="C17:Z17" si="14">C11+C15+C16</f>
        <v>3304</v>
      </c>
      <c r="D17" s="5">
        <f t="shared" si="14"/>
        <v>5556</v>
      </c>
      <c r="E17" s="5">
        <f t="shared" si="14"/>
        <v>884</v>
      </c>
      <c r="F17" s="5">
        <f t="shared" si="14"/>
        <v>3348</v>
      </c>
      <c r="G17" s="5">
        <f t="shared" si="14"/>
        <v>2117</v>
      </c>
      <c r="H17" s="5">
        <f t="shared" si="14"/>
        <v>3010</v>
      </c>
      <c r="I17" s="5">
        <f t="shared" si="14"/>
        <v>2784</v>
      </c>
      <c r="J17" s="5">
        <f t="shared" si="14"/>
        <v>2876</v>
      </c>
      <c r="K17" s="5">
        <f t="shared" si="14"/>
        <v>1835</v>
      </c>
      <c r="L17" s="5">
        <f t="shared" si="14"/>
        <v>4114</v>
      </c>
      <c r="M17" s="5">
        <f t="shared" si="14"/>
        <v>2686</v>
      </c>
      <c r="N17" s="5">
        <f t="shared" si="14"/>
        <v>3851.2188199999996</v>
      </c>
      <c r="O17" s="5">
        <f t="shared" si="14"/>
        <v>2643.5644657539465</v>
      </c>
      <c r="P17" s="5">
        <f t="shared" si="14"/>
        <v>2416.574328559841</v>
      </c>
      <c r="Q17" s="5">
        <f t="shared" si="14"/>
        <v>2806.2381273634414</v>
      </c>
      <c r="R17" s="5">
        <f t="shared" si="14"/>
        <v>2812.9062202521459</v>
      </c>
      <c r="S17" s="5">
        <f t="shared" si="14"/>
        <v>3005.1260924727444</v>
      </c>
      <c r="T17" s="5">
        <f t="shared" si="14"/>
        <v>3174.7422997004501</v>
      </c>
      <c r="U17" s="5">
        <f t="shared" si="14"/>
        <v>3273.6418401932201</v>
      </c>
      <c r="V17" s="5">
        <f t="shared" si="14"/>
        <v>3562.912248601001</v>
      </c>
      <c r="W17" s="5">
        <f t="shared" si="14"/>
        <v>3621.0212904883956</v>
      </c>
      <c r="X17" s="5">
        <f t="shared" si="14"/>
        <v>3996.4111409581938</v>
      </c>
      <c r="Y17" s="5">
        <f t="shared" si="14"/>
        <v>4048.4198041816635</v>
      </c>
      <c r="Z17" s="5">
        <f t="shared" si="14"/>
        <v>4476.9657430783209</v>
      </c>
      <c r="AE17" s="5">
        <f t="shared" ref="AE17:AH17" si="15">AE11+AE15+AE16</f>
        <v>4232</v>
      </c>
      <c r="AF17" s="5">
        <f t="shared" si="15"/>
        <v>5127</v>
      </c>
      <c r="AG17" s="5">
        <f t="shared" si="15"/>
        <v>5660</v>
      </c>
      <c r="AH17" s="5">
        <f t="shared" si="15"/>
        <v>5949</v>
      </c>
      <c r="AI17" s="5">
        <f t="shared" ref="AI17" si="16">AI11+AI15+AI16</f>
        <v>6903</v>
      </c>
      <c r="AJ17" s="5">
        <f t="shared" ref="AJ17:AO17" si="17">AJ11+AJ15+AJ16</f>
        <v>5060.1387943137879</v>
      </c>
      <c r="AK17" s="5">
        <f t="shared" si="17"/>
        <v>5619.1443476155837</v>
      </c>
      <c r="AL17" s="5">
        <f t="shared" si="17"/>
        <v>6179.8683921731945</v>
      </c>
      <c r="AM17" s="5">
        <f t="shared" si="17"/>
        <v>6836.5540887942252</v>
      </c>
      <c r="AN17" s="5">
        <f t="shared" si="17"/>
        <v>7617.4324314465875</v>
      </c>
      <c r="AO17" s="5">
        <f t="shared" si="17"/>
        <v>8525.3855472599753</v>
      </c>
      <c r="AU17">
        <v>0</v>
      </c>
    </row>
    <row r="18" spans="1:47" x14ac:dyDescent="0.3">
      <c r="A18" t="s">
        <v>98</v>
      </c>
      <c r="B18">
        <v>-256</v>
      </c>
      <c r="C18" s="4">
        <f t="shared" si="0"/>
        <v>-272</v>
      </c>
      <c r="D18" s="4">
        <v>-528</v>
      </c>
      <c r="E18" s="4">
        <v>-244</v>
      </c>
      <c r="F18" s="4">
        <f>AE18-E18</f>
        <v>-237</v>
      </c>
      <c r="G18" s="4">
        <v>-271</v>
      </c>
      <c r="H18" s="4">
        <f>AF18-G18</f>
        <v>-185</v>
      </c>
      <c r="I18" s="4">
        <v>-236</v>
      </c>
      <c r="J18" s="4">
        <f>AG18-I18</f>
        <v>-203</v>
      </c>
      <c r="K18" s="4">
        <v>-298</v>
      </c>
      <c r="L18" s="4">
        <f>AH18-K18</f>
        <v>-326</v>
      </c>
      <c r="M18" s="4">
        <v>-349</v>
      </c>
      <c r="N18" s="4">
        <f>AI18-M18</f>
        <v>-319</v>
      </c>
      <c r="O18" s="4"/>
      <c r="P18" s="4">
        <f>AJ18-O18</f>
        <v>0</v>
      </c>
      <c r="Q18" s="4"/>
      <c r="R18" s="4">
        <f>AK18-Q18</f>
        <v>0</v>
      </c>
      <c r="S18" s="4"/>
      <c r="T18" s="4">
        <f>AL18-S18</f>
        <v>0</v>
      </c>
      <c r="U18" s="4"/>
      <c r="V18" s="4">
        <f>AM18-U18</f>
        <v>0</v>
      </c>
      <c r="W18" s="4"/>
      <c r="X18" s="4">
        <f>AN18-W18</f>
        <v>0</v>
      </c>
      <c r="Y18" s="4"/>
      <c r="Z18" s="4">
        <f>AO18-Y18</f>
        <v>0</v>
      </c>
      <c r="AE18" s="4">
        <v>-481</v>
      </c>
      <c r="AF18" s="4">
        <v>-456</v>
      </c>
      <c r="AG18" s="4">
        <v>-439</v>
      </c>
      <c r="AH18" s="4">
        <v>-624</v>
      </c>
      <c r="AI18" s="4">
        <v>-668</v>
      </c>
      <c r="AJ18" s="4"/>
      <c r="AK18" s="4"/>
      <c r="AL18" s="4"/>
      <c r="AM18" s="4"/>
      <c r="AN18" s="4"/>
      <c r="AO18" s="4"/>
      <c r="AU18">
        <v>-1898.1709785042267</v>
      </c>
    </row>
    <row r="19" spans="1:47" x14ac:dyDescent="0.3">
      <c r="A19" t="s">
        <v>99</v>
      </c>
      <c r="B19">
        <v>31</v>
      </c>
      <c r="C19" s="4">
        <f t="shared" si="0"/>
        <v>21</v>
      </c>
      <c r="D19" s="4">
        <v>52</v>
      </c>
      <c r="E19" s="4">
        <v>27</v>
      </c>
      <c r="F19" s="4">
        <f>AE19-E19</f>
        <v>18</v>
      </c>
      <c r="G19" s="4">
        <v>22</v>
      </c>
      <c r="H19" s="4">
        <f>AF19-G19</f>
        <v>21</v>
      </c>
      <c r="I19" s="4">
        <v>17</v>
      </c>
      <c r="J19" s="4">
        <f>AG19-I19</f>
        <v>29</v>
      </c>
      <c r="K19" s="4">
        <v>51</v>
      </c>
      <c r="L19" s="4">
        <f>AH19-K19</f>
        <v>67</v>
      </c>
      <c r="M19" s="4">
        <v>51</v>
      </c>
      <c r="N19" s="4">
        <f>AI19-M19</f>
        <v>69</v>
      </c>
      <c r="O19" s="4"/>
      <c r="P19" s="4">
        <f>AJ19-O19</f>
        <v>0</v>
      </c>
      <c r="Q19" s="4"/>
      <c r="R19" s="4">
        <f>AK19-Q19</f>
        <v>0</v>
      </c>
      <c r="S19" s="4"/>
      <c r="T19" s="4">
        <f>AL19-S19</f>
        <v>0</v>
      </c>
      <c r="U19" s="4"/>
      <c r="V19" s="4">
        <f>AM19-U19</f>
        <v>0</v>
      </c>
      <c r="W19" s="4"/>
      <c r="X19" s="4">
        <f>AN19-W19</f>
        <v>0</v>
      </c>
      <c r="Y19" s="4"/>
      <c r="Z19" s="4">
        <f>AO19-Y19</f>
        <v>0</v>
      </c>
      <c r="AE19" s="4">
        <v>45</v>
      </c>
      <c r="AF19" s="4">
        <v>43</v>
      </c>
      <c r="AG19" s="4">
        <v>46</v>
      </c>
      <c r="AH19" s="4">
        <v>118</v>
      </c>
      <c r="AI19" s="4">
        <v>120</v>
      </c>
      <c r="AJ19" s="4"/>
      <c r="AK19" s="4"/>
      <c r="AL19" s="4"/>
      <c r="AM19" s="4"/>
      <c r="AN19" s="4"/>
      <c r="AO19" s="4"/>
      <c r="AU19">
        <v>0</v>
      </c>
    </row>
    <row r="20" spans="1:47" x14ac:dyDescent="0.3">
      <c r="A20" t="s">
        <v>100</v>
      </c>
      <c r="B20">
        <v>111</v>
      </c>
      <c r="C20" s="4">
        <f t="shared" si="0"/>
        <v>70</v>
      </c>
      <c r="D20" s="4">
        <v>181</v>
      </c>
      <c r="E20" s="4">
        <v>50</v>
      </c>
      <c r="F20" s="4">
        <f>AE20-E20</f>
        <v>39</v>
      </c>
      <c r="G20" s="4">
        <v>37</v>
      </c>
      <c r="H20" s="4">
        <f>AF20-G20</f>
        <v>147</v>
      </c>
      <c r="I20" s="4">
        <v>60</v>
      </c>
      <c r="J20" s="4">
        <f>AG20-I20</f>
        <v>117</v>
      </c>
      <c r="K20" s="4">
        <v>51</v>
      </c>
      <c r="L20" s="4">
        <f>AH20-K20</f>
        <v>96</v>
      </c>
      <c r="M20" s="4">
        <v>58</v>
      </c>
      <c r="N20" s="4">
        <f>AI20-M20</f>
        <v>141</v>
      </c>
      <c r="O20" s="4"/>
      <c r="P20" s="4">
        <f>AJ20-O20</f>
        <v>0</v>
      </c>
      <c r="Q20" s="4"/>
      <c r="R20" s="4">
        <f>AK20-Q20</f>
        <v>0</v>
      </c>
      <c r="S20" s="4"/>
      <c r="T20" s="4">
        <f>AL20-S20</f>
        <v>0</v>
      </c>
      <c r="U20" s="4"/>
      <c r="V20" s="4">
        <f>AM20-U20</f>
        <v>0</v>
      </c>
      <c r="W20" s="4"/>
      <c r="X20" s="4">
        <f>AN20-W20</f>
        <v>0</v>
      </c>
      <c r="Y20" s="4"/>
      <c r="Z20" s="4">
        <f>AO20-Y20</f>
        <v>0</v>
      </c>
      <c r="AE20" s="4">
        <v>89</v>
      </c>
      <c r="AF20" s="4">
        <v>184</v>
      </c>
      <c r="AG20" s="4">
        <v>177</v>
      </c>
      <c r="AH20" s="4">
        <v>147</v>
      </c>
      <c r="AI20" s="4">
        <v>199</v>
      </c>
      <c r="AJ20" s="4"/>
      <c r="AK20" s="4"/>
      <c r="AL20" s="4"/>
      <c r="AM20" s="4"/>
      <c r="AN20" s="4"/>
      <c r="AO20" s="4"/>
      <c r="AU20">
        <v>0</v>
      </c>
    </row>
    <row r="21" spans="1:47" x14ac:dyDescent="0.3">
      <c r="A21" t="s">
        <v>101</v>
      </c>
      <c r="B21">
        <v>-456</v>
      </c>
      <c r="C21" s="4">
        <f t="shared" si="0"/>
        <v>-468</v>
      </c>
      <c r="D21" s="4">
        <v>-924</v>
      </c>
      <c r="E21" s="4">
        <v>-382</v>
      </c>
      <c r="F21" s="4">
        <f>AE21-E21</f>
        <v>-367</v>
      </c>
      <c r="G21" s="4">
        <v>-324</v>
      </c>
      <c r="H21" s="4">
        <f>AF21-G21</f>
        <v>-393</v>
      </c>
      <c r="I21" s="4">
        <v>-456</v>
      </c>
      <c r="J21" s="4">
        <f>AG21-I21</f>
        <v>-492</v>
      </c>
      <c r="K21" s="4">
        <v>-607</v>
      </c>
      <c r="L21" s="4">
        <f>AH21-K21</f>
        <v>-553</v>
      </c>
      <c r="M21" s="4">
        <v>-503</v>
      </c>
      <c r="N21" s="4">
        <f>AI21-M21</f>
        <v>-548</v>
      </c>
      <c r="O21" s="4"/>
      <c r="P21" s="4">
        <f>AJ21-O21</f>
        <v>0</v>
      </c>
      <c r="Q21" s="4"/>
      <c r="R21" s="4">
        <f>AK21-Q21</f>
        <v>0</v>
      </c>
      <c r="S21" s="4"/>
      <c r="T21" s="4">
        <f>AL21-S21</f>
        <v>0</v>
      </c>
      <c r="U21" s="4"/>
      <c r="V21" s="4">
        <f>AM21-U21</f>
        <v>0</v>
      </c>
      <c r="W21" s="4"/>
      <c r="X21" s="4">
        <f>AN21-W21</f>
        <v>0</v>
      </c>
      <c r="Y21" s="4"/>
      <c r="Z21" s="4">
        <f>AO21-Y21</f>
        <v>0</v>
      </c>
      <c r="AE21" s="4">
        <v>-749</v>
      </c>
      <c r="AF21" s="4">
        <v>-717</v>
      </c>
      <c r="AG21" s="4">
        <v>-948</v>
      </c>
      <c r="AH21" s="4">
        <v>-1160</v>
      </c>
      <c r="AI21" s="4">
        <v>-1051</v>
      </c>
      <c r="AJ21" s="4"/>
      <c r="AK21" s="4"/>
      <c r="AL21" s="4"/>
      <c r="AM21" s="4"/>
      <c r="AN21" s="4"/>
      <c r="AO21" s="4"/>
    </row>
    <row r="22" spans="1:47" x14ac:dyDescent="0.3">
      <c r="A22" s="3" t="s">
        <v>113</v>
      </c>
      <c r="B22" s="3">
        <f>SUM(B17:B21)</f>
        <v>1682</v>
      </c>
      <c r="C22" s="5">
        <f t="shared" ref="C22:Z22" si="18">SUM(C17:C21)</f>
        <v>2655</v>
      </c>
      <c r="D22" s="5">
        <f t="shared" si="18"/>
        <v>4337</v>
      </c>
      <c r="E22" s="5">
        <f t="shared" si="18"/>
        <v>335</v>
      </c>
      <c r="F22" s="5">
        <f t="shared" si="18"/>
        <v>2801</v>
      </c>
      <c r="G22" s="5">
        <f t="shared" si="18"/>
        <v>1581</v>
      </c>
      <c r="H22" s="5">
        <f t="shared" si="18"/>
        <v>2600</v>
      </c>
      <c r="I22" s="5">
        <f t="shared" si="18"/>
        <v>2169</v>
      </c>
      <c r="J22" s="5">
        <f t="shared" si="18"/>
        <v>2327</v>
      </c>
      <c r="K22" s="5">
        <f t="shared" si="18"/>
        <v>1032</v>
      </c>
      <c r="L22" s="5">
        <f t="shared" si="18"/>
        <v>3398</v>
      </c>
      <c r="M22" s="5">
        <f t="shared" si="18"/>
        <v>1943</v>
      </c>
      <c r="N22" s="5">
        <f t="shared" si="18"/>
        <v>3194.2188199999996</v>
      </c>
      <c r="O22" s="5">
        <f t="shared" si="18"/>
        <v>2643.5644657539465</v>
      </c>
      <c r="P22" s="5">
        <f t="shared" si="18"/>
        <v>2416.574328559841</v>
      </c>
      <c r="Q22" s="5">
        <f t="shared" si="18"/>
        <v>2806.2381273634414</v>
      </c>
      <c r="R22" s="5">
        <f t="shared" si="18"/>
        <v>2812.9062202521459</v>
      </c>
      <c r="S22" s="5">
        <f t="shared" si="18"/>
        <v>3005.1260924727444</v>
      </c>
      <c r="T22" s="5">
        <f t="shared" si="18"/>
        <v>3174.7422997004501</v>
      </c>
      <c r="U22" s="5">
        <f t="shared" si="18"/>
        <v>3273.6418401932201</v>
      </c>
      <c r="V22" s="5">
        <f t="shared" si="18"/>
        <v>3562.912248601001</v>
      </c>
      <c r="W22" s="5">
        <f t="shared" si="18"/>
        <v>3621.0212904883956</v>
      </c>
      <c r="X22" s="5">
        <f t="shared" si="18"/>
        <v>3996.4111409581938</v>
      </c>
      <c r="Y22" s="5">
        <f t="shared" si="18"/>
        <v>4048.4198041816635</v>
      </c>
      <c r="Z22" s="5">
        <f t="shared" si="18"/>
        <v>4476.9657430783209</v>
      </c>
      <c r="AE22" s="5">
        <f t="shared" ref="AE22:AH22" si="19">SUM(AE17:AE21)</f>
        <v>3136</v>
      </c>
      <c r="AF22" s="5">
        <f t="shared" si="19"/>
        <v>4181</v>
      </c>
      <c r="AG22" s="5">
        <f t="shared" si="19"/>
        <v>4496</v>
      </c>
      <c r="AH22" s="5">
        <f t="shared" si="19"/>
        <v>4430</v>
      </c>
      <c r="AI22" s="5">
        <f t="shared" ref="AI22" si="20">SUM(AI17:AI21)</f>
        <v>5503</v>
      </c>
      <c r="AJ22" s="5">
        <f t="shared" ref="AJ22:AO22" si="21">SUM(AJ17:AJ21)</f>
        <v>5060.1387943137879</v>
      </c>
      <c r="AK22" s="5">
        <f t="shared" si="21"/>
        <v>5619.1443476155837</v>
      </c>
      <c r="AL22" s="5">
        <f t="shared" si="21"/>
        <v>6179.8683921731945</v>
      </c>
      <c r="AM22" s="5">
        <f t="shared" si="21"/>
        <v>6836.5540887942252</v>
      </c>
      <c r="AN22" s="5">
        <f t="shared" si="21"/>
        <v>7617.4324314465875</v>
      </c>
      <c r="AO22" s="5">
        <f t="shared" si="21"/>
        <v>8525.3855472599753</v>
      </c>
    </row>
    <row r="23" spans="1:47" x14ac:dyDescent="0.3"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I23" s="4"/>
      <c r="AJ23" s="4"/>
      <c r="AK23" s="4"/>
      <c r="AL23" s="4"/>
      <c r="AM23" s="4"/>
      <c r="AN23" s="4"/>
      <c r="AO23" s="4"/>
    </row>
    <row r="24" spans="1:47" x14ac:dyDescent="0.3">
      <c r="A24" t="s">
        <v>102</v>
      </c>
      <c r="B24">
        <v>23</v>
      </c>
      <c r="C24" s="4">
        <f t="shared" ref="C24:C28" si="22">D24-B24</f>
        <v>154</v>
      </c>
      <c r="D24" s="4">
        <v>177</v>
      </c>
      <c r="E24" s="4">
        <v>28</v>
      </c>
      <c r="F24" s="4">
        <f>AE24-E24</f>
        <v>122</v>
      </c>
      <c r="G24" s="4">
        <v>35</v>
      </c>
      <c r="H24" s="4">
        <f>AF24-G24</f>
        <v>51</v>
      </c>
      <c r="I24" s="4">
        <v>51</v>
      </c>
      <c r="J24" s="4">
        <f>AG24-I24</f>
        <v>61</v>
      </c>
      <c r="K24" s="4">
        <v>84</v>
      </c>
      <c r="L24" s="4">
        <f>AH24-K24</f>
        <v>70</v>
      </c>
      <c r="M24" s="4">
        <v>51</v>
      </c>
      <c r="N24" s="4">
        <f>AI24-M24</f>
        <v>101</v>
      </c>
      <c r="O24" s="4"/>
      <c r="P24" s="4">
        <f>AJ24-O24</f>
        <v>0</v>
      </c>
      <c r="Q24" s="4"/>
      <c r="R24" s="4">
        <f>AK24-Q24</f>
        <v>0</v>
      </c>
      <c r="S24" s="4"/>
      <c r="T24" s="4">
        <f>AL24-S24</f>
        <v>0</v>
      </c>
      <c r="U24" s="4"/>
      <c r="V24" s="4">
        <f>AM24-U24</f>
        <v>0</v>
      </c>
      <c r="W24" s="4"/>
      <c r="X24" s="4">
        <f>AN24-W24</f>
        <v>0</v>
      </c>
      <c r="Y24" s="4"/>
      <c r="Z24" s="4">
        <f>AO24-Y24</f>
        <v>0</v>
      </c>
      <c r="AE24" s="4">
        <v>150</v>
      </c>
      <c r="AF24" s="4">
        <v>86</v>
      </c>
      <c r="AG24" s="4">
        <v>112</v>
      </c>
      <c r="AH24" s="4">
        <v>154</v>
      </c>
      <c r="AI24" s="4">
        <v>152</v>
      </c>
      <c r="AJ24" s="4"/>
      <c r="AK24" s="4"/>
      <c r="AL24" s="4"/>
      <c r="AM24" s="4"/>
      <c r="AN24" s="4"/>
      <c r="AO24" s="4"/>
      <c r="AU24" s="40"/>
    </row>
    <row r="25" spans="1:47" x14ac:dyDescent="0.3">
      <c r="A25" t="s">
        <v>103</v>
      </c>
      <c r="B25">
        <v>-1005</v>
      </c>
      <c r="C25" s="4">
        <f t="shared" si="22"/>
        <v>-910</v>
      </c>
      <c r="D25" s="4">
        <v>-1915</v>
      </c>
      <c r="E25" s="4">
        <v>-1064</v>
      </c>
      <c r="F25" s="4">
        <f>AE25-E25</f>
        <v>-437</v>
      </c>
      <c r="G25" s="4">
        <v>-728</v>
      </c>
      <c r="H25" s="4">
        <f>AF25-G25</f>
        <v>-596</v>
      </c>
      <c r="I25" s="4">
        <v>-958</v>
      </c>
      <c r="J25" s="4">
        <f>AG25-I25</f>
        <v>-833</v>
      </c>
      <c r="K25" s="4">
        <v>-1378</v>
      </c>
      <c r="L25" s="4">
        <f>AH25-K25</f>
        <v>-1056</v>
      </c>
      <c r="M25" s="4">
        <v>-1221</v>
      </c>
      <c r="N25" s="4">
        <f>AI25-M25</f>
        <v>-963</v>
      </c>
      <c r="O25" s="4">
        <f>-('Balance Sheet'!O54)</f>
        <v>-925.97057351532692</v>
      </c>
      <c r="P25" s="4">
        <f>AJ25-O25</f>
        <v>-1193.1199430641122</v>
      </c>
      <c r="Q25" s="42">
        <f>-('Balance Sheet'!Q54)</f>
        <v>-983.20041330789866</v>
      </c>
      <c r="R25" s="4">
        <f>AK25-Q25</f>
        <v>-1339.8009438124845</v>
      </c>
      <c r="S25" s="42">
        <f>-('Balance Sheet'!S54)</f>
        <v>-1060.7128266571731</v>
      </c>
      <c r="T25" s="4">
        <f>AL25-S25</f>
        <v>-1505.886496083815</v>
      </c>
      <c r="U25" s="42">
        <f>-('Balance Sheet'!U54)</f>
        <v>-1159.8469075365592</v>
      </c>
      <c r="V25" s="4">
        <f>AM25-U25</f>
        <v>-1695.3365615980179</v>
      </c>
      <c r="W25" s="42">
        <f>-('Balance Sheet'!W54)</f>
        <v>-1283.0473812656799</v>
      </c>
      <c r="X25" s="4">
        <f>AN25-W25</f>
        <v>-1912.8856888342032</v>
      </c>
      <c r="Y25" s="42">
        <f>-('Balance Sheet'!Y54)</f>
        <v>-1433.8392320143842</v>
      </c>
      <c r="Z25" s="4">
        <f>AO25-Y25</f>
        <v>-2164.2086010001003</v>
      </c>
      <c r="AE25" s="4">
        <v>-1501</v>
      </c>
      <c r="AF25" s="4">
        <v>-1324</v>
      </c>
      <c r="AG25" s="4">
        <v>-1791</v>
      </c>
      <c r="AH25" s="4">
        <v>-2434</v>
      </c>
      <c r="AI25" s="4">
        <v>-2184</v>
      </c>
      <c r="AJ25" s="42">
        <f>-('Balance Sheet'!AJ54)</f>
        <v>-2119.0905165794393</v>
      </c>
      <c r="AK25" s="39">
        <f>-('Balance Sheet'!AK54+'Balance Sheet'!AK61)</f>
        <v>-2323.0013571203831</v>
      </c>
      <c r="AL25" s="39">
        <f>-('Balance Sheet'!AL54+'Balance Sheet'!AL61)</f>
        <v>-2566.5993227409881</v>
      </c>
      <c r="AM25" s="39">
        <f>-('Balance Sheet'!AM54+'Balance Sheet'!AM61)</f>
        <v>-2855.1834691345771</v>
      </c>
      <c r="AN25" s="39">
        <f>-('Balance Sheet'!AN54+'Balance Sheet'!AN61)</f>
        <v>-3195.933070099883</v>
      </c>
      <c r="AO25" s="39">
        <f>-('Balance Sheet'!AO54+'Balance Sheet'!AO61)</f>
        <v>-3598.0478330144842</v>
      </c>
      <c r="AU25" s="40">
        <v>0</v>
      </c>
    </row>
    <row r="26" spans="1:47" x14ac:dyDescent="0.3">
      <c r="A26" t="s">
        <v>104</v>
      </c>
      <c r="B26">
        <v>-41</v>
      </c>
      <c r="C26" s="4">
        <f t="shared" si="22"/>
        <v>-145</v>
      </c>
      <c r="D26" s="4">
        <v>-186</v>
      </c>
      <c r="E26" s="4">
        <v>-62</v>
      </c>
      <c r="F26" s="4">
        <f>AE26-E26</f>
        <v>-77</v>
      </c>
      <c r="G26" s="4">
        <v>-181</v>
      </c>
      <c r="H26" s="4">
        <f>AF26-G26</f>
        <v>-92</v>
      </c>
      <c r="I26" s="4">
        <v>-68</v>
      </c>
      <c r="J26" s="4">
        <f>AG26-I26</f>
        <v>-152</v>
      </c>
      <c r="K26" s="4">
        <v>-90</v>
      </c>
      <c r="L26" s="4">
        <f>AH26-K26</f>
        <v>-153</v>
      </c>
      <c r="M26" s="4">
        <v>-81</v>
      </c>
      <c r="N26" s="4">
        <f>AI26-M26</f>
        <v>-200</v>
      </c>
      <c r="O26" s="4">
        <f>-'Balance Sheet'!O64</f>
        <v>-154.32842891922115</v>
      </c>
      <c r="P26" s="4">
        <f>AJ26-O26</f>
        <v>-198.8533238440188</v>
      </c>
      <c r="Q26" s="42">
        <f>-'Balance Sheet'!Q64</f>
        <v>-163.86673555131645</v>
      </c>
      <c r="R26" s="4">
        <f>AK26-Q26</f>
        <v>-223.30015730208081</v>
      </c>
      <c r="S26" s="4">
        <f>-'Balance Sheet'!S64</f>
        <v>-176.78547110952886</v>
      </c>
      <c r="T26" s="4">
        <f>AL26-S26</f>
        <v>-250.98108268063586</v>
      </c>
      <c r="U26" s="4">
        <f>-'Balance Sheet'!U64</f>
        <v>-193.30781792275991</v>
      </c>
      <c r="V26" s="4">
        <f>AM26-U26</f>
        <v>-282.55609359966968</v>
      </c>
      <c r="W26" s="4">
        <f>-'Balance Sheet'!W64</f>
        <v>-213.84123021094666</v>
      </c>
      <c r="X26" s="4">
        <f>AN26-W26</f>
        <v>-318.81428147236721</v>
      </c>
      <c r="Y26" s="4">
        <f>-'Balance Sheet'!Y64</f>
        <v>-238.97320533573071</v>
      </c>
      <c r="Z26" s="4">
        <f>AO26-Y26</f>
        <v>-360.70143350001666</v>
      </c>
      <c r="AE26" s="4">
        <v>-139</v>
      </c>
      <c r="AF26" s="4">
        <v>-273</v>
      </c>
      <c r="AG26" s="4">
        <v>-220</v>
      </c>
      <c r="AH26" s="4">
        <v>-243</v>
      </c>
      <c r="AI26" s="4">
        <v>-281</v>
      </c>
      <c r="AJ26" s="42">
        <f>-'Balance Sheet'!AJ64</f>
        <v>-353.18175276323996</v>
      </c>
      <c r="AK26" s="39">
        <f>-'Balance Sheet'!AK64</f>
        <v>-387.16689285339726</v>
      </c>
      <c r="AL26" s="39">
        <f>-'Balance Sheet'!AL64</f>
        <v>-427.76655379016472</v>
      </c>
      <c r="AM26" s="39">
        <f>-'Balance Sheet'!AM64</f>
        <v>-475.86391152242959</v>
      </c>
      <c r="AN26" s="39">
        <f>-'Balance Sheet'!AN64</f>
        <v>-532.65551168331388</v>
      </c>
      <c r="AO26" s="39">
        <f>-'Balance Sheet'!AO64</f>
        <v>-599.67463883574737</v>
      </c>
      <c r="AU26" s="40">
        <v>0</v>
      </c>
    </row>
    <row r="27" spans="1:47" x14ac:dyDescent="0.3">
      <c r="A27" t="s">
        <v>105</v>
      </c>
      <c r="B27">
        <v>-121</v>
      </c>
      <c r="C27" s="4">
        <f t="shared" si="22"/>
        <v>-128</v>
      </c>
      <c r="D27" s="4">
        <v>-249</v>
      </c>
      <c r="E27" s="4">
        <v>-68</v>
      </c>
      <c r="F27" s="4">
        <f>AE27-E27</f>
        <v>-109</v>
      </c>
      <c r="G27" s="4">
        <v>-70</v>
      </c>
      <c r="H27" s="4">
        <f>AF27-G27</f>
        <v>-126</v>
      </c>
      <c r="I27" s="4">
        <v>-89</v>
      </c>
      <c r="J27" s="4">
        <f>AG27-I27</f>
        <v>-130</v>
      </c>
      <c r="K27" s="4">
        <v>-139</v>
      </c>
      <c r="L27" s="4">
        <f>AH27-K27</f>
        <v>-105</v>
      </c>
      <c r="M27" s="4">
        <v>-107</v>
      </c>
      <c r="N27" s="4">
        <f>AI27-M27</f>
        <v>-114</v>
      </c>
      <c r="O27" s="4"/>
      <c r="P27" s="4">
        <f>AJ27-O27</f>
        <v>0</v>
      </c>
      <c r="Q27" s="4"/>
      <c r="R27" s="4">
        <f>AK27-Q27</f>
        <v>0</v>
      </c>
      <c r="S27" s="4"/>
      <c r="T27" s="4">
        <f>AL27-S27</f>
        <v>0</v>
      </c>
      <c r="U27" s="4"/>
      <c r="V27" s="4">
        <f>AM27-U27</f>
        <v>0</v>
      </c>
      <c r="W27" s="4"/>
      <c r="X27" s="4">
        <f>AN27-W27</f>
        <v>0</v>
      </c>
      <c r="Y27" s="4"/>
      <c r="Z27" s="4">
        <f>AO27-Y27</f>
        <v>0</v>
      </c>
      <c r="AE27" s="4">
        <v>-177</v>
      </c>
      <c r="AF27" s="4">
        <v>-196</v>
      </c>
      <c r="AG27" s="4">
        <v>-219</v>
      </c>
      <c r="AH27" s="4">
        <v>-244</v>
      </c>
      <c r="AI27" s="4">
        <v>-221</v>
      </c>
      <c r="AJ27" s="39">
        <f>'Balance Sheet'!AI6-'Balance Sheet'!AJ6+'Balance Sheet'!AI7-'Balance Sheet'!AJ7+'Balance Sheet'!AI8-'Balance Sheet'!AJ8+'Balance Sheet'!AI9-'Balance Sheet'!AJ9+'Balance Sheet'!AI10-'Balance Sheet'!AJ10</f>
        <v>0</v>
      </c>
      <c r="AK27" s="39">
        <f>'Balance Sheet'!AJ6-'Balance Sheet'!AK6+'Balance Sheet'!AJ7-'Balance Sheet'!AK7+'Balance Sheet'!AJ8-'Balance Sheet'!AK8+'Balance Sheet'!AJ9-'Balance Sheet'!AK9+'Balance Sheet'!AJ10-'Balance Sheet'!AK10</f>
        <v>0</v>
      </c>
      <c r="AL27" s="39">
        <f>'Balance Sheet'!AK6-'Balance Sheet'!AL6+'Balance Sheet'!AK7-'Balance Sheet'!AL7+'Balance Sheet'!AK8-'Balance Sheet'!AL8+'Balance Sheet'!AK9-'Balance Sheet'!AL9+'Balance Sheet'!AK10-'Balance Sheet'!AL10</f>
        <v>0</v>
      </c>
      <c r="AM27" s="39">
        <f>'Balance Sheet'!AL6-'Balance Sheet'!AM6+'Balance Sheet'!AL7-'Balance Sheet'!AM7+'Balance Sheet'!AL8-'Balance Sheet'!AM8+'Balance Sheet'!AL9-'Balance Sheet'!AM9+'Balance Sheet'!AL10-'Balance Sheet'!AM10</f>
        <v>0</v>
      </c>
      <c r="AN27" s="39">
        <f>'Balance Sheet'!AM6-'Balance Sheet'!AN6+'Balance Sheet'!AM7-'Balance Sheet'!AN7+'Balance Sheet'!AM8-'Balance Sheet'!AN8+'Balance Sheet'!AM9-'Balance Sheet'!AN9+'Balance Sheet'!AM10-'Balance Sheet'!AN10</f>
        <v>0</v>
      </c>
      <c r="AO27" s="39">
        <f>'Balance Sheet'!AN6-'Balance Sheet'!AO6+'Balance Sheet'!AN7-'Balance Sheet'!AO7+'Balance Sheet'!AN8-'Balance Sheet'!AO8+'Balance Sheet'!AN9-'Balance Sheet'!AO9+'Balance Sheet'!AN10-'Balance Sheet'!AO10</f>
        <v>0</v>
      </c>
      <c r="AU27" s="105">
        <v>0</v>
      </c>
    </row>
    <row r="28" spans="1:47" x14ac:dyDescent="0.3">
      <c r="A28" t="s">
        <v>106</v>
      </c>
      <c r="B28">
        <v>40</v>
      </c>
      <c r="C28" s="4">
        <f t="shared" si="22"/>
        <v>24</v>
      </c>
      <c r="D28" s="4">
        <v>64</v>
      </c>
      <c r="E28" s="4">
        <v>22</v>
      </c>
      <c r="F28" s="4">
        <f>AE28-E28</f>
        <v>22</v>
      </c>
      <c r="G28" s="4">
        <v>13</v>
      </c>
      <c r="H28" s="4">
        <f>AF28-G28</f>
        <v>27</v>
      </c>
      <c r="I28" s="4">
        <v>17</v>
      </c>
      <c r="J28" s="4">
        <f>AG28-I28</f>
        <v>14</v>
      </c>
      <c r="K28" s="4">
        <v>24</v>
      </c>
      <c r="L28" s="4">
        <f>AH28-K28</f>
        <v>72</v>
      </c>
      <c r="M28" s="4">
        <v>70</v>
      </c>
      <c r="N28" s="4">
        <f>AI28-M28</f>
        <v>19</v>
      </c>
      <c r="O28" s="4"/>
      <c r="P28" s="4">
        <f>AJ28-O28</f>
        <v>0</v>
      </c>
      <c r="Q28" s="4"/>
      <c r="R28" s="4">
        <f>AK28-Q28</f>
        <v>0</v>
      </c>
      <c r="S28" s="4"/>
      <c r="T28" s="4">
        <f>AL28-S28</f>
        <v>0</v>
      </c>
      <c r="U28" s="4"/>
      <c r="V28" s="4">
        <f>AM28-U28</f>
        <v>0</v>
      </c>
      <c r="W28" s="4"/>
      <c r="X28" s="4">
        <f>AN28-W28</f>
        <v>0</v>
      </c>
      <c r="Y28" s="4"/>
      <c r="Z28" s="4">
        <f>AO28-Y28</f>
        <v>0</v>
      </c>
      <c r="AE28" s="4">
        <v>44</v>
      </c>
      <c r="AF28" s="4">
        <v>40</v>
      </c>
      <c r="AG28" s="4">
        <v>31</v>
      </c>
      <c r="AH28" s="4">
        <v>96</v>
      </c>
      <c r="AI28" s="4">
        <v>89</v>
      </c>
      <c r="AJ28" s="4"/>
      <c r="AK28" s="4"/>
      <c r="AL28" s="4"/>
      <c r="AM28" s="4"/>
      <c r="AN28" s="4"/>
      <c r="AO28" s="4"/>
      <c r="AU28" s="105"/>
    </row>
    <row r="29" spans="1:47" s="3" customFormat="1" x14ac:dyDescent="0.3">
      <c r="A29" s="3" t="s">
        <v>107</v>
      </c>
      <c r="B29" s="3">
        <f>SUM(B24:B28)</f>
        <v>-1104</v>
      </c>
      <c r="C29" s="5">
        <f t="shared" ref="C29:Z29" si="23">SUM(C24:C28)</f>
        <v>-1005</v>
      </c>
      <c r="D29" s="5">
        <f t="shared" si="23"/>
        <v>-2109</v>
      </c>
      <c r="E29" s="5">
        <f t="shared" si="23"/>
        <v>-1144</v>
      </c>
      <c r="F29" s="5">
        <f t="shared" si="23"/>
        <v>-479</v>
      </c>
      <c r="G29" s="5">
        <f t="shared" si="23"/>
        <v>-931</v>
      </c>
      <c r="H29" s="5">
        <f t="shared" si="23"/>
        <v>-736</v>
      </c>
      <c r="I29" s="5">
        <f t="shared" si="23"/>
        <v>-1047</v>
      </c>
      <c r="J29" s="5">
        <f t="shared" si="23"/>
        <v>-1040</v>
      </c>
      <c r="K29" s="5">
        <f t="shared" si="23"/>
        <v>-1499</v>
      </c>
      <c r="L29" s="5">
        <f t="shared" si="23"/>
        <v>-1172</v>
      </c>
      <c r="M29" s="5">
        <f t="shared" si="23"/>
        <v>-1288</v>
      </c>
      <c r="N29" s="5">
        <f t="shared" si="23"/>
        <v>-1157</v>
      </c>
      <c r="O29" s="5">
        <f t="shared" si="23"/>
        <v>-1080.2990024345481</v>
      </c>
      <c r="P29" s="5">
        <f t="shared" si="23"/>
        <v>-1391.9732669081311</v>
      </c>
      <c r="Q29" s="5">
        <f t="shared" si="23"/>
        <v>-1147.0671488592152</v>
      </c>
      <c r="R29" s="5">
        <f t="shared" si="23"/>
        <v>-1563.1011011145654</v>
      </c>
      <c r="S29" s="5">
        <f t="shared" si="23"/>
        <v>-1237.4982977667019</v>
      </c>
      <c r="T29" s="5">
        <f t="shared" si="23"/>
        <v>-1756.8675787644509</v>
      </c>
      <c r="U29" s="5">
        <f t="shared" si="23"/>
        <v>-1353.1547254593193</v>
      </c>
      <c r="V29" s="5">
        <f t="shared" si="23"/>
        <v>-1977.8926551976874</v>
      </c>
      <c r="W29" s="5">
        <f t="shared" si="23"/>
        <v>-1496.8886114766265</v>
      </c>
      <c r="X29" s="5">
        <f t="shared" si="23"/>
        <v>-2231.6999703065703</v>
      </c>
      <c r="Y29" s="5">
        <f t="shared" si="23"/>
        <v>-1672.8124373501148</v>
      </c>
      <c r="Z29" s="5">
        <f t="shared" si="23"/>
        <v>-2524.910034500117</v>
      </c>
      <c r="AB29"/>
      <c r="AE29" s="5">
        <f t="shared" ref="AE29:AH29" si="24">SUM(AE24:AE28)</f>
        <v>-1623</v>
      </c>
      <c r="AF29" s="5">
        <f t="shared" si="24"/>
        <v>-1667</v>
      </c>
      <c r="AG29" s="5">
        <f t="shared" si="24"/>
        <v>-2087</v>
      </c>
      <c r="AH29" s="5">
        <f t="shared" si="24"/>
        <v>-2671</v>
      </c>
      <c r="AI29" s="5">
        <f t="shared" ref="AI29" si="25">SUM(AI24:AI28)</f>
        <v>-2445</v>
      </c>
      <c r="AJ29" s="5">
        <f t="shared" ref="AJ29:AO29" si="26">SUM(AJ24:AJ28)</f>
        <v>-2472.2722693426795</v>
      </c>
      <c r="AK29" s="5">
        <f t="shared" si="26"/>
        <v>-2710.1682499737803</v>
      </c>
      <c r="AL29" s="5">
        <f t="shared" si="26"/>
        <v>-2994.3658765311529</v>
      </c>
      <c r="AM29" s="5">
        <f t="shared" si="26"/>
        <v>-3331.0473806570067</v>
      </c>
      <c r="AN29" s="5">
        <f t="shared" si="26"/>
        <v>-3728.5885817831968</v>
      </c>
      <c r="AO29" s="5">
        <f t="shared" si="26"/>
        <v>-4197.7224718502312</v>
      </c>
      <c r="AQ29"/>
      <c r="AS29" s="34"/>
      <c r="AU29" s="41"/>
    </row>
    <row r="30" spans="1:47" x14ac:dyDescent="0.3"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I30" s="4"/>
      <c r="AJ30" s="4"/>
      <c r="AK30" s="4"/>
      <c r="AL30" s="4"/>
      <c r="AM30" s="4"/>
      <c r="AN30" s="4"/>
      <c r="AO30" s="4"/>
      <c r="AU30" s="40"/>
    </row>
    <row r="31" spans="1:47" x14ac:dyDescent="0.3">
      <c r="A31" t="s">
        <v>108</v>
      </c>
      <c r="B31">
        <v>-169</v>
      </c>
      <c r="C31" s="4">
        <f t="shared" ref="C31:C34" si="27">D31-B31</f>
        <v>-14</v>
      </c>
      <c r="D31" s="4">
        <v>-183</v>
      </c>
      <c r="E31" s="4">
        <v>0</v>
      </c>
      <c r="F31" s="4">
        <f>AE31-E31</f>
        <v>-26</v>
      </c>
      <c r="G31" s="4">
        <v>-1</v>
      </c>
      <c r="H31" s="4">
        <f>AF31-G31</f>
        <v>55</v>
      </c>
      <c r="I31" s="4">
        <v>-7</v>
      </c>
      <c r="J31" s="4">
        <f>AG31-I31</f>
        <v>-164</v>
      </c>
      <c r="K31" s="4">
        <v>-821</v>
      </c>
      <c r="L31" s="4">
        <f>AH31-K31</f>
        <v>15</v>
      </c>
      <c r="M31" s="4">
        <v>0</v>
      </c>
      <c r="N31" s="4">
        <f>AI31-M31</f>
        <v>-4</v>
      </c>
      <c r="O31" s="4"/>
      <c r="P31" s="4">
        <f>AJ31-O31</f>
        <v>0</v>
      </c>
      <c r="Q31" s="4"/>
      <c r="R31" s="4">
        <f>AK31-Q31</f>
        <v>0</v>
      </c>
      <c r="S31" s="4"/>
      <c r="T31" s="4">
        <f>AL31-S31</f>
        <v>0</v>
      </c>
      <c r="U31" s="4"/>
      <c r="V31" s="4">
        <f>AM31-U31</f>
        <v>0</v>
      </c>
      <c r="W31" s="4"/>
      <c r="X31" s="4">
        <f>AN31-W31</f>
        <v>0</v>
      </c>
      <c r="Y31" s="4"/>
      <c r="Z31" s="4">
        <f>AO31-Y31</f>
        <v>0</v>
      </c>
      <c r="AE31" s="4">
        <v>-26</v>
      </c>
      <c r="AF31" s="4">
        <v>54</v>
      </c>
      <c r="AG31" s="4">
        <v>-171</v>
      </c>
      <c r="AH31" s="4">
        <v>-806</v>
      </c>
      <c r="AI31" s="4">
        <v>-4</v>
      </c>
      <c r="AJ31" s="4"/>
      <c r="AK31" s="4"/>
      <c r="AL31" s="4"/>
      <c r="AM31" s="4"/>
      <c r="AN31" s="4"/>
      <c r="AO31" s="4"/>
      <c r="AU31" s="105"/>
    </row>
    <row r="32" spans="1:47" x14ac:dyDescent="0.3">
      <c r="A32" t="s">
        <v>109</v>
      </c>
      <c r="B32">
        <v>-2872</v>
      </c>
      <c r="C32" s="4">
        <f t="shared" si="27"/>
        <v>-3</v>
      </c>
      <c r="D32" s="4">
        <v>-2875</v>
      </c>
      <c r="E32" s="4">
        <v>-10</v>
      </c>
      <c r="F32" s="4">
        <f>AE32-E32</f>
        <v>1</v>
      </c>
      <c r="G32" s="4">
        <v>-662</v>
      </c>
      <c r="H32" s="4">
        <f>AF32-G32</f>
        <v>-16</v>
      </c>
      <c r="I32" s="4">
        <v>-37</v>
      </c>
      <c r="J32" s="4">
        <f>AG32-I32</f>
        <v>-8</v>
      </c>
      <c r="K32" s="4">
        <v>-404</v>
      </c>
      <c r="L32" s="4">
        <f>AH32-K32</f>
        <v>-5</v>
      </c>
      <c r="M32" s="4">
        <v>-24</v>
      </c>
      <c r="N32" s="4">
        <f>AI32-M32</f>
        <v>-20</v>
      </c>
      <c r="O32" s="4"/>
      <c r="P32" s="4">
        <f>AJ32-O32</f>
        <v>0</v>
      </c>
      <c r="Q32" s="4"/>
      <c r="R32" s="4">
        <f>AK32-Q32</f>
        <v>0</v>
      </c>
      <c r="S32" s="4"/>
      <c r="T32" s="4">
        <f>AL32-S32</f>
        <v>0</v>
      </c>
      <c r="U32" s="4"/>
      <c r="V32" s="4">
        <f>AM32-U32</f>
        <v>0</v>
      </c>
      <c r="W32" s="4"/>
      <c r="X32" s="4">
        <f>AN32-W32</f>
        <v>0</v>
      </c>
      <c r="Y32" s="4"/>
      <c r="Z32" s="4">
        <f>AO32-Y32</f>
        <v>0</v>
      </c>
      <c r="AE32" s="4">
        <v>-9</v>
      </c>
      <c r="AF32" s="4">
        <v>-678</v>
      </c>
      <c r="AG32" s="4">
        <v>-45</v>
      </c>
      <c r="AH32" s="4">
        <v>-409</v>
      </c>
      <c r="AI32" s="4">
        <v>-44</v>
      </c>
      <c r="AJ32" s="4"/>
      <c r="AK32" s="4"/>
      <c r="AL32" s="4"/>
      <c r="AM32" s="4"/>
      <c r="AN32" s="4"/>
      <c r="AO32" s="4"/>
      <c r="AU32" s="105"/>
    </row>
    <row r="33" spans="1:47" x14ac:dyDescent="0.3">
      <c r="A33" t="s">
        <v>110</v>
      </c>
      <c r="B33">
        <v>279</v>
      </c>
      <c r="C33" s="4">
        <f t="shared" si="27"/>
        <v>-35</v>
      </c>
      <c r="D33" s="4">
        <v>244</v>
      </c>
      <c r="E33" s="4">
        <v>0</v>
      </c>
      <c r="F33" s="4">
        <f>AE33-E33</f>
        <v>-29</v>
      </c>
      <c r="G33" s="4">
        <v>-4</v>
      </c>
      <c r="H33" s="4">
        <f>AF33-G33</f>
        <v>7</v>
      </c>
      <c r="I33" s="4">
        <v>0</v>
      </c>
      <c r="J33" s="4">
        <f>AG33-I33</f>
        <v>9</v>
      </c>
      <c r="K33" s="4">
        <v>-1</v>
      </c>
      <c r="L33" s="4">
        <f>AH33-K33</f>
        <v>258</v>
      </c>
      <c r="M33" s="4">
        <v>15</v>
      </c>
      <c r="N33" s="4">
        <f>AI33-M33</f>
        <v>-1</v>
      </c>
      <c r="O33" s="4"/>
      <c r="P33" s="4">
        <f>AJ33-O33</f>
        <v>0</v>
      </c>
      <c r="Q33" s="4"/>
      <c r="R33" s="4">
        <f>AK33-Q33</f>
        <v>0</v>
      </c>
      <c r="S33" s="4"/>
      <c r="T33" s="4">
        <f>AL33-S33</f>
        <v>0</v>
      </c>
      <c r="U33" s="4"/>
      <c r="V33" s="4">
        <f>AM33-U33</f>
        <v>0</v>
      </c>
      <c r="W33" s="4"/>
      <c r="X33" s="4">
        <f>AN33-W33</f>
        <v>0</v>
      </c>
      <c r="Y33" s="4"/>
      <c r="Z33" s="4">
        <f>AO33-Y33</f>
        <v>0</v>
      </c>
      <c r="AE33" s="4">
        <v>-29</v>
      </c>
      <c r="AF33" s="4">
        <v>3</v>
      </c>
      <c r="AG33" s="4">
        <v>9</v>
      </c>
      <c r="AH33" s="4">
        <v>257</v>
      </c>
      <c r="AI33" s="4">
        <v>14</v>
      </c>
      <c r="AJ33" s="4"/>
      <c r="AK33" s="4"/>
      <c r="AL33" s="4"/>
      <c r="AM33" s="4"/>
      <c r="AN33" s="4"/>
      <c r="AO33" s="4"/>
      <c r="AU33" s="40">
        <v>0</v>
      </c>
    </row>
    <row r="34" spans="1:47" x14ac:dyDescent="0.3">
      <c r="A34" t="s">
        <v>111</v>
      </c>
      <c r="B34">
        <v>0</v>
      </c>
      <c r="C34" s="4">
        <f t="shared" si="27"/>
        <v>50</v>
      </c>
      <c r="D34" s="4">
        <v>50</v>
      </c>
      <c r="E34" s="4">
        <v>65</v>
      </c>
      <c r="F34" s="4">
        <f>AE34-E34</f>
        <v>184</v>
      </c>
      <c r="G34" s="4">
        <v>8</v>
      </c>
      <c r="H34" s="4">
        <f>AF34-G34</f>
        <v>3</v>
      </c>
      <c r="I34" s="4">
        <v>0</v>
      </c>
      <c r="J34" s="4">
        <f>AG34-I34</f>
        <v>8</v>
      </c>
      <c r="K34" s="4">
        <v>46</v>
      </c>
      <c r="L34" s="4">
        <f>AH34-K34</f>
        <v>7</v>
      </c>
      <c r="M34" s="4">
        <v>32</v>
      </c>
      <c r="N34" s="4">
        <f>AI34-M34</f>
        <v>12</v>
      </c>
      <c r="O34" s="4"/>
      <c r="P34" s="4">
        <f>AJ34-O34</f>
        <v>0</v>
      </c>
      <c r="Q34" s="4"/>
      <c r="R34" s="4">
        <f>AK34-Q34</f>
        <v>0</v>
      </c>
      <c r="S34" s="4"/>
      <c r="T34" s="4">
        <f>AL34-S34</f>
        <v>0</v>
      </c>
      <c r="U34" s="4"/>
      <c r="V34" s="4">
        <f>AM34-U34</f>
        <v>0</v>
      </c>
      <c r="W34" s="4"/>
      <c r="X34" s="4">
        <f>AN34-W34</f>
        <v>0</v>
      </c>
      <c r="Y34" s="4"/>
      <c r="Z34" s="4">
        <f>AO34-Y34</f>
        <v>0</v>
      </c>
      <c r="AE34" s="4">
        <v>249</v>
      </c>
      <c r="AF34" s="4">
        <v>11</v>
      </c>
      <c r="AG34" s="4">
        <v>8</v>
      </c>
      <c r="AH34" s="4">
        <v>53</v>
      </c>
      <c r="AI34" s="4">
        <v>44</v>
      </c>
      <c r="AJ34" s="4"/>
      <c r="AK34" s="4"/>
      <c r="AL34" s="4"/>
      <c r="AM34" s="4"/>
      <c r="AN34" s="4"/>
      <c r="AO34" s="4"/>
      <c r="AU34">
        <v>0</v>
      </c>
    </row>
    <row r="35" spans="1:47" s="3" customFormat="1" x14ac:dyDescent="0.3">
      <c r="A35" s="3" t="s">
        <v>107</v>
      </c>
      <c r="B35" s="3">
        <f>SUM(B31:B34)</f>
        <v>-2762</v>
      </c>
      <c r="C35" s="5">
        <f t="shared" ref="C35:Z35" si="28">SUM(C31:C34)</f>
        <v>-2</v>
      </c>
      <c r="D35" s="5">
        <f t="shared" si="28"/>
        <v>-2764</v>
      </c>
      <c r="E35" s="5">
        <f t="shared" si="28"/>
        <v>55</v>
      </c>
      <c r="F35" s="5">
        <f t="shared" si="28"/>
        <v>130</v>
      </c>
      <c r="G35" s="5">
        <f t="shared" si="28"/>
        <v>-659</v>
      </c>
      <c r="H35" s="5">
        <f t="shared" si="28"/>
        <v>49</v>
      </c>
      <c r="I35" s="5">
        <f t="shared" si="28"/>
        <v>-44</v>
      </c>
      <c r="J35" s="5">
        <f t="shared" si="28"/>
        <v>-155</v>
      </c>
      <c r="K35" s="5">
        <f t="shared" si="28"/>
        <v>-1180</v>
      </c>
      <c r="L35" s="5">
        <f t="shared" si="28"/>
        <v>275</v>
      </c>
      <c r="M35" s="5">
        <f t="shared" si="28"/>
        <v>23</v>
      </c>
      <c r="N35" s="5">
        <f t="shared" si="28"/>
        <v>-13</v>
      </c>
      <c r="O35" s="5">
        <f t="shared" si="28"/>
        <v>0</v>
      </c>
      <c r="P35" s="5">
        <f t="shared" si="28"/>
        <v>0</v>
      </c>
      <c r="Q35" s="5">
        <f t="shared" si="28"/>
        <v>0</v>
      </c>
      <c r="R35" s="5">
        <f t="shared" si="28"/>
        <v>0</v>
      </c>
      <c r="S35" s="5">
        <f t="shared" si="28"/>
        <v>0</v>
      </c>
      <c r="T35" s="5">
        <f t="shared" si="28"/>
        <v>0</v>
      </c>
      <c r="U35" s="5">
        <f t="shared" si="28"/>
        <v>0</v>
      </c>
      <c r="V35" s="5">
        <f t="shared" si="28"/>
        <v>0</v>
      </c>
      <c r="W35" s="5">
        <f t="shared" si="28"/>
        <v>0</v>
      </c>
      <c r="X35" s="5">
        <f t="shared" si="28"/>
        <v>0</v>
      </c>
      <c r="Y35" s="5">
        <f t="shared" si="28"/>
        <v>0</v>
      </c>
      <c r="Z35" s="5">
        <f t="shared" si="28"/>
        <v>0</v>
      </c>
      <c r="AB35"/>
      <c r="AE35" s="5">
        <f t="shared" ref="AE35:AH35" si="29">SUM(AE31:AE34)</f>
        <v>185</v>
      </c>
      <c r="AF35" s="5">
        <f t="shared" si="29"/>
        <v>-610</v>
      </c>
      <c r="AG35" s="5">
        <f t="shared" si="29"/>
        <v>-199</v>
      </c>
      <c r="AH35" s="5">
        <f t="shared" si="29"/>
        <v>-905</v>
      </c>
      <c r="AI35" s="5">
        <f t="shared" ref="AI35" si="30">SUM(AI31:AI34)</f>
        <v>10</v>
      </c>
      <c r="AJ35" s="5">
        <f t="shared" ref="AJ35:AO35" si="31">SUM(AJ31:AJ34)</f>
        <v>0</v>
      </c>
      <c r="AK35" s="5">
        <f t="shared" si="31"/>
        <v>0</v>
      </c>
      <c r="AL35" s="5">
        <f t="shared" si="31"/>
        <v>0</v>
      </c>
      <c r="AM35" s="5">
        <f t="shared" si="31"/>
        <v>0</v>
      </c>
      <c r="AN35" s="5">
        <f t="shared" si="31"/>
        <v>0</v>
      </c>
      <c r="AO35" s="5">
        <f t="shared" si="31"/>
        <v>0</v>
      </c>
      <c r="AQ35"/>
      <c r="AS35" s="34"/>
      <c r="AU35" s="3">
        <v>0</v>
      </c>
    </row>
    <row r="36" spans="1:47" x14ac:dyDescent="0.3">
      <c r="A36" s="3" t="s">
        <v>112</v>
      </c>
      <c r="B36" s="3">
        <f>B29+B35</f>
        <v>-3866</v>
      </c>
      <c r="C36" s="5">
        <f t="shared" ref="C36:Z36" si="32">C29+C35</f>
        <v>-1007</v>
      </c>
      <c r="D36" s="5">
        <f t="shared" si="32"/>
        <v>-4873</v>
      </c>
      <c r="E36" s="5">
        <f t="shared" si="32"/>
        <v>-1089</v>
      </c>
      <c r="F36" s="5">
        <f t="shared" si="32"/>
        <v>-349</v>
      </c>
      <c r="G36" s="5">
        <f t="shared" si="32"/>
        <v>-1590</v>
      </c>
      <c r="H36" s="5">
        <f t="shared" si="32"/>
        <v>-687</v>
      </c>
      <c r="I36" s="5">
        <f t="shared" si="32"/>
        <v>-1091</v>
      </c>
      <c r="J36" s="5">
        <f t="shared" si="32"/>
        <v>-1195</v>
      </c>
      <c r="K36" s="5">
        <f t="shared" si="32"/>
        <v>-2679</v>
      </c>
      <c r="L36" s="5">
        <f t="shared" si="32"/>
        <v>-897</v>
      </c>
      <c r="M36" s="5">
        <f t="shared" si="32"/>
        <v>-1265</v>
      </c>
      <c r="N36" s="5">
        <f t="shared" si="32"/>
        <v>-1170</v>
      </c>
      <c r="O36" s="5">
        <f t="shared" si="32"/>
        <v>-1080.2990024345481</v>
      </c>
      <c r="P36" s="5">
        <f t="shared" si="32"/>
        <v>-1391.9732669081311</v>
      </c>
      <c r="Q36" s="5">
        <f t="shared" si="32"/>
        <v>-1147.0671488592152</v>
      </c>
      <c r="R36" s="5">
        <f t="shared" si="32"/>
        <v>-1563.1011011145654</v>
      </c>
      <c r="S36" s="5">
        <f t="shared" si="32"/>
        <v>-1237.4982977667019</v>
      </c>
      <c r="T36" s="5">
        <f t="shared" si="32"/>
        <v>-1756.8675787644509</v>
      </c>
      <c r="U36" s="5">
        <f t="shared" si="32"/>
        <v>-1353.1547254593193</v>
      </c>
      <c r="V36" s="5">
        <f t="shared" si="32"/>
        <v>-1977.8926551976874</v>
      </c>
      <c r="W36" s="5">
        <f t="shared" si="32"/>
        <v>-1496.8886114766265</v>
      </c>
      <c r="X36" s="5">
        <f t="shared" si="32"/>
        <v>-2231.6999703065703</v>
      </c>
      <c r="Y36" s="5">
        <f t="shared" si="32"/>
        <v>-1672.8124373501148</v>
      </c>
      <c r="Z36" s="5">
        <f t="shared" si="32"/>
        <v>-2524.910034500117</v>
      </c>
      <c r="AE36" s="5">
        <f t="shared" ref="AE36:AH36" si="33">AE29+AE35</f>
        <v>-1438</v>
      </c>
      <c r="AF36" s="5">
        <f t="shared" si="33"/>
        <v>-2277</v>
      </c>
      <c r="AG36" s="5">
        <f t="shared" si="33"/>
        <v>-2286</v>
      </c>
      <c r="AH36" s="5">
        <f t="shared" si="33"/>
        <v>-3576</v>
      </c>
      <c r="AI36" s="5">
        <f t="shared" ref="AI36" si="34">AI29+AI35</f>
        <v>-2435</v>
      </c>
      <c r="AJ36" s="5">
        <f t="shared" ref="AJ36:AO36" si="35">AJ29+AJ35</f>
        <v>-2472.2722693426795</v>
      </c>
      <c r="AK36" s="5">
        <f t="shared" si="35"/>
        <v>-2710.1682499737803</v>
      </c>
      <c r="AL36" s="5">
        <f t="shared" si="35"/>
        <v>-2994.3658765311529</v>
      </c>
      <c r="AM36" s="5">
        <f t="shared" si="35"/>
        <v>-3331.0473806570067</v>
      </c>
      <c r="AN36" s="5">
        <f t="shared" si="35"/>
        <v>-3728.5885817831968</v>
      </c>
      <c r="AO36" s="5">
        <f t="shared" si="35"/>
        <v>-4197.7224718502312</v>
      </c>
      <c r="AU36" s="40">
        <v>0</v>
      </c>
    </row>
    <row r="37" spans="1:47" x14ac:dyDescent="0.3">
      <c r="A37" s="3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I37" s="4"/>
      <c r="AJ37" s="4"/>
      <c r="AK37" s="4"/>
      <c r="AL37" s="4"/>
      <c r="AM37" s="4"/>
      <c r="AN37" s="4"/>
      <c r="AO37" s="4"/>
      <c r="AU37" s="40"/>
    </row>
    <row r="38" spans="1:47" x14ac:dyDescent="0.3">
      <c r="A38" t="s">
        <v>114</v>
      </c>
      <c r="B38">
        <v>537</v>
      </c>
      <c r="C38" s="4">
        <f t="shared" ref="C38:C44" si="36">D38-B38</f>
        <v>1751</v>
      </c>
      <c r="D38" s="4">
        <v>2288</v>
      </c>
      <c r="E38" s="4">
        <v>5872</v>
      </c>
      <c r="F38" s="4">
        <f t="shared" ref="F38:F44" si="37">AE38-E38</f>
        <v>165</v>
      </c>
      <c r="G38" s="4">
        <v>721</v>
      </c>
      <c r="H38" s="4">
        <f t="shared" ref="H38:H44" si="38">AF38-G38</f>
        <v>850</v>
      </c>
      <c r="I38" s="4">
        <v>301</v>
      </c>
      <c r="J38" s="4">
        <f t="shared" ref="J38:J44" si="39">AG38-I38</f>
        <v>343</v>
      </c>
      <c r="K38" s="4">
        <v>5492</v>
      </c>
      <c r="L38" s="4">
        <f t="shared" ref="L38:L44" si="40">AH38-K38</f>
        <v>1259</v>
      </c>
      <c r="M38" s="4">
        <v>1973</v>
      </c>
      <c r="N38" s="4">
        <f t="shared" ref="N38:N44" si="41">AI38-M38</f>
        <v>1103</v>
      </c>
      <c r="O38" s="4">
        <f>-('Balance Sheet'!N31-'Balance Sheet'!O31)</f>
        <v>250</v>
      </c>
      <c r="P38" s="4">
        <f t="shared" ref="P38:P44" si="42">AJ38-O38</f>
        <v>250</v>
      </c>
      <c r="Q38" s="42">
        <f>'Balance Sheet'!Q82-'Balance Sheet'!P82</f>
        <v>250</v>
      </c>
      <c r="R38" s="4">
        <f t="shared" ref="R38:R44" si="43">AK38-Q38</f>
        <v>250</v>
      </c>
      <c r="S38" s="4">
        <f>'Balance Sheet'!S82-'Balance Sheet'!R82</f>
        <v>250</v>
      </c>
      <c r="T38" s="4">
        <f t="shared" ref="T38:T44" si="44">AL38-S38</f>
        <v>250</v>
      </c>
      <c r="U38" s="4">
        <f>'Balance Sheet'!U82-'Balance Sheet'!T82</f>
        <v>250</v>
      </c>
      <c r="V38" s="4">
        <f t="shared" ref="V38:V44" si="45">AM38-U38</f>
        <v>250</v>
      </c>
      <c r="W38" s="4">
        <f>'Balance Sheet'!W82-'Balance Sheet'!V82</f>
        <v>250</v>
      </c>
      <c r="X38" s="4">
        <f t="shared" ref="X38:X44" si="46">AN38-W38</f>
        <v>250</v>
      </c>
      <c r="Y38" s="4">
        <f>'Balance Sheet'!Y82-'Balance Sheet'!X82</f>
        <v>250</v>
      </c>
      <c r="Z38" s="4">
        <f t="shared" ref="Z38:Z44" si="47">AO38-Y38</f>
        <v>250</v>
      </c>
      <c r="AE38" s="4">
        <v>6037</v>
      </c>
      <c r="AF38" s="4">
        <v>1571</v>
      </c>
      <c r="AG38" s="4">
        <v>644</v>
      </c>
      <c r="AH38" s="4">
        <v>6751</v>
      </c>
      <c r="AI38" s="4">
        <v>3076</v>
      </c>
      <c r="AJ38" s="39">
        <f>'Balance Sheet'!AJ82-'Balance Sheet'!AI82</f>
        <v>500</v>
      </c>
      <c r="AK38" s="39">
        <f>'Balance Sheet'!AK82-'Balance Sheet'!AJ82</f>
        <v>500</v>
      </c>
      <c r="AL38" s="39">
        <f>'Balance Sheet'!AL82-'Balance Sheet'!AK82</f>
        <v>500</v>
      </c>
      <c r="AM38" s="39">
        <f>'Balance Sheet'!AM82-'Balance Sheet'!AL82</f>
        <v>500</v>
      </c>
      <c r="AN38" s="39">
        <f>'Balance Sheet'!AN82-'Balance Sheet'!AM82</f>
        <v>500</v>
      </c>
      <c r="AO38" s="39">
        <f>'Balance Sheet'!AO82-'Balance Sheet'!AN82</f>
        <v>500</v>
      </c>
      <c r="AU38" s="40"/>
    </row>
    <row r="39" spans="1:47" x14ac:dyDescent="0.3">
      <c r="A39" t="s">
        <v>115</v>
      </c>
      <c r="B39">
        <v>-881</v>
      </c>
      <c r="C39" s="4">
        <f t="shared" si="36"/>
        <v>-1269</v>
      </c>
      <c r="D39" s="4">
        <v>-2150</v>
      </c>
      <c r="E39" s="4">
        <v>-1474</v>
      </c>
      <c r="F39" s="4">
        <f t="shared" si="37"/>
        <v>-2240</v>
      </c>
      <c r="G39" s="4">
        <v>-2275</v>
      </c>
      <c r="H39" s="4">
        <f t="shared" si="38"/>
        <v>-1087</v>
      </c>
      <c r="I39" s="4">
        <v>-986</v>
      </c>
      <c r="J39" s="4">
        <f t="shared" si="39"/>
        <v>-948</v>
      </c>
      <c r="K39" s="4">
        <v>-2041</v>
      </c>
      <c r="L39" s="4">
        <f t="shared" si="40"/>
        <v>-2573</v>
      </c>
      <c r="M39" s="4">
        <v>-1804</v>
      </c>
      <c r="N39" s="4">
        <f t="shared" si="41"/>
        <v>-2287</v>
      </c>
      <c r="O39" s="4"/>
      <c r="P39" s="4">
        <f t="shared" si="42"/>
        <v>0</v>
      </c>
      <c r="Q39" s="4"/>
      <c r="R39" s="4">
        <f t="shared" si="43"/>
        <v>0</v>
      </c>
      <c r="S39" s="4"/>
      <c r="T39" s="4">
        <f t="shared" si="44"/>
        <v>0</v>
      </c>
      <c r="U39" s="4"/>
      <c r="V39" s="4">
        <f t="shared" si="45"/>
        <v>0</v>
      </c>
      <c r="W39" s="4"/>
      <c r="X39" s="4">
        <f t="shared" si="46"/>
        <v>0</v>
      </c>
      <c r="Y39" s="4"/>
      <c r="Z39" s="4">
        <f t="shared" si="47"/>
        <v>0</v>
      </c>
      <c r="AE39" s="4">
        <v>-3714</v>
      </c>
      <c r="AF39" s="4">
        <v>-3362</v>
      </c>
      <c r="AG39" s="4">
        <v>-1934</v>
      </c>
      <c r="AH39" s="4">
        <v>-4614</v>
      </c>
      <c r="AI39" s="4">
        <v>-4091</v>
      </c>
      <c r="AJ39" s="4"/>
      <c r="AK39" s="4"/>
      <c r="AL39" s="4"/>
      <c r="AM39" s="4"/>
      <c r="AN39" s="4"/>
      <c r="AO39" s="4"/>
      <c r="AU39" s="40">
        <v>0</v>
      </c>
    </row>
    <row r="40" spans="1:47" x14ac:dyDescent="0.3">
      <c r="A40" t="s">
        <v>116</v>
      </c>
      <c r="B40">
        <v>-114</v>
      </c>
      <c r="C40" s="4">
        <f t="shared" si="36"/>
        <v>-145</v>
      </c>
      <c r="D40" s="4">
        <v>-259</v>
      </c>
      <c r="E40" s="4">
        <v>-137</v>
      </c>
      <c r="F40" s="4">
        <f t="shared" si="37"/>
        <v>-144</v>
      </c>
      <c r="G40" s="4">
        <v>-150</v>
      </c>
      <c r="H40" s="4">
        <f t="shared" si="38"/>
        <v>-148</v>
      </c>
      <c r="I40" s="4">
        <v>-148</v>
      </c>
      <c r="J40" s="4">
        <f t="shared" si="39"/>
        <v>-156</v>
      </c>
      <c r="K40" s="4">
        <v>-220</v>
      </c>
      <c r="L40" s="4">
        <f t="shared" si="40"/>
        <v>-170</v>
      </c>
      <c r="M40" s="4">
        <v>-184</v>
      </c>
      <c r="N40" s="4">
        <f t="shared" si="41"/>
        <v>-171</v>
      </c>
      <c r="O40" s="4"/>
      <c r="P40" s="4">
        <f t="shared" si="42"/>
        <v>0</v>
      </c>
      <c r="Q40" s="4"/>
      <c r="R40" s="4">
        <f t="shared" si="43"/>
        <v>0</v>
      </c>
      <c r="S40" s="4"/>
      <c r="T40" s="4">
        <f t="shared" si="44"/>
        <v>0</v>
      </c>
      <c r="U40" s="4"/>
      <c r="V40" s="4">
        <f t="shared" si="45"/>
        <v>0</v>
      </c>
      <c r="W40" s="4"/>
      <c r="X40" s="4">
        <f t="shared" si="46"/>
        <v>0</v>
      </c>
      <c r="Y40" s="4"/>
      <c r="Z40" s="4">
        <f t="shared" si="47"/>
        <v>0</v>
      </c>
      <c r="AE40" s="4">
        <v>-281</v>
      </c>
      <c r="AF40" s="4">
        <v>-298</v>
      </c>
      <c r="AG40" s="4">
        <v>-304</v>
      </c>
      <c r="AH40" s="4">
        <v>-390</v>
      </c>
      <c r="AI40" s="4">
        <v>-355</v>
      </c>
      <c r="AJ40" s="4"/>
      <c r="AK40" s="4"/>
      <c r="AL40" s="4"/>
      <c r="AM40" s="4"/>
      <c r="AN40" s="4"/>
      <c r="AO40" s="4"/>
      <c r="AU40" s="40"/>
    </row>
    <row r="41" spans="1:47" x14ac:dyDescent="0.3">
      <c r="A41" t="s">
        <v>117</v>
      </c>
      <c r="B41">
        <v>-724</v>
      </c>
      <c r="C41" s="4">
        <f t="shared" si="36"/>
        <v>-499</v>
      </c>
      <c r="D41" s="4">
        <v>-1223</v>
      </c>
      <c r="E41" s="4">
        <v>-709</v>
      </c>
      <c r="F41" s="4">
        <f t="shared" si="37"/>
        <v>-102</v>
      </c>
      <c r="G41" s="4">
        <v>-579</v>
      </c>
      <c r="H41" s="4">
        <f t="shared" si="38"/>
        <v>-217</v>
      </c>
      <c r="I41" s="4">
        <v>-652</v>
      </c>
      <c r="J41" s="4">
        <f t="shared" si="39"/>
        <v>-447</v>
      </c>
      <c r="K41" s="4">
        <v>-840</v>
      </c>
      <c r="L41" s="4">
        <f t="shared" si="40"/>
        <v>-495</v>
      </c>
      <c r="M41" s="4">
        <v>-638</v>
      </c>
      <c r="N41" s="4">
        <f t="shared" si="41"/>
        <v>-561</v>
      </c>
      <c r="O41" s="4"/>
      <c r="P41" s="4">
        <f t="shared" si="42"/>
        <v>0</v>
      </c>
      <c r="Q41" s="4"/>
      <c r="R41" s="4">
        <f t="shared" si="43"/>
        <v>0</v>
      </c>
      <c r="S41" s="4"/>
      <c r="T41" s="4">
        <f t="shared" si="44"/>
        <v>0</v>
      </c>
      <c r="U41" s="4"/>
      <c r="V41" s="4">
        <f t="shared" si="45"/>
        <v>0</v>
      </c>
      <c r="W41" s="4"/>
      <c r="X41" s="4">
        <f t="shared" si="46"/>
        <v>0</v>
      </c>
      <c r="Y41" s="4"/>
      <c r="Z41" s="4">
        <f t="shared" si="47"/>
        <v>0</v>
      </c>
      <c r="AE41" s="4">
        <v>-811</v>
      </c>
      <c r="AF41" s="4">
        <v>-796</v>
      </c>
      <c r="AG41" s="4">
        <v>-1099</v>
      </c>
      <c r="AH41" s="4">
        <v>-1335</v>
      </c>
      <c r="AI41" s="4">
        <v>-1199</v>
      </c>
      <c r="AJ41" s="4"/>
      <c r="AK41" s="4"/>
      <c r="AL41" s="4"/>
      <c r="AM41" s="4"/>
      <c r="AN41" s="4"/>
      <c r="AO41" s="4"/>
      <c r="AU41" s="40">
        <v>0</v>
      </c>
    </row>
    <row r="42" spans="1:47" x14ac:dyDescent="0.3">
      <c r="A42" t="s">
        <v>118</v>
      </c>
      <c r="B42">
        <v>418</v>
      </c>
      <c r="C42" s="4">
        <f t="shared" si="36"/>
        <v>10</v>
      </c>
      <c r="D42" s="4">
        <v>428</v>
      </c>
      <c r="E42" s="4">
        <v>-4</v>
      </c>
      <c r="F42" s="4">
        <f t="shared" si="37"/>
        <v>15</v>
      </c>
      <c r="G42" s="4">
        <v>26</v>
      </c>
      <c r="H42" s="4">
        <f t="shared" si="38"/>
        <v>-14</v>
      </c>
      <c r="I42" s="4">
        <v>-23</v>
      </c>
      <c r="J42" s="4">
        <f t="shared" si="39"/>
        <v>-20</v>
      </c>
      <c r="K42" s="4">
        <v>-928</v>
      </c>
      <c r="L42" s="4">
        <f t="shared" si="40"/>
        <v>-14</v>
      </c>
      <c r="M42" s="4">
        <v>-36</v>
      </c>
      <c r="N42" s="4">
        <f t="shared" si="41"/>
        <v>31</v>
      </c>
      <c r="O42" s="4"/>
      <c r="P42" s="4">
        <f t="shared" si="42"/>
        <v>0</v>
      </c>
      <c r="Q42" s="4"/>
      <c r="R42" s="4">
        <f t="shared" si="43"/>
        <v>0</v>
      </c>
      <c r="S42" s="4"/>
      <c r="T42" s="4">
        <f t="shared" si="44"/>
        <v>0</v>
      </c>
      <c r="U42" s="4"/>
      <c r="V42" s="4">
        <f t="shared" si="45"/>
        <v>0</v>
      </c>
      <c r="W42" s="4"/>
      <c r="X42" s="4">
        <f t="shared" si="46"/>
        <v>0</v>
      </c>
      <c r="Y42" s="4"/>
      <c r="Z42" s="4">
        <f t="shared" si="47"/>
        <v>0</v>
      </c>
      <c r="AE42" s="4">
        <v>11</v>
      </c>
      <c r="AF42" s="4">
        <v>12</v>
      </c>
      <c r="AG42" s="4">
        <v>-43</v>
      </c>
      <c r="AH42" s="4">
        <v>-942</v>
      </c>
      <c r="AI42" s="4">
        <v>-5</v>
      </c>
      <c r="AJ42" s="4"/>
      <c r="AK42" s="4"/>
      <c r="AL42" s="4"/>
      <c r="AM42" s="4"/>
      <c r="AN42" s="4"/>
      <c r="AO42" s="4"/>
      <c r="AU42" s="105">
        <v>0</v>
      </c>
    </row>
    <row r="43" spans="1:47" x14ac:dyDescent="0.3">
      <c r="A43" t="s">
        <v>119</v>
      </c>
      <c r="B43">
        <v>-103</v>
      </c>
      <c r="C43" s="4">
        <f t="shared" si="36"/>
        <v>0</v>
      </c>
      <c r="D43" s="4">
        <v>-103</v>
      </c>
      <c r="E43" s="4">
        <v>-3</v>
      </c>
      <c r="F43" s="4">
        <f t="shared" si="37"/>
        <v>-1</v>
      </c>
      <c r="G43" s="4">
        <v>-10</v>
      </c>
      <c r="H43" s="4">
        <f t="shared" si="38"/>
        <v>0</v>
      </c>
      <c r="I43" s="4">
        <v>-8</v>
      </c>
      <c r="J43" s="4">
        <f t="shared" si="39"/>
        <v>-383</v>
      </c>
      <c r="K43" s="4">
        <v>-288</v>
      </c>
      <c r="L43" s="4">
        <f t="shared" si="40"/>
        <v>2</v>
      </c>
      <c r="M43" s="4">
        <v>0</v>
      </c>
      <c r="N43" s="4">
        <f t="shared" si="41"/>
        <v>0</v>
      </c>
      <c r="O43" s="4"/>
      <c r="P43" s="4">
        <f t="shared" si="42"/>
        <v>0</v>
      </c>
      <c r="Q43" s="4"/>
      <c r="R43" s="4">
        <f t="shared" si="43"/>
        <v>0</v>
      </c>
      <c r="S43" s="4"/>
      <c r="T43" s="4">
        <f t="shared" si="44"/>
        <v>0</v>
      </c>
      <c r="U43" s="4"/>
      <c r="V43" s="4">
        <f t="shared" si="45"/>
        <v>0</v>
      </c>
      <c r="W43" s="4"/>
      <c r="X43" s="4">
        <f t="shared" si="46"/>
        <v>0</v>
      </c>
      <c r="Y43" s="4"/>
      <c r="Z43" s="4">
        <f t="shared" si="47"/>
        <v>0</v>
      </c>
      <c r="AE43" s="4">
        <v>-4</v>
      </c>
      <c r="AF43" s="4">
        <v>-10</v>
      </c>
      <c r="AG43" s="4">
        <v>-391</v>
      </c>
      <c r="AH43" s="4">
        <v>-286</v>
      </c>
      <c r="AI43" s="4">
        <v>0</v>
      </c>
      <c r="AJ43" s="4"/>
      <c r="AK43" s="4"/>
      <c r="AL43" s="4"/>
      <c r="AM43" s="4"/>
      <c r="AN43" s="4"/>
      <c r="AO43" s="4"/>
      <c r="AU43">
        <v>0</v>
      </c>
    </row>
    <row r="44" spans="1:47" x14ac:dyDescent="0.3">
      <c r="A44" t="s">
        <v>133</v>
      </c>
      <c r="B44">
        <v>0</v>
      </c>
      <c r="C44" s="4">
        <f t="shared" si="36"/>
        <v>3</v>
      </c>
      <c r="D44" s="4">
        <v>3</v>
      </c>
      <c r="E44" s="4">
        <v>0</v>
      </c>
      <c r="F44" s="4">
        <f t="shared" si="37"/>
        <v>0</v>
      </c>
      <c r="G44" s="4">
        <v>0</v>
      </c>
      <c r="H44" s="4">
        <f t="shared" si="38"/>
        <v>0</v>
      </c>
      <c r="I44" s="4">
        <v>0</v>
      </c>
      <c r="J44" s="4">
        <f t="shared" si="39"/>
        <v>0</v>
      </c>
      <c r="K44" s="4">
        <v>0</v>
      </c>
      <c r="L44" s="4">
        <f t="shared" si="40"/>
        <v>0</v>
      </c>
      <c r="M44" s="4">
        <v>0</v>
      </c>
      <c r="N44" s="4">
        <f t="shared" si="41"/>
        <v>0</v>
      </c>
      <c r="O44" s="4"/>
      <c r="P44" s="4">
        <f t="shared" si="42"/>
        <v>0</v>
      </c>
      <c r="Q44" s="4"/>
      <c r="R44" s="4">
        <f t="shared" si="43"/>
        <v>0</v>
      </c>
      <c r="S44" s="4"/>
      <c r="T44" s="4">
        <f t="shared" si="44"/>
        <v>0</v>
      </c>
      <c r="U44" s="4"/>
      <c r="V44" s="4">
        <f t="shared" si="45"/>
        <v>0</v>
      </c>
      <c r="W44" s="4"/>
      <c r="X44" s="4">
        <f t="shared" si="46"/>
        <v>0</v>
      </c>
      <c r="Y44" s="4"/>
      <c r="Z44" s="4">
        <f t="shared" si="47"/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39">
        <f>'Balance Sheet'!AJ32-'Balance Sheet'!AI32+'Balance Sheet'!AJ33-'Balance Sheet'!AI33+'Balance Sheet'!AJ34-'Balance Sheet'!AI34+'Balance Sheet'!AJ35-'Balance Sheet'!AI35++'Balance Sheet'!AJ26-'Balance Sheet'!AI26</f>
        <v>0</v>
      </c>
      <c r="AK44" s="39">
        <f>'Balance Sheet'!AK32-'Balance Sheet'!AJ32+'Balance Sheet'!AK33-'Balance Sheet'!AJ33+'Balance Sheet'!AK34-'Balance Sheet'!AJ34+'Balance Sheet'!AK35-'Balance Sheet'!AJ35++'Balance Sheet'!AK26-'Balance Sheet'!AJ26</f>
        <v>0</v>
      </c>
      <c r="AL44" s="39">
        <f>'Balance Sheet'!AL32-'Balance Sheet'!AK32+'Balance Sheet'!AL33-'Balance Sheet'!AK33+'Balance Sheet'!AL34-'Balance Sheet'!AK34+'Balance Sheet'!AL35-'Balance Sheet'!AK35++'Balance Sheet'!AL26-'Balance Sheet'!AK26</f>
        <v>0</v>
      </c>
      <c r="AM44" s="39">
        <f>'Balance Sheet'!AM32-'Balance Sheet'!AL32+'Balance Sheet'!AM33-'Balance Sheet'!AL33+'Balance Sheet'!AM34-'Balance Sheet'!AL34+'Balance Sheet'!AM35-'Balance Sheet'!AL35++'Balance Sheet'!AM26-'Balance Sheet'!AL26</f>
        <v>0</v>
      </c>
      <c r="AN44" s="39">
        <f>'Balance Sheet'!AN32-'Balance Sheet'!AM32+'Balance Sheet'!AN33-'Balance Sheet'!AM33+'Balance Sheet'!AN34-'Balance Sheet'!AM34+'Balance Sheet'!AN35-'Balance Sheet'!AM35++'Balance Sheet'!AN26-'Balance Sheet'!AM26</f>
        <v>0</v>
      </c>
      <c r="AO44" s="39">
        <f>'Balance Sheet'!AO32-'Balance Sheet'!AN32+'Balance Sheet'!AO33-'Balance Sheet'!AN33+'Balance Sheet'!AO34-'Balance Sheet'!AN34+'Balance Sheet'!AO35-'Balance Sheet'!AN35++'Balance Sheet'!AO26-'Balance Sheet'!AN26</f>
        <v>0</v>
      </c>
      <c r="AU44">
        <v>0</v>
      </c>
    </row>
    <row r="45" spans="1:47" x14ac:dyDescent="0.3">
      <c r="A45" s="3" t="s">
        <v>120</v>
      </c>
      <c r="B45" s="3">
        <f>SUM(B38:B44)</f>
        <v>-867</v>
      </c>
      <c r="C45" s="5">
        <f>SUM(C38:C44)</f>
        <v>-149</v>
      </c>
      <c r="D45" s="5">
        <f t="shared" ref="D45:Y45" si="48">SUM(D38:D44)</f>
        <v>-1016</v>
      </c>
      <c r="E45" s="5">
        <f t="shared" si="48"/>
        <v>3545</v>
      </c>
      <c r="F45" s="5">
        <f>SUM(F38:F44)</f>
        <v>-2307</v>
      </c>
      <c r="G45" s="5">
        <f t="shared" si="48"/>
        <v>-2267</v>
      </c>
      <c r="H45" s="5">
        <f>SUM(H38:H44)</f>
        <v>-616</v>
      </c>
      <c r="I45" s="5">
        <f t="shared" si="48"/>
        <v>-1516</v>
      </c>
      <c r="J45" s="5">
        <f>SUM(J38:J44)</f>
        <v>-1611</v>
      </c>
      <c r="K45" s="5">
        <f t="shared" si="48"/>
        <v>1175</v>
      </c>
      <c r="L45" s="5">
        <f>SUM(L38:L44)</f>
        <v>-1991</v>
      </c>
      <c r="M45" s="5">
        <f t="shared" si="48"/>
        <v>-689</v>
      </c>
      <c r="N45" s="5">
        <f>SUM(N38:N44)</f>
        <v>-1885</v>
      </c>
      <c r="O45" s="5">
        <f t="shared" si="48"/>
        <v>250</v>
      </c>
      <c r="P45" s="5">
        <f>SUM(P38:P44)</f>
        <v>250</v>
      </c>
      <c r="Q45" s="5">
        <f t="shared" si="48"/>
        <v>250</v>
      </c>
      <c r="R45" s="5">
        <f>SUM(R38:R44)</f>
        <v>250</v>
      </c>
      <c r="S45" s="5">
        <f t="shared" si="48"/>
        <v>250</v>
      </c>
      <c r="T45" s="5">
        <f>SUM(T38:T44)</f>
        <v>250</v>
      </c>
      <c r="U45" s="5">
        <f t="shared" si="48"/>
        <v>250</v>
      </c>
      <c r="V45" s="5">
        <f>SUM(V38:V44)</f>
        <v>250</v>
      </c>
      <c r="W45" s="5">
        <f t="shared" si="48"/>
        <v>250</v>
      </c>
      <c r="X45" s="5">
        <f>SUM(X38:X44)</f>
        <v>250</v>
      </c>
      <c r="Y45" s="5">
        <f t="shared" si="48"/>
        <v>250</v>
      </c>
      <c r="Z45" s="5">
        <f>SUM(Z38:Z44)</f>
        <v>250</v>
      </c>
      <c r="AE45" s="5">
        <f t="shared" ref="AE45:AH45" si="49">SUM(AE38:AE44)</f>
        <v>1238</v>
      </c>
      <c r="AF45" s="5">
        <f t="shared" si="49"/>
        <v>-2883</v>
      </c>
      <c r="AG45" s="5">
        <f t="shared" si="49"/>
        <v>-3127</v>
      </c>
      <c r="AH45" s="5">
        <f t="shared" si="49"/>
        <v>-816</v>
      </c>
      <c r="AI45" s="5">
        <f t="shared" ref="AI45" si="50">SUM(AI38:AI44)</f>
        <v>-2574</v>
      </c>
      <c r="AJ45" s="5">
        <f t="shared" ref="AJ45:AO45" si="51">SUM(AJ38:AJ44)</f>
        <v>500</v>
      </c>
      <c r="AK45" s="5">
        <f t="shared" si="51"/>
        <v>500</v>
      </c>
      <c r="AL45" s="5">
        <f t="shared" si="51"/>
        <v>500</v>
      </c>
      <c r="AM45" s="5">
        <f t="shared" si="51"/>
        <v>500</v>
      </c>
      <c r="AN45" s="5">
        <f t="shared" si="51"/>
        <v>500</v>
      </c>
      <c r="AO45" s="5">
        <f t="shared" si="51"/>
        <v>500</v>
      </c>
      <c r="AU45">
        <v>0</v>
      </c>
    </row>
    <row r="46" spans="1:47" x14ac:dyDescent="0.3"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I46" s="4"/>
      <c r="AJ46" s="4"/>
      <c r="AK46" s="4"/>
      <c r="AL46" s="4"/>
      <c r="AM46" s="4"/>
      <c r="AN46" s="4"/>
      <c r="AO46" s="4"/>
      <c r="AT46" s="4"/>
    </row>
    <row r="47" spans="1:47" x14ac:dyDescent="0.3">
      <c r="A47" s="3" t="s">
        <v>121</v>
      </c>
      <c r="B47" s="3">
        <f>+B22+B36+B45</f>
        <v>-3051</v>
      </c>
      <c r="C47" s="5">
        <f t="shared" ref="C47:O47" si="52">+C22+C36+C45</f>
        <v>1499</v>
      </c>
      <c r="D47" s="5">
        <f t="shared" si="52"/>
        <v>-1552</v>
      </c>
      <c r="E47" s="5">
        <f t="shared" si="52"/>
        <v>2791</v>
      </c>
      <c r="F47" s="5">
        <f t="shared" ref="F47" si="53">+F22+F36+F45</f>
        <v>145</v>
      </c>
      <c r="G47" s="5">
        <f t="shared" si="52"/>
        <v>-2276</v>
      </c>
      <c r="H47" s="5">
        <f t="shared" ref="H47" si="54">+H22+H36+H45</f>
        <v>1297</v>
      </c>
      <c r="I47" s="5">
        <f t="shared" si="52"/>
        <v>-438</v>
      </c>
      <c r="J47" s="5">
        <f t="shared" ref="J47" si="55">+J22+J36+J45</f>
        <v>-479</v>
      </c>
      <c r="K47" s="5">
        <f t="shared" si="52"/>
        <v>-472</v>
      </c>
      <c r="L47" s="5">
        <f t="shared" ref="L47" si="56">+L22+L36+L45</f>
        <v>510</v>
      </c>
      <c r="M47" s="5">
        <f t="shared" si="52"/>
        <v>-11</v>
      </c>
      <c r="N47" s="5">
        <f t="shared" ref="N47" si="57">+N22+N36+N45</f>
        <v>139.2188199999996</v>
      </c>
      <c r="O47" s="5">
        <f t="shared" si="52"/>
        <v>1813.2654633193983</v>
      </c>
      <c r="P47" s="5">
        <f t="shared" ref="P47" si="58">+P22+P36+P45</f>
        <v>1274.6010616517099</v>
      </c>
      <c r="Q47" s="5">
        <f>+Q22+Q36+Q45</f>
        <v>1909.1709785042262</v>
      </c>
      <c r="R47" s="5">
        <f t="shared" ref="R47" si="59">+R22+R36+R45</f>
        <v>1499.8051191375805</v>
      </c>
      <c r="S47" s="5">
        <f>+S22+S36+S45</f>
        <v>2017.6277947060426</v>
      </c>
      <c r="T47" s="5">
        <f t="shared" ref="T47" si="60">+T22+T36+T45</f>
        <v>1667.8747209359992</v>
      </c>
      <c r="U47" s="5">
        <f>+U22+U36+U45</f>
        <v>2170.4871147339009</v>
      </c>
      <c r="V47" s="5">
        <f t="shared" ref="V47" si="61">+V22+V36+V45</f>
        <v>1835.0195934033136</v>
      </c>
      <c r="W47" s="5">
        <f>+W22+W36+W45</f>
        <v>2374.1326790117691</v>
      </c>
      <c r="X47" s="5">
        <f t="shared" ref="X47" si="62">+X22+X36+X45</f>
        <v>2014.7111706516234</v>
      </c>
      <c r="Y47" s="5">
        <f>+Y22+Y36+Y45</f>
        <v>2625.6073668315485</v>
      </c>
      <c r="Z47" s="5">
        <f t="shared" ref="Z47" si="63">+Z22+Z36+Z45</f>
        <v>2202.0557085782038</v>
      </c>
      <c r="AE47" s="5">
        <f t="shared" ref="AE47:AH47" si="64">+AE22+AE36+AE45</f>
        <v>2936</v>
      </c>
      <c r="AF47" s="5">
        <f t="shared" si="64"/>
        <v>-979</v>
      </c>
      <c r="AG47" s="5">
        <f t="shared" si="64"/>
        <v>-917</v>
      </c>
      <c r="AH47" s="5">
        <f t="shared" si="64"/>
        <v>38</v>
      </c>
      <c r="AI47" s="5">
        <f t="shared" ref="AI47" si="65">+AI22+AI36+AI45</f>
        <v>494</v>
      </c>
      <c r="AJ47" s="5">
        <f t="shared" ref="AJ47:AO47" si="66">+AJ22+AJ36+AJ45</f>
        <v>3087.8665249711084</v>
      </c>
      <c r="AK47" s="5">
        <f t="shared" si="66"/>
        <v>3408.9760976418033</v>
      </c>
      <c r="AL47" s="5">
        <f t="shared" si="66"/>
        <v>3685.5025156420415</v>
      </c>
      <c r="AM47" s="5">
        <f t="shared" si="66"/>
        <v>4005.5067081372185</v>
      </c>
      <c r="AN47" s="5">
        <f t="shared" si="66"/>
        <v>4388.8438496633908</v>
      </c>
      <c r="AO47" s="5">
        <f t="shared" si="66"/>
        <v>4827.6630754097441</v>
      </c>
      <c r="AU47" s="4"/>
    </row>
    <row r="48" spans="1:47" x14ac:dyDescent="0.3">
      <c r="A48" t="s">
        <v>122</v>
      </c>
      <c r="B48">
        <v>2249</v>
      </c>
      <c r="C48" s="4">
        <f>B50</f>
        <v>-796</v>
      </c>
      <c r="D48" s="4">
        <v>2248</v>
      </c>
      <c r="E48" s="4">
        <v>687</v>
      </c>
      <c r="F48" s="4">
        <f>E50</f>
        <v>3493</v>
      </c>
      <c r="G48" s="4">
        <f>AE50</f>
        <v>3519</v>
      </c>
      <c r="H48" s="4">
        <f>G50</f>
        <v>1253</v>
      </c>
      <c r="I48" s="4">
        <f>AF50</f>
        <v>2556</v>
      </c>
      <c r="J48" s="4">
        <f>I50</f>
        <v>2146</v>
      </c>
      <c r="K48" s="4">
        <v>1618</v>
      </c>
      <c r="L48" s="4">
        <f>K50</f>
        <v>975</v>
      </c>
      <c r="M48" s="4">
        <f>AH50</f>
        <v>1425</v>
      </c>
      <c r="N48" s="4">
        <f>'Balance Sheet'!M17</f>
        <v>2277</v>
      </c>
      <c r="O48" s="4">
        <f t="shared" ref="O48:Z48" si="67">N50</f>
        <v>2339.2188199999996</v>
      </c>
      <c r="P48" s="4">
        <f t="shared" si="67"/>
        <v>4152.4842833193979</v>
      </c>
      <c r="Q48" s="4">
        <f t="shared" si="67"/>
        <v>5427.0853449711076</v>
      </c>
      <c r="R48" s="4">
        <f t="shared" si="67"/>
        <v>7336.2563234753343</v>
      </c>
      <c r="S48" s="4">
        <f t="shared" si="67"/>
        <v>8836.0614426129141</v>
      </c>
      <c r="T48" s="4">
        <f t="shared" si="67"/>
        <v>10853.689237318957</v>
      </c>
      <c r="U48" s="4">
        <f t="shared" si="67"/>
        <v>12521.563958254956</v>
      </c>
      <c r="V48" s="4">
        <f t="shared" si="67"/>
        <v>14692.051072988856</v>
      </c>
      <c r="W48" s="4">
        <f t="shared" si="67"/>
        <v>16527.07066639217</v>
      </c>
      <c r="X48" s="4">
        <f t="shared" si="67"/>
        <v>18901.203345403941</v>
      </c>
      <c r="Y48" s="4">
        <f t="shared" si="67"/>
        <v>20915.914516055564</v>
      </c>
      <c r="Z48" s="4">
        <f t="shared" si="67"/>
        <v>23541.521882887111</v>
      </c>
      <c r="AE48" s="4">
        <f>D50</f>
        <v>687</v>
      </c>
      <c r="AF48" s="4">
        <f>AE50</f>
        <v>3519</v>
      </c>
      <c r="AG48" s="4">
        <v>2556</v>
      </c>
      <c r="AH48" s="4">
        <f>AG50</f>
        <v>1618</v>
      </c>
      <c r="AI48" s="4">
        <f>AH50</f>
        <v>1425</v>
      </c>
      <c r="AJ48" s="4">
        <f>'Balance Sheet'!AI17</f>
        <v>2350</v>
      </c>
      <c r="AK48" s="4">
        <f>'Balance Sheet'!AJ17</f>
        <v>5437.8665249711084</v>
      </c>
      <c r="AL48" s="4">
        <f>'Balance Sheet'!AK17</f>
        <v>8846.8426226129122</v>
      </c>
      <c r="AM48" s="4">
        <f>'Balance Sheet'!AL17</f>
        <v>12532.345138254954</v>
      </c>
      <c r="AN48" s="4">
        <f>'Balance Sheet'!AM17</f>
        <v>16537.851846392172</v>
      </c>
      <c r="AO48" s="4">
        <f>'Balance Sheet'!AN17</f>
        <v>20926.695696055562</v>
      </c>
    </row>
    <row r="49" spans="1:41" x14ac:dyDescent="0.3">
      <c r="A49" t="s">
        <v>123</v>
      </c>
      <c r="B49">
        <v>6</v>
      </c>
      <c r="C49" s="4">
        <f t="shared" ref="C49" si="68">D49-B49</f>
        <v>-15</v>
      </c>
      <c r="D49" s="4">
        <v>-9</v>
      </c>
      <c r="E49" s="4">
        <v>15</v>
      </c>
      <c r="F49" s="4">
        <f>AE49-E49</f>
        <v>-119</v>
      </c>
      <c r="G49" s="4">
        <v>10</v>
      </c>
      <c r="H49" s="4">
        <f>AF49-G49</f>
        <v>6</v>
      </c>
      <c r="I49" s="4">
        <v>28</v>
      </c>
      <c r="J49" s="4">
        <f>AG49-I49</f>
        <v>-49</v>
      </c>
      <c r="K49" s="4">
        <v>-171</v>
      </c>
      <c r="L49" s="4">
        <f>AH49-K49</f>
        <v>-60</v>
      </c>
      <c r="M49" s="4">
        <v>-89</v>
      </c>
      <c r="N49" s="4">
        <f>AI49-M49</f>
        <v>-77</v>
      </c>
      <c r="O49" s="4"/>
      <c r="P49" s="4">
        <f>AJ49-O49</f>
        <v>0</v>
      </c>
      <c r="Q49" s="4"/>
      <c r="R49" s="4">
        <f>AK49-Q49</f>
        <v>0</v>
      </c>
      <c r="S49" s="4"/>
      <c r="T49" s="4">
        <f>AL49-S49</f>
        <v>0</v>
      </c>
      <c r="U49" s="4"/>
      <c r="V49" s="4">
        <f>AM49-U49</f>
        <v>0</v>
      </c>
      <c r="W49" s="4"/>
      <c r="X49" s="4">
        <f>AN49-W49</f>
        <v>0</v>
      </c>
      <c r="Y49" s="4"/>
      <c r="Z49" s="4">
        <f>AO49-Y49</f>
        <v>0</v>
      </c>
      <c r="AE49" s="4">
        <v>-104</v>
      </c>
      <c r="AF49" s="4">
        <v>16</v>
      </c>
      <c r="AG49" s="4">
        <v>-21</v>
      </c>
      <c r="AH49" s="4">
        <v>-231</v>
      </c>
      <c r="AI49" s="4">
        <v>-166</v>
      </c>
      <c r="AJ49" s="4"/>
      <c r="AK49" s="4"/>
      <c r="AL49" s="4"/>
      <c r="AM49" s="4"/>
      <c r="AN49" s="4"/>
      <c r="AO49" s="4"/>
    </row>
    <row r="50" spans="1:41" x14ac:dyDescent="0.3">
      <c r="A50" s="3" t="s">
        <v>124</v>
      </c>
      <c r="B50" s="3">
        <f>+B47+B48+B49</f>
        <v>-796</v>
      </c>
      <c r="C50" s="5">
        <f>+C47+C48+C49-1</f>
        <v>687</v>
      </c>
      <c r="D50" s="5">
        <f t="shared" ref="D50:Z50" si="69">+D47+D48+D49</f>
        <v>687</v>
      </c>
      <c r="E50" s="5">
        <f t="shared" si="69"/>
        <v>3493</v>
      </c>
      <c r="F50" s="5">
        <f t="shared" si="69"/>
        <v>3519</v>
      </c>
      <c r="G50" s="5">
        <f t="shared" si="69"/>
        <v>1253</v>
      </c>
      <c r="H50" s="5">
        <f t="shared" si="69"/>
        <v>2556</v>
      </c>
      <c r="I50" s="5">
        <f t="shared" si="69"/>
        <v>2146</v>
      </c>
      <c r="J50" s="5">
        <f t="shared" si="69"/>
        <v>1618</v>
      </c>
      <c r="K50" s="5">
        <f t="shared" si="69"/>
        <v>975</v>
      </c>
      <c r="L50" s="5">
        <f t="shared" si="69"/>
        <v>1425</v>
      </c>
      <c r="M50" s="5">
        <f t="shared" si="69"/>
        <v>1325</v>
      </c>
      <c r="N50" s="5">
        <f t="shared" si="69"/>
        <v>2339.2188199999996</v>
      </c>
      <c r="O50" s="5">
        <f t="shared" si="69"/>
        <v>4152.4842833193979</v>
      </c>
      <c r="P50" s="5">
        <f t="shared" si="69"/>
        <v>5427.0853449711076</v>
      </c>
      <c r="Q50" s="5">
        <f t="shared" si="69"/>
        <v>7336.2563234753343</v>
      </c>
      <c r="R50" s="5">
        <f t="shared" si="69"/>
        <v>8836.0614426129141</v>
      </c>
      <c r="S50" s="5">
        <f t="shared" si="69"/>
        <v>10853.689237318957</v>
      </c>
      <c r="T50" s="5">
        <f t="shared" si="69"/>
        <v>12521.563958254956</v>
      </c>
      <c r="U50" s="5">
        <f t="shared" si="69"/>
        <v>14692.051072988856</v>
      </c>
      <c r="V50" s="5">
        <f t="shared" si="69"/>
        <v>16527.07066639217</v>
      </c>
      <c r="W50" s="5">
        <f t="shared" si="69"/>
        <v>18901.203345403941</v>
      </c>
      <c r="X50" s="5">
        <f t="shared" si="69"/>
        <v>20915.914516055564</v>
      </c>
      <c r="Y50" s="5">
        <f t="shared" si="69"/>
        <v>23541.521882887111</v>
      </c>
      <c r="Z50" s="5">
        <f t="shared" si="69"/>
        <v>25743.577591465313</v>
      </c>
      <c r="AE50" s="5">
        <f t="shared" ref="AE50:AH50" si="70">+AE47+AE48+AE49</f>
        <v>3519</v>
      </c>
      <c r="AF50" s="5">
        <f t="shared" si="70"/>
        <v>2556</v>
      </c>
      <c r="AG50" s="5">
        <f t="shared" si="70"/>
        <v>1618</v>
      </c>
      <c r="AH50" s="5">
        <f t="shared" si="70"/>
        <v>1425</v>
      </c>
      <c r="AI50" s="5">
        <f t="shared" ref="AI50" si="71">+AI47+AI48+AI49</f>
        <v>1753</v>
      </c>
      <c r="AJ50" s="5">
        <f t="shared" ref="AJ50:AO50" si="72">+AJ47+AJ48+AJ49</f>
        <v>5437.8665249711084</v>
      </c>
      <c r="AK50" s="5">
        <f t="shared" si="72"/>
        <v>8846.8426226129122</v>
      </c>
      <c r="AL50" s="5">
        <f t="shared" si="72"/>
        <v>12532.345138254954</v>
      </c>
      <c r="AM50" s="5">
        <f t="shared" si="72"/>
        <v>16537.851846392172</v>
      </c>
      <c r="AN50" s="5">
        <f t="shared" si="72"/>
        <v>20926.695696055562</v>
      </c>
      <c r="AO50" s="5">
        <f t="shared" si="72"/>
        <v>25754.358771465304</v>
      </c>
    </row>
    <row r="52" spans="1:41" x14ac:dyDescent="0.3">
      <c r="O52" s="4"/>
      <c r="AI52" s="4"/>
      <c r="AJ52" s="4">
        <f>+AJ50-P50</f>
        <v>10.781180000000859</v>
      </c>
      <c r="AK52" s="4"/>
      <c r="AL52" s="4"/>
      <c r="AM52" s="4"/>
      <c r="AN52" s="4"/>
      <c r="AO52" s="4"/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high="1" low="1" negative="1" xr2:uid="{BAB3B002-2AD6-4C64-A614-DFE6C629584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'Cash Flow Statement'!E12:Z12</xm:f>
              <xm:sqref>AB12</xm:sqref>
            </x14:sparkline>
          </x14:sparklines>
        </x14:sparklineGroup>
        <x14:sparklineGroup displayEmptyCellsAs="gap" markers="1" high="1" low="1" negative="1" xr2:uid="{5738180D-F87D-4D21-B790-1EF5D416115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'Cash Flow Statement'!E13:Z13</xm:f>
              <xm:sqref>AB13</xm:sqref>
            </x14:sparkline>
          </x14:sparklines>
        </x14:sparklineGroup>
        <x14:sparklineGroup displayEmptyCellsAs="gap" markers="1" high="1" low="1" negative="1" xr2:uid="{400516D1-DF3A-4463-A35C-98C5B259675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'Cash Flow Statement'!E14:Z14</xm:f>
              <xm:sqref>AB14</xm:sqref>
            </x14:sparkline>
          </x14:sparklines>
        </x14:sparklineGroup>
        <x14:sparklineGroup displayEmptyCellsAs="gap" markers="1" high="1" low="1" negative="1" xr2:uid="{2555C814-A654-4E6E-9C60-B79898772E9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'Cash Flow Statement'!E24:Z24</xm:f>
              <xm:sqref>AB24</xm:sqref>
            </x14:sparkline>
          </x14:sparklines>
        </x14:sparklineGroup>
        <x14:sparklineGroup displayEmptyCellsAs="gap" markers="1" high="1" low="1" negative="1" xr2:uid="{FC2F1F79-F8F8-4052-8D60-13C1FC84C54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'Cash Flow Statement'!E25:Z25</xm:f>
              <xm:sqref>AB25</xm:sqref>
            </x14:sparkline>
          </x14:sparklines>
        </x14:sparklineGroup>
        <x14:sparklineGroup displayEmptyCellsAs="gap" markers="1" high="1" low="1" negative="1" xr2:uid="{2F547B33-C664-486E-B983-3106F96C589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'Cash Flow Statement'!E26:Z26</xm:f>
              <xm:sqref>AB26</xm:sqref>
            </x14:sparkline>
          </x14:sparklines>
        </x14:sparklineGroup>
        <x14:sparklineGroup displayEmptyCellsAs="gap" markers="1" high="1" low="1" negative="1" xr2:uid="{18FA87B5-1E6B-4AB1-8663-C00A17806BD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'Cash Flow Statement'!E22:Z22</xm:f>
              <xm:sqref>AB22</xm:sqref>
            </x14:sparkline>
          </x14:sparklines>
        </x14:sparklineGroup>
        <x14:sparklineGroup displayEmptyCellsAs="gap" markers="1" high="1" low="1" negative="1" xr2:uid="{1011154A-E4C6-4535-8F09-03CA8E102E9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'Cash Flow Statement'!E29:Z29</xm:f>
              <xm:sqref>AB29</xm:sqref>
            </x14:sparkline>
          </x14:sparklines>
        </x14:sparklineGroup>
        <x14:sparklineGroup displayEmptyCellsAs="gap" markers="1" high="1" low="1" negative="1" xr2:uid="{0B7BC399-2268-4B86-8BD1-9F3CB0306A4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'Cash Flow Statement'!E36:Z36</xm:f>
              <xm:sqref>AB36</xm:sqref>
            </x14:sparkline>
          </x14:sparklines>
        </x14:sparklineGroup>
        <x14:sparklineGroup displayEmptyCellsAs="gap" markers="1" high="1" low="1" negative="1" xr2:uid="{BA15EB1B-DA48-4C5B-A3AA-EB83C011F09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'Cash Flow Statement'!E35:Z35</xm:f>
              <xm:sqref>AB35</xm:sqref>
            </x14:sparkline>
          </x14:sparklines>
        </x14:sparklineGroup>
        <x14:sparklineGroup displayEmptyCellsAs="gap" markers="1" high="1" low="1" negative="1" xr2:uid="{90AE0F6D-4E15-4A7A-B670-3B8100517B0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'Cash Flow Statement'!E38:Z38</xm:f>
              <xm:sqref>AB38</xm:sqref>
            </x14:sparkline>
          </x14:sparklines>
        </x14:sparklineGroup>
        <x14:sparklineGroup displayEmptyCellsAs="gap" markers="1" high="1" low="1" negative="1" xr2:uid="{0BBAEE33-C890-4CC5-A756-6BFDFC4559C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'Cash Flow Statement'!E39:Z39</xm:f>
              <xm:sqref>AB39</xm:sqref>
            </x14:sparkline>
          </x14:sparklines>
        </x14:sparklineGroup>
        <x14:sparklineGroup displayEmptyCellsAs="gap" markers="1" high="1" low="1" negative="1" xr2:uid="{CB0CA080-6223-4299-9BF8-8C8DAE6C282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'Cash Flow Statement'!E45:Z45</xm:f>
              <xm:sqref>AB45</xm:sqref>
            </x14:sparkline>
          </x14:sparklines>
        </x14:sparklineGroup>
        <x14:sparklineGroup displayEmptyCellsAs="gap" markers="1" high="1" low="1" negative="1" xr2:uid="{12E288E4-BEBE-42F9-B1F3-66B503F918F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'Cash Flow Statement'!E47:Z47</xm:f>
              <xm:sqref>AB47</xm:sqref>
            </x14:sparkline>
          </x14:sparklines>
        </x14:sparklineGroup>
        <x14:sparklineGroup displayEmptyCellsAs="gap" markers="1" high="1" low="1" negative="1" xr2:uid="{35F1DF11-4524-44CC-ACAC-47FD3377841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'Cash Flow Statement'!E50:Z50</xm:f>
              <xm:sqref>AB50</xm:sqref>
            </x14:sparkline>
          </x14:sparklines>
        </x14:sparklineGroup>
        <x14:sparklineGroup displayEmptyCellsAs="gap" markers="1" high="1" low="1" negative="1" xr2:uid="{33079A4B-5AE2-4EE6-A660-D22762018FD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'Cash Flow Statement'!AE50:AO50</xm:f>
              <xm:sqref>AQ50</xm:sqref>
            </x14:sparkline>
          </x14:sparklines>
        </x14:sparklineGroup>
        <x14:sparklineGroup displayEmptyCellsAs="gap" markers="1" high="1" low="1" negative="1" xr2:uid="{E13EABA7-453D-4027-BFF1-FCAA84AAA28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'Cash Flow Statement'!AE47:AO47</xm:f>
              <xm:sqref>AQ47</xm:sqref>
            </x14:sparkline>
          </x14:sparklines>
        </x14:sparklineGroup>
        <x14:sparklineGroup displayEmptyCellsAs="gap" markers="1" high="1" low="1" negative="1" xr2:uid="{9909199C-92D6-44DB-AAEC-FBC5F11A143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'Cash Flow Statement'!AE45:AO45</xm:f>
              <xm:sqref>AQ45</xm:sqref>
            </x14:sparkline>
          </x14:sparklines>
        </x14:sparklineGroup>
        <x14:sparklineGroup displayEmptyCellsAs="gap" markers="1" high="1" low="1" negative="1" xr2:uid="{62F1AF07-A9CF-4C7C-A453-B365F2A8A07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'Cash Flow Statement'!AE39:AO39</xm:f>
              <xm:sqref>AQ39</xm:sqref>
            </x14:sparkline>
          </x14:sparklines>
        </x14:sparklineGroup>
        <x14:sparklineGroup displayEmptyCellsAs="gap" markers="1" high="1" low="1" negative="1" xr2:uid="{161DA170-BC69-4C81-A242-7EFC578A5E3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'Cash Flow Statement'!AE38:AO38</xm:f>
              <xm:sqref>AQ38</xm:sqref>
            </x14:sparkline>
          </x14:sparklines>
        </x14:sparklineGroup>
        <x14:sparklineGroup displayEmptyCellsAs="gap" markers="1" high="1" low="1" negative="1" xr2:uid="{CE3DB949-42C7-4E13-92B8-0556132EBF4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'Cash Flow Statement'!AE36:AO36</xm:f>
              <xm:sqref>AQ36</xm:sqref>
            </x14:sparkline>
          </x14:sparklines>
        </x14:sparklineGroup>
        <x14:sparklineGroup displayEmptyCellsAs="gap" markers="1" high="1" low="1" negative="1" xr2:uid="{9CF9F22C-BB66-4752-A51A-7E3B59BF5D4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'Cash Flow Statement'!AE35:AO35</xm:f>
              <xm:sqref>AQ35</xm:sqref>
            </x14:sparkline>
          </x14:sparklines>
        </x14:sparklineGroup>
        <x14:sparklineGroup displayEmptyCellsAs="gap" markers="1" high="1" low="1" negative="1" xr2:uid="{CF2418C2-E784-4135-93C9-20236D66320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'Cash Flow Statement'!AE29:AO29</xm:f>
              <xm:sqref>AQ29</xm:sqref>
            </x14:sparkline>
          </x14:sparklines>
        </x14:sparklineGroup>
        <x14:sparklineGroup displayEmptyCellsAs="gap" markers="1" high="1" low="1" negative="1" xr2:uid="{CBE25E2E-EBDD-4065-A174-ED3B4F24D5E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'Cash Flow Statement'!AE26:AO26</xm:f>
              <xm:sqref>AQ26</xm:sqref>
            </x14:sparkline>
          </x14:sparklines>
        </x14:sparklineGroup>
        <x14:sparklineGroup displayEmptyCellsAs="gap" markers="1" high="1" low="1" negative="1" xr2:uid="{89770DF2-83E0-4268-B2E6-F85C6B97A72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'Cash Flow Statement'!AE12:AO12</xm:f>
              <xm:sqref>AQ12</xm:sqref>
            </x14:sparkline>
          </x14:sparklines>
        </x14:sparklineGroup>
        <x14:sparklineGroup displayEmptyCellsAs="gap" markers="1" high="1" low="1" negative="1" xr2:uid="{A1CB4A08-A464-4038-B5EF-65D3B52899D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'Cash Flow Statement'!AE13:AO13</xm:f>
              <xm:sqref>AQ13</xm:sqref>
            </x14:sparkline>
          </x14:sparklines>
        </x14:sparklineGroup>
        <x14:sparklineGroup displayEmptyCellsAs="gap" markers="1" high="1" low="1" negative="1" xr2:uid="{354D17E1-5DE1-4364-B9C1-3E7A861BAFE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'Cash Flow Statement'!AE14:AO14</xm:f>
              <xm:sqref>AQ14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B8DDD-C567-449D-939E-415AD6AC21AB}">
  <dimension ref="A1:AS62"/>
  <sheetViews>
    <sheetView tabSelected="1" workbookViewId="0">
      <pane xSplit="8" ySplit="4" topLeftCell="AD17" activePane="bottomRight" state="frozen"/>
      <selection pane="topRight" activeCell="I1" sqref="I1"/>
      <selection pane="bottomLeft" activeCell="A5" sqref="A5"/>
      <selection pane="bottomRight" activeCell="AI37" sqref="AI37"/>
    </sheetView>
  </sheetViews>
  <sheetFormatPr defaultRowHeight="14.4" x14ac:dyDescent="0.3"/>
  <cols>
    <col min="1" max="1" width="18.5546875" bestFit="1" customWidth="1"/>
    <col min="2" max="7" width="0" hidden="1" customWidth="1"/>
    <col min="8" max="8" width="28.5546875" hidden="1" customWidth="1"/>
  </cols>
  <sheetData>
    <row r="1" spans="1:45" x14ac:dyDescent="0.3">
      <c r="A1" s="3" t="s">
        <v>229</v>
      </c>
      <c r="I1" t="str">
        <f>'Cash Flow Statement'!I1</f>
        <v>H1'22</v>
      </c>
      <c r="J1" t="str">
        <f>'Cash Flow Statement'!J1</f>
        <v>H2'22</v>
      </c>
      <c r="K1" t="str">
        <f>'Cash Flow Statement'!K1</f>
        <v>H1'23</v>
      </c>
      <c r="L1" t="str">
        <f>'Cash Flow Statement'!L1</f>
        <v>H2'23</v>
      </c>
      <c r="M1" t="str">
        <f>'Cash Flow Statement'!M1</f>
        <v>H1'24</v>
      </c>
      <c r="N1" t="str">
        <f>'Cash Flow Statement'!N1</f>
        <v>H2'24</v>
      </c>
      <c r="O1" t="str">
        <f>'Cash Flow Statement'!O1</f>
        <v>H1'25</v>
      </c>
      <c r="P1" t="str">
        <f>'Cash Flow Statement'!P1</f>
        <v>H2'25</v>
      </c>
      <c r="Q1" t="str">
        <f>'Cash Flow Statement'!Q1</f>
        <v>H1'26</v>
      </c>
      <c r="R1" t="str">
        <f>'Cash Flow Statement'!R1</f>
        <v>H2'26</v>
      </c>
      <c r="S1" t="str">
        <f>'Cash Flow Statement'!S1</f>
        <v>H1'27</v>
      </c>
      <c r="T1" t="str">
        <f>'Cash Flow Statement'!T1</f>
        <v>H2'27</v>
      </c>
      <c r="U1" t="str">
        <f>'Cash Flow Statement'!U1</f>
        <v>H1'28</v>
      </c>
      <c r="V1" t="str">
        <f>'Cash Flow Statement'!V1</f>
        <v>H2'28</v>
      </c>
      <c r="W1" t="str">
        <f>'Cash Flow Statement'!W1</f>
        <v>H1'29</v>
      </c>
      <c r="X1" t="str">
        <f>'Cash Flow Statement'!X1</f>
        <v>H2'29</v>
      </c>
      <c r="Y1" t="str">
        <f>'Cash Flow Statement'!Y1</f>
        <v>H1'30</v>
      </c>
      <c r="Z1" t="str">
        <f>'Cash Flow Statement'!Z1</f>
        <v>H2'30</v>
      </c>
      <c r="AE1" t="str">
        <f>'Cash Flow Statement'!AE1</f>
        <v>FY'20</v>
      </c>
      <c r="AF1" t="str">
        <f>'Cash Flow Statement'!AF1</f>
        <v>FY'21</v>
      </c>
      <c r="AG1" t="str">
        <f>'Cash Flow Statement'!AG1</f>
        <v>FY'22</v>
      </c>
      <c r="AH1" t="str">
        <f>'Cash Flow Statement'!AH1</f>
        <v>FY'23</v>
      </c>
      <c r="AI1" t="str">
        <f>'Cash Flow Statement'!AI1</f>
        <v>FY'24</v>
      </c>
      <c r="AJ1" t="str">
        <f>'Cash Flow Statement'!AJ1</f>
        <v>FY'25</v>
      </c>
      <c r="AK1" t="str">
        <f>'Cash Flow Statement'!AK1</f>
        <v>FY'26</v>
      </c>
      <c r="AL1" t="str">
        <f>'Cash Flow Statement'!AL1</f>
        <v>FY'27</v>
      </c>
      <c r="AM1" t="str">
        <f>'Cash Flow Statement'!AM1</f>
        <v>FY'28</v>
      </c>
      <c r="AN1" t="str">
        <f>'Cash Flow Statement'!AN1</f>
        <v>FY'29</v>
      </c>
      <c r="AO1" t="str">
        <f>'Cash Flow Statement'!AO1</f>
        <v>FY'30</v>
      </c>
      <c r="AQ1" t="s">
        <v>304</v>
      </c>
      <c r="AS1" t="s">
        <v>303</v>
      </c>
    </row>
    <row r="3" spans="1:45" x14ac:dyDescent="0.3">
      <c r="A3" s="3" t="s">
        <v>249</v>
      </c>
    </row>
    <row r="5" spans="1:45" x14ac:dyDescent="0.3">
      <c r="A5" t="s">
        <v>230</v>
      </c>
      <c r="H5" t="s">
        <v>231</v>
      </c>
    </row>
    <row r="6" spans="1:45" x14ac:dyDescent="0.3">
      <c r="A6" t="s">
        <v>190</v>
      </c>
      <c r="H6" t="s">
        <v>239</v>
      </c>
      <c r="I6" s="4">
        <f>'Balance Sheet'!I104</f>
        <v>67.207638116425656</v>
      </c>
      <c r="J6" s="4">
        <f>'Balance Sheet'!J104</f>
        <v>54.280392542995926</v>
      </c>
      <c r="K6" s="4">
        <f>'Balance Sheet'!K104</f>
        <v>71.811312310658224</v>
      </c>
      <c r="L6" s="4">
        <f>'Balance Sheet'!L104</f>
        <v>57.833533274403337</v>
      </c>
      <c r="M6" s="4">
        <f>'Balance Sheet'!M104</f>
        <v>66.476996762007559</v>
      </c>
      <c r="N6" s="4">
        <f>'Balance Sheet'!N104</f>
        <v>59.988430546263395</v>
      </c>
      <c r="O6" s="4">
        <f>'Balance Sheet'!O104</f>
        <v>59.988430546263395</v>
      </c>
      <c r="P6" s="4">
        <f>'Balance Sheet'!P104</f>
        <v>53.581527641055857</v>
      </c>
      <c r="Q6" s="4">
        <f>'Balance Sheet'!Q104</f>
        <v>53.581527641055857</v>
      </c>
      <c r="R6" s="4">
        <f>'Balance Sheet'!R104</f>
        <v>52.306886824599005</v>
      </c>
      <c r="S6" s="4">
        <f>'Balance Sheet'!S104</f>
        <v>52.306886824599005</v>
      </c>
      <c r="T6" s="4">
        <f>'Balance Sheet'!T104</f>
        <v>51.418040861797209</v>
      </c>
      <c r="U6" s="4">
        <f>'Balance Sheet'!U104</f>
        <v>51.418040861797209</v>
      </c>
      <c r="V6" s="4">
        <f>'Balance Sheet'!V104</f>
        <v>50.807494746665391</v>
      </c>
      <c r="W6" s="4">
        <f>'Balance Sheet'!W104</f>
        <v>50.807494746665391</v>
      </c>
      <c r="X6" s="4">
        <f>'Balance Sheet'!X104</f>
        <v>50.403227430566631</v>
      </c>
      <c r="Y6" s="4">
        <f>'Balance Sheet'!Y104</f>
        <v>50.403227430566631</v>
      </c>
      <c r="Z6" s="4">
        <f>'Balance Sheet'!Z104</f>
        <v>50.1553773806395</v>
      </c>
      <c r="AE6" s="4">
        <f>'Balance Sheet'!AE104</f>
        <v>0</v>
      </c>
      <c r="AF6" s="4">
        <f>'Balance Sheet'!AF104</f>
        <v>0</v>
      </c>
      <c r="AG6" s="4">
        <f>'Balance Sheet'!AG104</f>
        <v>57.586092830530312</v>
      </c>
      <c r="AH6" s="4">
        <f>'Balance Sheet'!AH104</f>
        <v>60.336440287201107</v>
      </c>
      <c r="AI6" s="4">
        <f>'Balance Sheet'!AI104</f>
        <v>60.336440287201107</v>
      </c>
      <c r="AJ6" s="4">
        <f>'Balance Sheet'!AJ104</f>
        <v>60.336440287201107</v>
      </c>
      <c r="AK6" s="4">
        <f>'Balance Sheet'!AK104</f>
        <v>60.336440287201107</v>
      </c>
      <c r="AL6" s="4">
        <f>'Balance Sheet'!AL104</f>
        <v>60.336440287201107</v>
      </c>
      <c r="AM6" s="4">
        <f>'Balance Sheet'!AM104</f>
        <v>60.336440287201107</v>
      </c>
      <c r="AN6" s="4">
        <f>'Balance Sheet'!AN104</f>
        <v>60.336440287201107</v>
      </c>
      <c r="AO6" s="4">
        <f>'Balance Sheet'!AO104</f>
        <v>60.336440287201107</v>
      </c>
    </row>
    <row r="7" spans="1:45" x14ac:dyDescent="0.3">
      <c r="A7" t="s">
        <v>232</v>
      </c>
      <c r="H7" t="s">
        <v>240</v>
      </c>
    </row>
    <row r="8" spans="1:45" x14ac:dyDescent="0.3">
      <c r="A8" t="s">
        <v>189</v>
      </c>
      <c r="H8" t="s">
        <v>241</v>
      </c>
      <c r="I8" s="4">
        <f>'Balance Sheet'!I103</f>
        <v>42.535965888023732</v>
      </c>
      <c r="J8" s="4">
        <f>'Balance Sheet'!J103</f>
        <v>38.934291715898645</v>
      </c>
      <c r="K8" s="4">
        <f>'Balance Sheet'!K103</f>
        <v>54.910837234921502</v>
      </c>
      <c r="L8" s="4">
        <f>'Balance Sheet'!L103</f>
        <v>42.876783684808686</v>
      </c>
      <c r="M8" s="4">
        <f>'Balance Sheet'!M103</f>
        <v>47.638761467889914</v>
      </c>
      <c r="N8" s="4">
        <f>'Balance Sheet'!N103</f>
        <v>44.474387340634806</v>
      </c>
      <c r="O8" s="4">
        <f>'Balance Sheet'!O103</f>
        <v>44.474387340634806</v>
      </c>
      <c r="P8" s="4">
        <f>'Balance Sheet'!P103</f>
        <v>39.724420074191848</v>
      </c>
      <c r="Q8" s="4">
        <f>'Balance Sheet'!Q103</f>
        <v>39.724420074191848</v>
      </c>
      <c r="R8" s="4">
        <f>'Balance Sheet'!R103</f>
        <v>38.779423366075491</v>
      </c>
      <c r="S8" s="4">
        <f>'Balance Sheet'!S103</f>
        <v>38.779423366075491</v>
      </c>
      <c r="T8" s="4">
        <f>'Balance Sheet'!T103</f>
        <v>38.120448305787491</v>
      </c>
      <c r="U8" s="4">
        <f>'Balance Sheet'!U103</f>
        <v>38.120448305787491</v>
      </c>
      <c r="V8" s="4">
        <f>'Balance Sheet'!V103</f>
        <v>37.66779995065589</v>
      </c>
      <c r="W8" s="4">
        <f>'Balance Sheet'!W103</f>
        <v>37.66779995065589</v>
      </c>
      <c r="X8" s="4">
        <f>'Balance Sheet'!X103</f>
        <v>37.368083137903653</v>
      </c>
      <c r="Y8" s="4">
        <f>'Balance Sheet'!Y103</f>
        <v>37.368083137903653</v>
      </c>
      <c r="Z8" s="4">
        <f>'Balance Sheet'!Z103</f>
        <v>37.184331387399794</v>
      </c>
      <c r="AE8" s="4">
        <f>'Balance Sheet'!AE103</f>
        <v>0</v>
      </c>
      <c r="AF8" s="4">
        <f>'Balance Sheet'!AF103</f>
        <v>0</v>
      </c>
      <c r="AG8" s="4">
        <f>'Balance Sheet'!AG103</f>
        <v>41.305407569901462</v>
      </c>
      <c r="AH8" s="4">
        <f>'Balance Sheet'!AH103</f>
        <v>44.732395757855215</v>
      </c>
      <c r="AI8" s="4">
        <f>'Balance Sheet'!AI103</f>
        <v>44.732395757855215</v>
      </c>
      <c r="AJ8" s="4">
        <f>'Balance Sheet'!AJ103</f>
        <v>44.732395757855215</v>
      </c>
      <c r="AK8" s="4">
        <f>'Balance Sheet'!AK103</f>
        <v>44.732395757855215</v>
      </c>
      <c r="AL8" s="4">
        <f>'Balance Sheet'!AL103</f>
        <v>44.732395757855215</v>
      </c>
      <c r="AM8" s="4">
        <f>'Balance Sheet'!AM103</f>
        <v>44.732395757855215</v>
      </c>
      <c r="AN8" s="4">
        <f>'Balance Sheet'!AN103</f>
        <v>44.732395757855215</v>
      </c>
      <c r="AO8" s="4">
        <f>'Balance Sheet'!AO103</f>
        <v>44.732395757855215</v>
      </c>
    </row>
    <row r="9" spans="1:45" x14ac:dyDescent="0.3">
      <c r="A9" t="s">
        <v>233</v>
      </c>
      <c r="H9" t="s">
        <v>242</v>
      </c>
    </row>
    <row r="10" spans="1:45" x14ac:dyDescent="0.3">
      <c r="A10" t="s">
        <v>191</v>
      </c>
      <c r="H10" t="s">
        <v>243</v>
      </c>
      <c r="I10" s="4">
        <f>'Balance Sheet'!I105</f>
        <v>123.03355580274379</v>
      </c>
      <c r="J10" s="4">
        <f>'Balance Sheet'!J105</f>
        <v>111.20831692267296</v>
      </c>
      <c r="K10" s="4">
        <f>'Balance Sheet'!K105</f>
        <v>122.43734508399889</v>
      </c>
      <c r="L10" s="4">
        <f>'Balance Sheet'!L105</f>
        <v>108.68417729511302</v>
      </c>
      <c r="M10" s="4">
        <f>'Balance Sheet'!M105</f>
        <v>116.05389908256879</v>
      </c>
      <c r="N10" s="4">
        <f>'Balance Sheet'!N105</f>
        <v>112.73378699190204</v>
      </c>
      <c r="O10" s="4">
        <f>'Balance Sheet'!O105</f>
        <v>112.73378699190204</v>
      </c>
      <c r="P10" s="4">
        <f>'Balance Sheet'!P105</f>
        <v>100.69355822084856</v>
      </c>
      <c r="Q10" s="4">
        <f>'Balance Sheet'!Q105</f>
        <v>100.69355822084856</v>
      </c>
      <c r="R10" s="4">
        <f>'Balance Sheet'!R105</f>
        <v>98.298178228654692</v>
      </c>
      <c r="S10" s="4">
        <f>'Balance Sheet'!S105</f>
        <v>98.298178228654692</v>
      </c>
      <c r="T10" s="4">
        <f>'Balance Sheet'!T105</f>
        <v>96.627806616551354</v>
      </c>
      <c r="U10" s="4">
        <f>'Balance Sheet'!U105</f>
        <v>96.627806616551354</v>
      </c>
      <c r="V10" s="4">
        <f>'Balance Sheet'!V105</f>
        <v>95.480432446811719</v>
      </c>
      <c r="W10" s="4">
        <f>'Balance Sheet'!W105</f>
        <v>95.480432446811719</v>
      </c>
      <c r="X10" s="4">
        <f>'Balance Sheet'!X105</f>
        <v>94.720709528811398</v>
      </c>
      <c r="Y10" s="4">
        <f>'Balance Sheet'!Y105</f>
        <v>94.720709528811398</v>
      </c>
      <c r="Z10" s="4">
        <f>'Balance Sheet'!Z105</f>
        <v>94.254935137316551</v>
      </c>
      <c r="AE10" s="4">
        <f>'Balance Sheet'!AE105</f>
        <v>0</v>
      </c>
      <c r="AF10" s="4">
        <f>'Balance Sheet'!AF105</f>
        <v>0</v>
      </c>
      <c r="AG10" s="4">
        <f>'Balance Sheet'!AG105</f>
        <v>117.98095337581393</v>
      </c>
      <c r="AH10" s="4">
        <f>'Balance Sheet'!AH105</f>
        <v>113.38778736578618</v>
      </c>
      <c r="AI10" s="4">
        <f>'Balance Sheet'!AI105</f>
        <v>113.38778736578618</v>
      </c>
      <c r="AJ10" s="4">
        <f>'Balance Sheet'!AJ105</f>
        <v>113.38778736578618</v>
      </c>
      <c r="AK10" s="4">
        <f>'Balance Sheet'!AK105</f>
        <v>113.38778736578618</v>
      </c>
      <c r="AL10" s="4">
        <f>'Balance Sheet'!AL105</f>
        <v>113.38778736578618</v>
      </c>
      <c r="AM10" s="4">
        <f>'Balance Sheet'!AM105</f>
        <v>113.38778736578618</v>
      </c>
      <c r="AN10" s="4">
        <f>'Balance Sheet'!AN105</f>
        <v>113.38778736578618</v>
      </c>
      <c r="AO10" s="4">
        <f>'Balance Sheet'!AO105</f>
        <v>113.38778736578618</v>
      </c>
    </row>
    <row r="11" spans="1:45" x14ac:dyDescent="0.3">
      <c r="A11" t="s">
        <v>237</v>
      </c>
      <c r="H11" t="s">
        <v>244</v>
      </c>
      <c r="I11" s="4">
        <f>I6+I8-I10</f>
        <v>-13.289951798294396</v>
      </c>
      <c r="J11" s="4">
        <f t="shared" ref="J11:Z11" si="0">J6+J8-J10</f>
        <v>-17.993632663778385</v>
      </c>
      <c r="K11" s="4">
        <f t="shared" si="0"/>
        <v>4.2848044615808334</v>
      </c>
      <c r="L11" s="4">
        <f t="shared" si="0"/>
        <v>-7.9738603359009943</v>
      </c>
      <c r="M11" s="4">
        <f t="shared" si="0"/>
        <v>-1.9381408526713244</v>
      </c>
      <c r="N11" s="4">
        <f t="shared" si="0"/>
        <v>-8.270969105003843</v>
      </c>
      <c r="O11" s="4">
        <f t="shared" si="0"/>
        <v>-8.270969105003843</v>
      </c>
      <c r="P11" s="4">
        <f t="shared" si="0"/>
        <v>-7.3876105056008612</v>
      </c>
      <c r="Q11" s="4">
        <f t="shared" si="0"/>
        <v>-7.3876105056008612</v>
      </c>
      <c r="R11" s="4">
        <f t="shared" si="0"/>
        <v>-7.2118680379801958</v>
      </c>
      <c r="S11" s="4">
        <f t="shared" si="0"/>
        <v>-7.2118680379801958</v>
      </c>
      <c r="T11" s="4">
        <f t="shared" si="0"/>
        <v>-7.0893174489666535</v>
      </c>
      <c r="U11" s="4">
        <f t="shared" si="0"/>
        <v>-7.0893174489666535</v>
      </c>
      <c r="V11" s="4">
        <f t="shared" si="0"/>
        <v>-7.0051377494904301</v>
      </c>
      <c r="W11" s="4">
        <f t="shared" si="0"/>
        <v>-7.0051377494904301</v>
      </c>
      <c r="X11" s="4">
        <f t="shared" si="0"/>
        <v>-6.9493989603411137</v>
      </c>
      <c r="Y11" s="4">
        <f t="shared" si="0"/>
        <v>-6.9493989603411137</v>
      </c>
      <c r="Z11" s="4">
        <f t="shared" si="0"/>
        <v>-6.9152263692772635</v>
      </c>
      <c r="AE11" s="4">
        <f t="shared" ref="AE11:AN11" si="1">AE6+AE8-AE10</f>
        <v>0</v>
      </c>
      <c r="AF11" s="4">
        <f t="shared" si="1"/>
        <v>0</v>
      </c>
      <c r="AG11" s="4">
        <f t="shared" si="1"/>
        <v>-19.089452975382159</v>
      </c>
      <c r="AH11" s="4">
        <f t="shared" si="1"/>
        <v>-8.318951320729866</v>
      </c>
      <c r="AI11" s="4">
        <f t="shared" si="1"/>
        <v>-8.318951320729866</v>
      </c>
      <c r="AJ11" s="4">
        <f t="shared" si="1"/>
        <v>-8.318951320729866</v>
      </c>
      <c r="AK11" s="4">
        <f t="shared" si="1"/>
        <v>-8.318951320729866</v>
      </c>
      <c r="AL11" s="4">
        <f t="shared" si="1"/>
        <v>-8.318951320729866</v>
      </c>
      <c r="AM11" s="4">
        <f t="shared" si="1"/>
        <v>-8.318951320729866</v>
      </c>
      <c r="AN11" s="4">
        <f t="shared" si="1"/>
        <v>-8.318951320729866</v>
      </c>
      <c r="AO11" s="4">
        <f>AO6+AO8-AO10</f>
        <v>-8.318951320729866</v>
      </c>
      <c r="AS11" t="s">
        <v>331</v>
      </c>
    </row>
    <row r="12" spans="1:45" x14ac:dyDescent="0.3">
      <c r="A12" t="s">
        <v>234</v>
      </c>
      <c r="H12" t="s">
        <v>245</v>
      </c>
      <c r="I12" s="102">
        <f>'Profit and Loss Statement '!I5/AVERAGE('Balance Sheet'!H11:I11)</f>
        <v>0.33773291925465837</v>
      </c>
      <c r="J12" s="102">
        <f>'Profit and Loss Statement '!J5/AVERAGE('Balance Sheet'!I11:J11)</f>
        <v>0.37167429094236049</v>
      </c>
      <c r="K12" s="102">
        <f>'Profit and Loss Statement '!K5/AVERAGE('Balance Sheet'!J11:K11)</f>
        <v>0.3399017084015914</v>
      </c>
      <c r="L12" s="102">
        <f>'Profit and Loss Statement '!L5/AVERAGE('Balance Sheet'!K11:L11)</f>
        <v>0.36068000409915396</v>
      </c>
      <c r="M12" s="102">
        <f>'Profit and Loss Statement '!M5/AVERAGE('Balance Sheet'!L11:M11)</f>
        <v>0.34295761613918191</v>
      </c>
      <c r="N12" s="102">
        <f>'Profit and Loss Statement '!N5/AVERAGE('Balance Sheet'!M11:N11)</f>
        <v>0.35052823485415108</v>
      </c>
      <c r="O12" s="102">
        <f>'Profit and Loss Statement '!O5/AVERAGE('Balance Sheet'!N11:O11)</f>
        <v>0.36254666835074079</v>
      </c>
      <c r="P12" s="102">
        <f>'Profit and Loss Statement '!P5/AVERAGE('Balance Sheet'!O11:P11)</f>
        <v>0.47071573481805201</v>
      </c>
      <c r="Q12" s="102">
        <f>'Profit and Loss Statement '!Q5/AVERAGE('Balance Sheet'!P11:Q11)</f>
        <v>0.39092033475721555</v>
      </c>
      <c r="R12" s="102">
        <f>'Profit and Loss Statement '!R5/AVERAGE('Balance Sheet'!Q11:R11)</f>
        <v>0.53635485823669171</v>
      </c>
      <c r="S12" s="102">
        <f>'Profit and Loss Statement '!S5/AVERAGE('Balance Sheet'!R11:S11)</f>
        <v>0.4275116522050782</v>
      </c>
      <c r="T12" s="102">
        <f>'Profit and Loss Statement '!T5/AVERAGE('Balance Sheet'!S11:T11)</f>
        <v>0.61036296774722532</v>
      </c>
      <c r="U12" s="102">
        <f>'Profit and Loss Statement '!U5/AVERAGE('Balance Sheet'!T11:U11)</f>
        <v>0.47262765170691357</v>
      </c>
      <c r="V12" s="102">
        <f>'Profit and Loss Statement '!V5/AVERAGE('Balance Sheet'!U11:V11)</f>
        <v>0.69358688243196498</v>
      </c>
      <c r="W12" s="102">
        <f>'Profit and Loss Statement '!W5/AVERAGE('Balance Sheet'!V11:W11)</f>
        <v>0.52672831211599036</v>
      </c>
      <c r="X12" s="102">
        <f>'Profit and Loss Statement '!X5/AVERAGE('Balance Sheet'!W11:X11)</f>
        <v>0.78670892189398212</v>
      </c>
      <c r="Y12" s="102">
        <f>'Profit and Loss Statement '!Y5/AVERAGE('Balance Sheet'!X11:Y11)</f>
        <v>0.5902883902847329</v>
      </c>
      <c r="Z12" s="102">
        <f>'Profit and Loss Statement '!Z5/AVERAGE('Balance Sheet'!Y11:Z11)</f>
        <v>0.89010983780985609</v>
      </c>
      <c r="AE12" s="102">
        <f>'Profit and Loss Statement '!AE5/AVERAGE('Balance Sheet'!AD11:AE11)</f>
        <v>0</v>
      </c>
      <c r="AF12" s="102">
        <f>'Profit and Loss Statement '!AF5/AVERAGE('Balance Sheet'!AE11:AF11)</f>
        <v>0.60208001756215357</v>
      </c>
      <c r="AG12" s="102">
        <f>'Profit and Loss Statement '!AG5/AVERAGE('Balance Sheet'!AF11:AG11)</f>
        <v>0.71207368929992687</v>
      </c>
      <c r="AH12" s="102">
        <f>'Profit and Loss Statement '!AH5/AVERAGE('Balance Sheet'!AG11:AH11)</f>
        <v>0.71318339303541023</v>
      </c>
      <c r="AI12" s="102">
        <f>'Profit and Loss Statement '!AI5/AVERAGE('Balance Sheet'!AH11:AI11)</f>
        <v>0.68848409290298751</v>
      </c>
      <c r="AJ12" s="102">
        <f>'Profit and Loss Statement '!AJ5/AVERAGE('Balance Sheet'!AI11:AJ11)</f>
        <v>0.83001974535088829</v>
      </c>
      <c r="AK12" s="102">
        <f>'Profit and Loss Statement '!AK5/AVERAGE('Balance Sheet'!AJ11:AK11)</f>
        <v>0.92308452614504499</v>
      </c>
      <c r="AL12" s="102">
        <f>'Profit and Loss Statement '!AL5/AVERAGE('Balance Sheet'!AK11:AL11)</f>
        <v>1.0326232522353478</v>
      </c>
      <c r="AM12" s="102">
        <f>'Profit and Loss Statement '!AM5/AVERAGE('Balance Sheet'!AL11:AM11)</f>
        <v>1.1597744326744193</v>
      </c>
      <c r="AN12" s="102">
        <f>'Profit and Loss Statement '!AN5/AVERAGE('Balance Sheet'!AM11:AN11)</f>
        <v>1.3056720341437944</v>
      </c>
      <c r="AO12" s="102">
        <f>'Profit and Loss Statement '!AO5/AVERAGE('Balance Sheet'!AN11:AO11)</f>
        <v>1.471173242054171</v>
      </c>
      <c r="AS12" t="s">
        <v>305</v>
      </c>
    </row>
    <row r="13" spans="1:45" x14ac:dyDescent="0.3">
      <c r="A13" t="s">
        <v>235</v>
      </c>
      <c r="H13" t="s">
        <v>246</v>
      </c>
      <c r="I13" s="102">
        <f>'Profit and Loss Statement '!I5/('Balance Sheet'!I20-'Balance Sheet'!I45)</f>
        <v>-5.2799530148786218</v>
      </c>
      <c r="J13" s="102">
        <f>'Profit and Loss Statement '!J5/('Balance Sheet'!J20-'Balance Sheet'!J45)</f>
        <v>-4.7981102362204728</v>
      </c>
      <c r="K13" s="102">
        <f>'Profit and Loss Statement '!K5/('Balance Sheet'!K20-'Balance Sheet'!K45)</f>
        <v>-3.7212400717396874</v>
      </c>
      <c r="L13" s="102">
        <f>'Profit and Loss Statement '!L5/('Balance Sheet'!L20-'Balance Sheet'!L45)</f>
        <v>-4.6228838295388206</v>
      </c>
      <c r="M13" s="102">
        <f>'Profit and Loss Statement '!M5/('Balance Sheet'!M20-'Balance Sheet'!M45)</f>
        <v>-4.3345029239766077</v>
      </c>
      <c r="N13" s="102">
        <f>'Profit and Loss Statement '!N5/('Balance Sheet'!N20-'Balance Sheet'!N45)</f>
        <v>-4.4914645103324347</v>
      </c>
      <c r="O13" s="102">
        <f>'Profit and Loss Statement '!O5/('Balance Sheet'!O20-'Balance Sheet'!O45)</f>
        <v>-11.030102321594745</v>
      </c>
      <c r="P13" s="102">
        <f>'Profit and Loss Statement '!P5/('Balance Sheet'!P20-'Balance Sheet'!P45)</f>
        <v>-86.423069010186254</v>
      </c>
      <c r="Q13" s="102">
        <f>'Profit and Loss Statement '!Q5/('Balance Sheet'!Q20-'Balance Sheet'!Q45)</f>
        <v>9.0001853256415245</v>
      </c>
      <c r="R13" s="102">
        <f>'Profit and Loss Statement '!R5/('Balance Sheet'!R20-'Balance Sheet'!R45)</f>
        <v>7.1999201023554003</v>
      </c>
      <c r="S13" s="102">
        <f>'Profit and Loss Statement '!S5/('Balance Sheet'!S20-'Balance Sheet'!S45)</f>
        <v>3.333772320682181</v>
      </c>
      <c r="T13" s="102">
        <f>'Profit and Loss Statement '!T5/('Balance Sheet'!T20-'Balance Sheet'!T45)</f>
        <v>3.7491228754530046</v>
      </c>
      <c r="U13" s="102">
        <f>'Profit and Loss Statement '!U5/('Balance Sheet'!U20-'Balance Sheet'!U45)</f>
        <v>2.1268520734636285</v>
      </c>
      <c r="V13" s="102">
        <f>'Profit and Loss Statement '!V5/('Balance Sheet'!V20-'Balance Sheet'!V45)</f>
        <v>2.6673238408572435</v>
      </c>
      <c r="W13" s="102">
        <f>'Profit and Loss Statement '!W5/('Balance Sheet'!W20-'Balance Sheet'!W45)</f>
        <v>1.6165594862308459</v>
      </c>
      <c r="X13" s="102">
        <f>'Profit and Loss Statement '!X5/('Balance Sheet'!X20-'Balance Sheet'!X45)</f>
        <v>2.146942910288907</v>
      </c>
      <c r="Y13" s="102">
        <f>'Profit and Loss Statement '!Y5/('Balance Sheet'!Y20-'Balance Sheet'!Y45)</f>
        <v>1.3441077223726232</v>
      </c>
      <c r="Z13" s="102">
        <f>'Profit and Loss Statement '!Z5/('Balance Sheet'!Z20-'Balance Sheet'!Z45)</f>
        <v>1.8474202095491092</v>
      </c>
      <c r="AE13" s="102">
        <f>'Profit and Loss Statement '!AE5/('Balance Sheet'!AE20-'Balance Sheet'!AE45)</f>
        <v>0</v>
      </c>
      <c r="AF13" s="102">
        <f>'Profit and Loss Statement '!AF5/('Balance Sheet'!AF20-'Balance Sheet'!AF45)</f>
        <v>-8.7205882352941178</v>
      </c>
      <c r="AG13" s="102">
        <f>'Profit and Loss Statement '!AG5/('Balance Sheet'!AG20-'Balance Sheet'!AG45)</f>
        <v>-9.0453543307086619</v>
      </c>
      <c r="AH13" s="102">
        <f>'Profit and Loss Statement '!AH5/('Balance Sheet'!AH20-'Balance Sheet'!AH45)</f>
        <v>-8.862230005837711</v>
      </c>
      <c r="AI13" s="102">
        <f>'Profit and Loss Statement '!AI5/('Balance Sheet'!AI20-'Balance Sheet'!AI45)</f>
        <v>-8.9311171009284216</v>
      </c>
      <c r="AJ13" s="102">
        <f>'Profit and Loss Statement '!AJ5/('Balance Sheet'!AJ20-'Balance Sheet'!AJ45)</f>
        <v>-153.49530197513022</v>
      </c>
      <c r="AK13" s="102">
        <f>'Profit and Loss Statement '!AK5/('Balance Sheet'!AK20-'Balance Sheet'!AK45)</f>
        <v>12.48351424603174</v>
      </c>
      <c r="AL13" s="102">
        <f>'Profit and Loss Statement '!AL5/('Balance Sheet'!AL20-'Balance Sheet'!AL45)</f>
        <v>6.3899213241067905</v>
      </c>
      <c r="AM13" s="102">
        <f>'Profit and Loss Statement '!AM5/('Balance Sheet'!AM20-'Balance Sheet'!AM45)</f>
        <v>4.4921457542717187</v>
      </c>
      <c r="AN13" s="102">
        <f>'Profit and Loss Statement '!AN5/('Balance Sheet'!AN20-'Balance Sheet'!AN45)</f>
        <v>3.5869816407014348</v>
      </c>
      <c r="AO13" s="102">
        <f>'Profit and Loss Statement '!AO5/('Balance Sheet'!AO20-'Balance Sheet'!AO45)</f>
        <v>3.0713796620915605</v>
      </c>
      <c r="AS13" t="s">
        <v>313</v>
      </c>
    </row>
    <row r="14" spans="1:45" x14ac:dyDescent="0.3">
      <c r="A14" t="s">
        <v>236</v>
      </c>
      <c r="H14" t="s">
        <v>247</v>
      </c>
      <c r="I14" s="102">
        <f>+'Profit and Loss Statement '!I5/AVERAGE('Balance Sheet'!H22:I22)</f>
        <v>0.26650460972934514</v>
      </c>
      <c r="J14" s="102">
        <f>+'Profit and Loss Statement '!J5/AVERAGE('Balance Sheet'!I22:J22)</f>
        <v>0.2908500787551907</v>
      </c>
      <c r="K14" s="102">
        <f>+'Profit and Loss Statement '!K5/AVERAGE('Balance Sheet'!J22:K22)</f>
        <v>0.26571776177974554</v>
      </c>
      <c r="L14" s="102">
        <f>+'Profit and Loss Statement '!L5/AVERAGE('Balance Sheet'!K22:L22)</f>
        <v>0.28265486409794227</v>
      </c>
      <c r="M14" s="102">
        <f>+'Profit and Loss Statement '!M5/AVERAGE('Balance Sheet'!L22:M22)</f>
        <v>0.27022248147506767</v>
      </c>
      <c r="N14" s="102">
        <f>+'Profit and Loss Statement '!N5/AVERAGE('Balance Sheet'!M22:N22)</f>
        <v>0.27685832171834185</v>
      </c>
      <c r="O14" s="102">
        <f>+'Profit and Loss Statement '!O5/AVERAGE('Balance Sheet'!N22:O22)</f>
        <v>0.28208251735897494</v>
      </c>
      <c r="P14" s="102">
        <f>+'Profit and Loss Statement '!P5/AVERAGE('Balance Sheet'!O22:P22)</f>
        <v>0.34926581602071044</v>
      </c>
      <c r="Q14" s="102">
        <f>+'Profit and Loss Statement '!Q5/AVERAGE('Balance Sheet'!P22:Q22)</f>
        <v>0.28266552902748815</v>
      </c>
      <c r="R14" s="102">
        <f>+'Profit and Loss Statement '!R5/AVERAGE('Balance Sheet'!Q22:R22)</f>
        <v>0.3729107989001782</v>
      </c>
      <c r="S14" s="102">
        <f>+'Profit and Loss Statement '!S5/AVERAGE('Balance Sheet'!R22:S22)</f>
        <v>0.28707769508921716</v>
      </c>
      <c r="T14" s="102">
        <f>+'Profit and Loss Statement '!T5/AVERAGE('Balance Sheet'!S22:T22)</f>
        <v>0.39353575459639628</v>
      </c>
      <c r="U14" s="102">
        <f>+'Profit and Loss Statement '!U5/AVERAGE('Balance Sheet'!T22:U22)</f>
        <v>0.29375347315572437</v>
      </c>
      <c r="V14" s="102">
        <f>+'Profit and Loss Statement '!V5/AVERAGE('Balance Sheet'!U22:V22)</f>
        <v>0.41357638718839113</v>
      </c>
      <c r="W14" s="102">
        <f>+'Profit and Loss Statement '!W5/AVERAGE('Balance Sheet'!V22:W22)</f>
        <v>0.30235253682453039</v>
      </c>
      <c r="X14" s="102">
        <f>+'Profit and Loss Statement '!X5/AVERAGE('Balance Sheet'!W22:X22)</f>
        <v>0.43268140931623417</v>
      </c>
      <c r="Y14" s="102">
        <f>+'Profit and Loss Statement '!Y5/AVERAGE('Balance Sheet'!X22:Y22)</f>
        <v>0.31227827164205929</v>
      </c>
      <c r="Z14" s="102">
        <f>+'Profit and Loss Statement '!Z5/AVERAGE('Balance Sheet'!Y22:Z22)</f>
        <v>0.45119677170793376</v>
      </c>
      <c r="AE14" s="102">
        <f>+'Profit and Loss Statement '!AE5/AVERAGE('Balance Sheet'!AD22:AE22)</f>
        <v>0</v>
      </c>
      <c r="AF14" s="102">
        <f>+'Profit and Loss Statement '!AF5/AVERAGE('Balance Sheet'!AE22:AF22)</f>
        <v>0.47967906254782361</v>
      </c>
      <c r="AG14" s="102">
        <f>+'Profit and Loss Statement '!AG5/AVERAGE('Balance Sheet'!AF22:AG22)</f>
        <v>0.56725527376155482</v>
      </c>
      <c r="AH14" s="102">
        <f>+'Profit and Loss Statement '!AH5/AVERAGE('Balance Sheet'!AG22:AH22)</f>
        <v>0.56456456456456461</v>
      </c>
      <c r="AI14" s="102">
        <f>+'Profit and Loss Statement '!AI5/AVERAGE('Balance Sheet'!AH22:AI22)</f>
        <v>0.54754604043111832</v>
      </c>
      <c r="AJ14" s="102">
        <f>+'Profit and Loss Statement '!AJ5/AVERAGE('Balance Sheet'!AI22:AJ22)</f>
        <v>0.63071232165245961</v>
      </c>
      <c r="AK14" s="102">
        <f>+'Profit and Loss Statement '!AK5/AVERAGE('Balance Sheet'!AJ22:AK22)</f>
        <v>0.64388392354362056</v>
      </c>
      <c r="AL14" s="102">
        <f>+'Profit and Loss Statement '!AL5/AVERAGE('Balance Sheet'!AK22:AL22)</f>
        <v>0.66595913554541886</v>
      </c>
      <c r="AM14" s="102">
        <f>+'Profit and Loss Statement '!AM5/AVERAGE('Balance Sheet'!AL22:AM22)</f>
        <v>0.69023744148767618</v>
      </c>
      <c r="AN14" s="102">
        <f>+'Profit and Loss Statement '!AN5/AVERAGE('Balance Sheet'!AM22:AN22)</f>
        <v>0.71580323625788722</v>
      </c>
      <c r="AO14" s="102">
        <f>+'Profit and Loss Statement '!AO5/AVERAGE('Balance Sheet'!AN22:AO22)</f>
        <v>0.74227442231338148</v>
      </c>
      <c r="AS14" t="s">
        <v>312</v>
      </c>
    </row>
    <row r="15" spans="1:45" x14ac:dyDescent="0.3">
      <c r="A15" t="s">
        <v>238</v>
      </c>
      <c r="H15" t="s">
        <v>248</v>
      </c>
      <c r="I15" s="102">
        <f>+'Profit and Loss Statement '!I5/AVERAGE('Balance Sheet'!H29:I29)</f>
        <v>0.65372309482257129</v>
      </c>
      <c r="J15" s="102">
        <f>+'Profit and Loss Statement '!J5/AVERAGE('Balance Sheet'!I29:J29)</f>
        <v>0.7008004416229644</v>
      </c>
      <c r="K15" s="102">
        <f>+'Profit and Loss Statement '!K5/AVERAGE('Balance Sheet'!J29:K29)</f>
        <v>0.66043698701771136</v>
      </c>
      <c r="L15" s="102">
        <f>+'Profit and Loss Statement '!L5/AVERAGE('Balance Sheet'!K29:L29)</f>
        <v>0.70623383572638898</v>
      </c>
      <c r="M15" s="102">
        <f>+'Profit and Loss Statement '!M5/AVERAGE('Balance Sheet'!L29:M29)</f>
        <v>0.66073856165452072</v>
      </c>
      <c r="N15" s="102">
        <f>+'Profit and Loss Statement '!N5/AVERAGE('Balance Sheet'!M29:N29)</f>
        <v>0.67426490423523067</v>
      </c>
      <c r="O15" s="102">
        <f>+'Profit and Loss Statement '!O5/AVERAGE('Balance Sheet'!N29:O29)</f>
        <v>0.67272467210977593</v>
      </c>
      <c r="P15" s="102">
        <f>+'Profit and Loss Statement '!P5/AVERAGE('Balance Sheet'!O29:P29)</f>
        <v>0.83124803965158911</v>
      </c>
      <c r="Q15" s="102">
        <f>+'Profit and Loss Statement '!Q5/AVERAGE('Balance Sheet'!P29:Q29)</f>
        <v>0.65663582410767696</v>
      </c>
      <c r="R15" s="102">
        <f>+'Profit and Loss Statement '!R5/AVERAGE('Balance Sheet'!Q29:R29)</f>
        <v>0.85601601812412975</v>
      </c>
      <c r="S15" s="102">
        <f>+'Profit and Loss Statement '!S5/AVERAGE('Balance Sheet'!R29:S29)</f>
        <v>0.64765253581797766</v>
      </c>
      <c r="T15" s="102">
        <f>+'Profit and Loss Statement '!T5/AVERAGE('Balance Sheet'!S29:T29)</f>
        <v>0.87723103097792277</v>
      </c>
      <c r="U15" s="102">
        <f>+'Profit and Loss Statement '!U5/AVERAGE('Balance Sheet'!T29:U29)</f>
        <v>0.64362322791722859</v>
      </c>
      <c r="V15" s="102">
        <f>+'Profit and Loss Statement '!V5/AVERAGE('Balance Sheet'!U29:V29)</f>
        <v>0.89497302551166369</v>
      </c>
      <c r="W15" s="102">
        <f>+'Profit and Loss Statement '!W5/AVERAGE('Balance Sheet'!V29:W29)</f>
        <v>0.64311760207935775</v>
      </c>
      <c r="X15" s="102">
        <f>+'Profit and Loss Statement '!X5/AVERAGE('Balance Sheet'!W29:X29)</f>
        <v>0.90944309269432444</v>
      </c>
      <c r="Y15" s="102">
        <f>+'Profit and Loss Statement '!Y5/AVERAGE('Balance Sheet'!X29:Y29)</f>
        <v>0.6451647655682875</v>
      </c>
      <c r="Z15" s="102">
        <f>+'Profit and Loss Statement '!Z5/AVERAGE('Balance Sheet'!Y29:Z29)</f>
        <v>0.92092704781034629</v>
      </c>
      <c r="AE15" s="102">
        <f>+'Profit and Loss Statement '!AE5/AVERAGE('Balance Sheet'!AD29:AE29)</f>
        <v>0</v>
      </c>
      <c r="AF15" s="102">
        <f>+'Profit and Loss Statement '!AF5/AVERAGE('Balance Sheet'!AE29:AF29)</f>
        <v>1.2871641440807227</v>
      </c>
      <c r="AG15" s="102">
        <f>+'Profit and Loss Statement '!AG5/AVERAGE('Balance Sheet'!AF29:AG29)</f>
        <v>1.3800576645843345</v>
      </c>
      <c r="AH15" s="102">
        <f>+'Profit and Loss Statement '!AH5/AVERAGE('Balance Sheet'!AG29:AH29)</f>
        <v>1.3582052830526292</v>
      </c>
      <c r="AI15" s="102">
        <f>+'Profit and Loss Statement '!AI5/AVERAGE('Balance Sheet'!AH29:AI29)</f>
        <v>1.3197760616051868</v>
      </c>
      <c r="AJ15" s="102">
        <f>+'Profit and Loss Statement '!AJ5/AVERAGE('Balance Sheet'!AI29:AJ29)</f>
        <v>1.5103913507003448</v>
      </c>
      <c r="AK15" s="102">
        <f>+'Profit and Loss Statement '!AK5/AVERAGE('Balance Sheet'!AJ29:AK29)</f>
        <v>1.5185754261735023</v>
      </c>
      <c r="AL15" s="102">
        <f>+'Profit and Loss Statement '!AL5/AVERAGE('Balance Sheet'!AK29:AL29)</f>
        <v>1.5310107879879049</v>
      </c>
      <c r="AM15" s="102">
        <f>+'Profit and Loss Statement '!AM5/AVERAGE('Balance Sheet'!AL29:AM29)</f>
        <v>1.5454367713235928</v>
      </c>
      <c r="AN15" s="102">
        <f>+'Profit and Loss Statement '!AN5/AVERAGE('Balance Sheet'!AM29:AN29)</f>
        <v>1.5604850709028908</v>
      </c>
      <c r="AO15" s="102">
        <f>+'Profit and Loss Statement '!AO5/AVERAGE('Balance Sheet'!AN29:AO29)</f>
        <v>1.5753631225917013</v>
      </c>
      <c r="AS15" t="s">
        <v>306</v>
      </c>
    </row>
    <row r="18" spans="1:45" x14ac:dyDescent="0.3">
      <c r="A18" s="3" t="s">
        <v>225</v>
      </c>
    </row>
    <row r="20" spans="1:45" x14ac:dyDescent="0.3">
      <c r="A20" t="s">
        <v>226</v>
      </c>
      <c r="H20" t="s">
        <v>252</v>
      </c>
      <c r="I20" s="102">
        <f>'Balance Sheet'!I20/'Balance Sheet'!I45</f>
        <v>0.82163558907744949</v>
      </c>
      <c r="J20" s="102">
        <f>'Balance Sheet'!J20/'Balance Sheet'!J45</f>
        <v>0.77625088090204364</v>
      </c>
      <c r="K20" s="102">
        <f>'Balance Sheet'!K20/'Balance Sheet'!K45</f>
        <v>0.76694333313429275</v>
      </c>
      <c r="L20" s="102">
        <f>'Balance Sheet'!L20/'Balance Sheet'!L45</f>
        <v>0.76890387858347387</v>
      </c>
      <c r="M20" s="102">
        <f>'Balance Sheet'!M20/'Balance Sheet'!M45</f>
        <v>0.77632439502943096</v>
      </c>
      <c r="N20" s="102">
        <f>'Balance Sheet'!N20/'Balance Sheet'!N45</f>
        <v>0.76548672566371678</v>
      </c>
      <c r="O20" s="102">
        <f>'Balance Sheet'!O20/'Balance Sheet'!O45</f>
        <v>0.9053675281256478</v>
      </c>
      <c r="P20" s="102">
        <f>'Balance Sheet'!P20/'Balance Sheet'!P45</f>
        <v>0.98581743492671514</v>
      </c>
      <c r="Q20" s="102">
        <f>'Balance Sheet'!Q20/'Balance Sheet'!Q45</f>
        <v>1.1273818749099547</v>
      </c>
      <c r="R20" s="102">
        <f>'Balance Sheet'!R20/'Balance Sheet'!R45</f>
        <v>1.1794869100356973</v>
      </c>
      <c r="S20" s="102">
        <f>'Balance Sheet'!S20/'Balance Sheet'!S45</f>
        <v>1.3589317685583293</v>
      </c>
      <c r="T20" s="102">
        <f>'Balance Sheet'!T20/'Balance Sheet'!T45</f>
        <v>1.3610661740769479</v>
      </c>
      <c r="U20" s="102">
        <f>'Balance Sheet'!U20/'Balance Sheet'!U45</f>
        <v>1.586873217458487</v>
      </c>
      <c r="V20" s="102">
        <f>'Balance Sheet'!V20/'Balance Sheet'!V45</f>
        <v>1.5298106949376078</v>
      </c>
      <c r="W20" s="102">
        <f>'Balance Sheet'!W20/'Balance Sheet'!W45</f>
        <v>1.8046451705521553</v>
      </c>
      <c r="X20" s="102">
        <f>'Balance Sheet'!X20/'Balance Sheet'!X45</f>
        <v>1.6812088224606823</v>
      </c>
      <c r="Y20" s="102">
        <f>'Balance Sheet'!Y20/'Balance Sheet'!Y45</f>
        <v>2.0070342046986895</v>
      </c>
      <c r="Z20" s="102">
        <f>'Balance Sheet'!Z20/'Balance Sheet'!Z45</f>
        <v>1.8175795426342147</v>
      </c>
      <c r="AE20" s="102">
        <f>'Balance Sheet'!AE20/'Balance Sheet'!AE45</f>
        <v>0.82995951417004044</v>
      </c>
      <c r="AF20" s="102">
        <f>'Balance Sheet'!AF20/'Balance Sheet'!AF45</f>
        <v>0.79196295683810158</v>
      </c>
      <c r="AG20" s="102">
        <f>'Balance Sheet'!AG20/'Balance Sheet'!AG45</f>
        <v>0.77625088090204364</v>
      </c>
      <c r="AH20" s="102">
        <f>'Balance Sheet'!AH20/'Balance Sheet'!AH45</f>
        <v>0.76890387858347387</v>
      </c>
      <c r="AI20" s="102">
        <f>'Balance Sheet'!AI20/'Balance Sheet'!AI45</f>
        <v>0.76548672566371678</v>
      </c>
      <c r="AJ20" s="102">
        <f>'Balance Sheet'!AJ20/'Balance Sheet'!AJ45</f>
        <v>0.98581743492671514</v>
      </c>
      <c r="AK20" s="102">
        <f>'Balance Sheet'!AK20/'Balance Sheet'!AK45</f>
        <v>1.1794869100356973</v>
      </c>
      <c r="AL20" s="102">
        <f>'Balance Sheet'!AL20/'Balance Sheet'!AL45</f>
        <v>1.3610661740769479</v>
      </c>
      <c r="AM20" s="102">
        <f>'Balance Sheet'!AM20/'Balance Sheet'!AM45</f>
        <v>1.5298106949376078</v>
      </c>
      <c r="AN20" s="102">
        <f>'Balance Sheet'!AN20/'Balance Sheet'!AN45</f>
        <v>1.6812088224606823</v>
      </c>
      <c r="AO20" s="102">
        <f>'Balance Sheet'!AO20/'Balance Sheet'!AO45</f>
        <v>1.8175795426342147</v>
      </c>
      <c r="AS20" t="s">
        <v>314</v>
      </c>
    </row>
    <row r="21" spans="1:45" x14ac:dyDescent="0.3">
      <c r="A21" t="s">
        <v>227</v>
      </c>
      <c r="H21" t="s">
        <v>295</v>
      </c>
      <c r="I21" s="102">
        <f>('Balance Sheet'!I17+'Balance Sheet'!I14)/'Balance Sheet'!I45</f>
        <v>0.54857182764159507</v>
      </c>
      <c r="J21" s="102">
        <f>('Balance Sheet'!J17+'Balance Sheet'!J14)/'Balance Sheet'!J45</f>
        <v>0.51416490486257926</v>
      </c>
      <c r="K21" s="102">
        <f>('Balance Sheet'!K17+'Balance Sheet'!K14)/'Balance Sheet'!K45</f>
        <v>0.47071117215023589</v>
      </c>
      <c r="L21" s="102">
        <f>('Balance Sheet'!L17+'Balance Sheet'!L14)/'Balance Sheet'!L45</f>
        <v>0.49888701517706574</v>
      </c>
      <c r="M21" s="102">
        <f>('Balance Sheet'!M17+'Balance Sheet'!M14)/'Balance Sheet'!M45</f>
        <v>0.50111183780248525</v>
      </c>
      <c r="N21" s="102">
        <f>('Balance Sheet'!N17+'Balance Sheet'!N14)/'Balance Sheet'!N45</f>
        <v>0.48728754038488553</v>
      </c>
      <c r="O21" s="102">
        <f>('Balance Sheet'!O17+'Balance Sheet'!O14)/'Balance Sheet'!O45</f>
        <v>0.6246868228980339</v>
      </c>
      <c r="P21" s="102">
        <f>('Balance Sheet'!P17+'Balance Sheet'!P14)/'Balance Sheet'!P45</f>
        <v>0.69504417366750659</v>
      </c>
      <c r="Q21" s="102">
        <f>('Balance Sheet'!Q17+'Balance Sheet'!Q14)/'Balance Sheet'!Q45</f>
        <v>0.85061845313745788</v>
      </c>
      <c r="R21" s="102">
        <f>('Balance Sheet'!R17+'Balance Sheet'!R14)/'Balance Sheet'!R45</f>
        <v>0.88237555926018585</v>
      </c>
      <c r="S21" s="102">
        <f>('Balance Sheet'!S17+'Balance Sheet'!S14)/'Balance Sheet'!S45</f>
        <v>1.0783369258515758</v>
      </c>
      <c r="T21" s="102">
        <f>('Balance Sheet'!T17+'Balance Sheet'!T14)/'Balance Sheet'!T45</f>
        <v>1.0573293701714668</v>
      </c>
      <c r="U21" s="102">
        <f>('Balance Sheet'!U17+'Balance Sheet'!U14)/'Balance Sheet'!U45</f>
        <v>1.3010339922352543</v>
      </c>
      <c r="V21" s="102">
        <f>('Balance Sheet'!V17+'Balance Sheet'!V14)/'Balance Sheet'!V45</f>
        <v>1.2194740533835902</v>
      </c>
      <c r="W21" s="102">
        <f>('Balance Sheet'!W17+'Balance Sheet'!W14)/'Balance Sheet'!W45</f>
        <v>1.5125082433645354</v>
      </c>
      <c r="X21" s="102">
        <f>('Balance Sheet'!X17+'Balance Sheet'!X14)/'Balance Sheet'!X45</f>
        <v>1.3639040598415961</v>
      </c>
      <c r="Y21" s="102">
        <f>('Balance Sheet'!Y17+'Balance Sheet'!Y14)/'Balance Sheet'!Y45</f>
        <v>1.7078500757928876</v>
      </c>
      <c r="Z21" s="102">
        <f>('Balance Sheet'!Z17+'Balance Sheet'!Z14)/'Balance Sheet'!Z45</f>
        <v>1.4935441478286242</v>
      </c>
      <c r="AE21" s="102">
        <f>('Balance Sheet'!AE17+'Balance Sheet'!AE14)/'Balance Sheet'!AE45</f>
        <v>0.62633419212366581</v>
      </c>
      <c r="AF21" s="102">
        <f>('Balance Sheet'!AF17+'Balance Sheet'!AF14)/'Balance Sheet'!AF45</f>
        <v>0.57135769803208203</v>
      </c>
      <c r="AG21" s="102">
        <f>('Balance Sheet'!AG17+'Balance Sheet'!AG14)/'Balance Sheet'!AG45</f>
        <v>0.51416490486257926</v>
      </c>
      <c r="AH21" s="102">
        <f>('Balance Sheet'!AH17+'Balance Sheet'!AH14)/'Balance Sheet'!AH45</f>
        <v>0.49888701517706574</v>
      </c>
      <c r="AI21" s="102">
        <f>('Balance Sheet'!AI17+'Balance Sheet'!AI14)/'Balance Sheet'!AI45</f>
        <v>0.48728754038488553</v>
      </c>
      <c r="AJ21" s="102">
        <f>('Balance Sheet'!AJ17+'Balance Sheet'!AJ14)/'Balance Sheet'!AJ45</f>
        <v>0.69504417366750659</v>
      </c>
      <c r="AK21" s="102">
        <f>('Balance Sheet'!AK17+'Balance Sheet'!AK14)/'Balance Sheet'!AK45</f>
        <v>0.88237555926018585</v>
      </c>
      <c r="AL21" s="102">
        <f>('Balance Sheet'!AL17+'Balance Sheet'!AL14)/'Balance Sheet'!AL45</f>
        <v>1.0573293701714668</v>
      </c>
      <c r="AM21" s="102">
        <f>('Balance Sheet'!AM17+'Balance Sheet'!AM14)/'Balance Sheet'!AM45</f>
        <v>1.2194740533835902</v>
      </c>
      <c r="AN21" s="102">
        <f>('Balance Sheet'!AN17+'Balance Sheet'!AN14)/'Balance Sheet'!AN45</f>
        <v>1.3639040598415961</v>
      </c>
      <c r="AO21" s="102">
        <f>('Balance Sheet'!AO17+'Balance Sheet'!AO14)/'Balance Sheet'!AO45</f>
        <v>1.4935441478286242</v>
      </c>
      <c r="AS21" t="s">
        <v>307</v>
      </c>
    </row>
    <row r="22" spans="1:45" x14ac:dyDescent="0.3">
      <c r="A22" t="s">
        <v>250</v>
      </c>
      <c r="H22" t="s">
        <v>253</v>
      </c>
      <c r="I22" s="102">
        <f>'Balance Sheet'!I17/'Balance Sheet'!I45</f>
        <v>0.20175989943431805</v>
      </c>
      <c r="J22" s="102">
        <f>'Balance Sheet'!J17/'Balance Sheet'!J45</f>
        <v>0.19485553206483439</v>
      </c>
      <c r="K22" s="102">
        <f>'Balance Sheet'!K17/'Balance Sheet'!K45</f>
        <v>0.1294560219740849</v>
      </c>
      <c r="L22" s="102">
        <f>'Balance Sheet'!L17/'Balance Sheet'!L45</f>
        <v>0.16033726812816188</v>
      </c>
      <c r="M22" s="102">
        <f>'Balance Sheet'!M17/'Balance Sheet'!M45</f>
        <v>0.14892086330935253</v>
      </c>
      <c r="N22" s="102">
        <f>'Balance Sheet'!N17/'Balance Sheet'!N45</f>
        <v>0.1650512712459615</v>
      </c>
      <c r="O22" s="102">
        <f>'Balance Sheet'!O17/'Balance Sheet'!O45</f>
        <v>0.28158394837908957</v>
      </c>
      <c r="P22" s="102">
        <f>'Balance Sheet'!P17/'Balance Sheet'!P45</f>
        <v>0.33518159120935459</v>
      </c>
      <c r="Q22" s="102">
        <f>'Balance Sheet'!Q17/'Balance Sheet'!Q45</f>
        <v>0.51402062316989638</v>
      </c>
      <c r="R22" s="102">
        <f>'Balance Sheet'!R17/'Balance Sheet'!R45</f>
        <v>0.5119879394524014</v>
      </c>
      <c r="S22" s="102">
        <f>'Balance Sheet'!S17/'Balance Sheet'!S45</f>
        <v>0.7353766347146844</v>
      </c>
      <c r="T22" s="102">
        <f>'Balance Sheet'!T17/'Balance Sheet'!T45</f>
        <v>0.67593951672974595</v>
      </c>
      <c r="U22" s="102">
        <f>'Balance Sheet'!U17/'Balance Sheet'!U45</f>
        <v>0.94936487461055119</v>
      </c>
      <c r="V22" s="102">
        <f>'Balance Sheet'!V17/'Balance Sheet'!V45</f>
        <v>0.82712450340024102</v>
      </c>
      <c r="W22" s="102">
        <f>'Balance Sheet'!W17/'Balance Sheet'!W45</f>
        <v>1.1503811559964991</v>
      </c>
      <c r="X22" s="102">
        <f>'Balance Sheet'!X17/'Balance Sheet'!X45</f>
        <v>0.95998324153236392</v>
      </c>
      <c r="Y22" s="102">
        <f>'Balance Sheet'!Y17/'Balance Sheet'!Y45</f>
        <v>1.3340203986928076</v>
      </c>
      <c r="Z22" s="102">
        <f>'Balance Sheet'!Z17/'Balance Sheet'!Z45</f>
        <v>1.0784464354462837</v>
      </c>
      <c r="AE22" s="102">
        <f>'Balance Sheet'!AE17/'Balance Sheet'!AE45</f>
        <v>0.36805299963194699</v>
      </c>
      <c r="AF22" s="102">
        <f>'Balance Sheet'!AF17/'Balance Sheet'!AF45</f>
        <v>0.26856292376384983</v>
      </c>
      <c r="AG22" s="102">
        <f>'Balance Sheet'!AG17/'Balance Sheet'!AG45</f>
        <v>0.19485553206483439</v>
      </c>
      <c r="AH22" s="102">
        <f>'Balance Sheet'!AH17/'Balance Sheet'!AH45</f>
        <v>0.16033726812816188</v>
      </c>
      <c r="AI22" s="102">
        <f>'Balance Sheet'!AI17/'Balance Sheet'!AI45</f>
        <v>0.1650512712459615</v>
      </c>
      <c r="AJ22" s="102">
        <f>'Balance Sheet'!AJ17/'Balance Sheet'!AJ45</f>
        <v>0.33518159120935459</v>
      </c>
      <c r="AK22" s="102">
        <f>'Balance Sheet'!AK17/'Balance Sheet'!AK45</f>
        <v>0.5119879394524014</v>
      </c>
      <c r="AL22" s="102">
        <f>'Balance Sheet'!AL17/'Balance Sheet'!AL45</f>
        <v>0.67593951672974595</v>
      </c>
      <c r="AM22" s="102">
        <f>'Balance Sheet'!AM17/'Balance Sheet'!AM45</f>
        <v>0.82712450340024102</v>
      </c>
      <c r="AN22" s="102">
        <f>'Balance Sheet'!AN17/'Balance Sheet'!AN45</f>
        <v>0.95998324153236392</v>
      </c>
      <c r="AO22" s="102">
        <f>'Balance Sheet'!AO17/'Balance Sheet'!AO45</f>
        <v>1.0784464354462837</v>
      </c>
      <c r="AS22" t="s">
        <v>315</v>
      </c>
    </row>
    <row r="23" spans="1:45" x14ac:dyDescent="0.3">
      <c r="A23" t="s">
        <v>251</v>
      </c>
      <c r="H23" t="s">
        <v>254</v>
      </c>
      <c r="I23" s="4">
        <f>('Balance Sheet'!I17+'Balance Sheet'!I14)/('Profit and Loss Statement '!I14/182.5)</f>
        <v>692.53019323671504</v>
      </c>
      <c r="J23" s="4">
        <f>('Balance Sheet'!J17+'Balance Sheet'!J14)/('Profit and Loss Statement '!J14/182.5)</f>
        <v>601.68097605061007</v>
      </c>
      <c r="K23" s="4">
        <f>('Balance Sheet'!K17+'Balance Sheet'!K14)/('Profit and Loss Statement '!K14/182.5)</f>
        <v>893.01520794537555</v>
      </c>
      <c r="L23" s="4">
        <f>('Balance Sheet'!L17+'Balance Sheet'!L14)/('Profit and Loss Statement '!L14/182.5)</f>
        <v>834.22126081582201</v>
      </c>
      <c r="M23" s="4">
        <f>('Balance Sheet'!M17+'Balance Sheet'!M14)/('Profit and Loss Statement '!M14/182.5)</f>
        <v>906.81906614785987</v>
      </c>
      <c r="N23" s="4">
        <f>('Balance Sheet'!N17+'Balance Sheet'!N14)/('Profit and Loss Statement '!N14/182.5)</f>
        <v>954.54007464830067</v>
      </c>
      <c r="O23" s="4">
        <f>('Balance Sheet'!O17+'Balance Sheet'!O14)/('Profit and Loss Statement '!O14/182.5)</f>
        <v>1042.0779551848132</v>
      </c>
      <c r="P23" s="4">
        <f>('Balance Sheet'!P17+'Balance Sheet'!P14)/('Profit and Loss Statement '!P14/182.5)</f>
        <v>818.334615735905</v>
      </c>
      <c r="Q23" s="4">
        <f>('Balance Sheet'!Q17+'Balance Sheet'!Q14)/('Profit and Loss Statement '!Q14/182.5)</f>
        <v>1269.4149002420372</v>
      </c>
      <c r="R23" s="4">
        <f>('Balance Sheet'!R17+'Balance Sheet'!R14)/('Profit and Loss Statement '!R14/182.5)</f>
        <v>953.07940366737921</v>
      </c>
      <c r="S23" s="4">
        <f>('Balance Sheet'!S17+'Balance Sheet'!S14)/('Profit and Loss Statement '!S14/182.5)</f>
        <v>1495.8339143849441</v>
      </c>
      <c r="T23" s="4">
        <f>('Balance Sheet'!T17+'Balance Sheet'!T14)/('Profit and Loss Statement '!T14/182.5)</f>
        <v>1058.7418507366895</v>
      </c>
      <c r="U23" s="4">
        <f>('Balance Sheet'!U17+'Balance Sheet'!U14)/('Profit and Loss Statement '!U14/182.5)</f>
        <v>1665.2112691301982</v>
      </c>
      <c r="V23" s="4">
        <f>('Balance Sheet'!V17+'Balance Sheet'!V14)/('Profit and Loss Statement '!V14/182.5)</f>
        <v>1139.4537025887278</v>
      </c>
      <c r="W23" s="4">
        <f>('Balance Sheet'!W17+'Balance Sheet'!W14)/('Profit and Loss Statement '!W14/182.5)</f>
        <v>1780.458118480331</v>
      </c>
      <c r="X23" s="4">
        <f>('Balance Sheet'!X17+'Balance Sheet'!X14)/('Profit and Loss Statement '!X14/182.5)</f>
        <v>1202.6493891775847</v>
      </c>
      <c r="Y23" s="4">
        <f>('Balance Sheet'!Y17+'Balance Sheet'!Y14)/('Profit and Loss Statement '!Y14/182.5)</f>
        <v>1849.1142155005691</v>
      </c>
      <c r="Z23" s="4">
        <f>('Balance Sheet'!Z17+'Balance Sheet'!Z14)/('Profit and Loss Statement '!Z14/182.5)</f>
        <v>1248.0904087990566</v>
      </c>
      <c r="AA23" s="4"/>
      <c r="AB23" s="4"/>
      <c r="AC23" s="4"/>
      <c r="AD23" s="4"/>
      <c r="AE23" s="4">
        <f>('Balance Sheet'!AE17+'Balance Sheet'!AE14)/('Profit and Loss Statement '!AE14/365)</f>
        <v>-131.20108781750014</v>
      </c>
      <c r="AF23" s="4">
        <f>('Balance Sheet'!AF17+'Balance Sheet'!AF14)/('Profit and Loss Statement '!AF14/365)</f>
        <v>562.60316752174879</v>
      </c>
      <c r="AG23" s="4">
        <f>('Balance Sheet'!AG17+'Balance Sheet'!AG14)/('Profit and Loss Statement '!AG14/365)</f>
        <v>621.76978753210369</v>
      </c>
      <c r="AH23" s="4">
        <f>('Balance Sheet'!AH17+'Balance Sheet'!AH14)/('Profit and Loss Statement '!AH14/365)</f>
        <v>836.02973056673898</v>
      </c>
      <c r="AI23" s="4">
        <f>('Balance Sheet'!AI17+'Balance Sheet'!AI14)/('Profit and Loss Statement '!AI14/365)</f>
        <v>720.03696332101219</v>
      </c>
      <c r="AJ23" s="4">
        <f>('Balance Sheet'!AJ17+'Balance Sheet'!AJ14)/('Profit and Loss Statement '!AJ14/365)</f>
        <v>996.01441109471853</v>
      </c>
      <c r="AK23" s="4">
        <f>('Balance Sheet'!AK17+'Balance Sheet'!AK14)/('Profit and Loss Statement '!AK14/365)</f>
        <v>1192.3172866972511</v>
      </c>
      <c r="AL23" s="4">
        <f>('Balance Sheet'!AL17+'Balance Sheet'!AL14)/('Profit and Loss Statement '!AL14/365)</f>
        <v>1344.2563502586022</v>
      </c>
      <c r="AM23" s="4">
        <f>('Balance Sheet'!AM17+'Balance Sheet'!AM14)/('Profit and Loss Statement '!AM14/365)</f>
        <v>1455.7415680285858</v>
      </c>
      <c r="AN23" s="4">
        <f>('Balance Sheet'!AN17+'Balance Sheet'!AN14)/('Profit and Loss Statement '!AN14/365)</f>
        <v>1537.0201656346901</v>
      </c>
      <c r="AO23" s="4">
        <f>('Balance Sheet'!AO17+'Balance Sheet'!AO14)/('Profit and Loss Statement '!AO14/365)</f>
        <v>1589.315417841598</v>
      </c>
      <c r="AS23" t="s">
        <v>316</v>
      </c>
    </row>
    <row r="25" spans="1:45" x14ac:dyDescent="0.3">
      <c r="A25" s="3" t="s">
        <v>255</v>
      </c>
    </row>
    <row r="27" spans="1:45" x14ac:dyDescent="0.3">
      <c r="A27" t="s">
        <v>256</v>
      </c>
      <c r="H27" t="s">
        <v>262</v>
      </c>
      <c r="I27" s="102">
        <f>('Balance Sheet'!I38+'Balance Sheet'!I31)/'Balance Sheet'!I29</f>
        <v>0.76925218036741505</v>
      </c>
      <c r="J27" s="102">
        <f>('Balance Sheet'!J38+'Balance Sheet'!J31)/'Balance Sheet'!J29</f>
        <v>0.74712591240875914</v>
      </c>
      <c r="K27" s="102">
        <f>('Balance Sheet'!K38+'Balance Sheet'!K31)/'Balance Sheet'!K29</f>
        <v>0.90001359742555409</v>
      </c>
      <c r="L27" s="102">
        <f>('Balance Sheet'!L38+'Balance Sheet'!L31)/'Balance Sheet'!L29</f>
        <v>0.80029838957391719</v>
      </c>
      <c r="M27" s="102">
        <f>('Balance Sheet'!M38+'Balance Sheet'!M31)/'Balance Sheet'!M29</f>
        <v>0.83765057512906438</v>
      </c>
      <c r="N27" s="102">
        <f>('Balance Sheet'!N38+'Balance Sheet'!N31)/'Balance Sheet'!N29</f>
        <v>0.76104812070350858</v>
      </c>
      <c r="O27" s="102">
        <f>('Balance Sheet'!O38+'Balance Sheet'!O31)/'Balance Sheet'!O29</f>
        <v>0.77620565538675113</v>
      </c>
      <c r="P27" s="102">
        <f>('Balance Sheet'!P38+'Balance Sheet'!P31)/'Balance Sheet'!P29</f>
        <v>0.75826230740670331</v>
      </c>
      <c r="Q27" s="102">
        <f>('Balance Sheet'!Q38+'Balance Sheet'!Q31)/'Balance Sheet'!Q29</f>
        <v>0.73298930680794083</v>
      </c>
      <c r="R27" s="102">
        <f>('Balance Sheet'!R38+'Balance Sheet'!R31)/'Balance Sheet'!R29</f>
        <v>0.71265243768779374</v>
      </c>
      <c r="S27" s="102">
        <f>('Balance Sheet'!S38+'Balance Sheet'!S31)/'Balance Sheet'!S29</f>
        <v>0.68742203844430116</v>
      </c>
      <c r="T27" s="102">
        <f>('Balance Sheet'!T38+'Balance Sheet'!T31)/'Balance Sheet'!T29</f>
        <v>0.66571189048859103</v>
      </c>
      <c r="U27" s="102">
        <f>('Balance Sheet'!U38+'Balance Sheet'!U31)/'Balance Sheet'!U29</f>
        <v>0.64012633406830644</v>
      </c>
      <c r="V27" s="102">
        <f>('Balance Sheet'!V38+'Balance Sheet'!V31)/'Balance Sheet'!V29</f>
        <v>0.61787205113726584</v>
      </c>
      <c r="W27" s="102">
        <f>('Balance Sheet'!W38+'Balance Sheet'!W31)/'Balance Sheet'!W29</f>
        <v>0.5918460260056958</v>
      </c>
      <c r="X27" s="102">
        <f>('Balance Sheet'!X38+'Balance Sheet'!X31)/'Balance Sheet'!X29</f>
        <v>0.5697115302449256</v>
      </c>
      <c r="Y27" s="102">
        <f>('Balance Sheet'!Y38+'Balance Sheet'!Y31)/'Balance Sheet'!Y29</f>
        <v>0.54336350705605641</v>
      </c>
      <c r="Z27" s="102">
        <f>('Balance Sheet'!Z38+'Balance Sheet'!Z31)/'Balance Sheet'!Z29</f>
        <v>0.52186525846759968</v>
      </c>
      <c r="AE27" s="102">
        <f>('Balance Sheet'!AE38+'Balance Sheet'!AE31)/'Balance Sheet'!AE29</f>
        <v>1.2643135075041689</v>
      </c>
      <c r="AF27" s="102">
        <f>('Balance Sheet'!AF38+'Balance Sheet'!AF31)/'Balance Sheet'!AF29</f>
        <v>0.85649746192893406</v>
      </c>
      <c r="AG27" s="102">
        <f>('Balance Sheet'!AG38+'Balance Sheet'!AG31)/'Balance Sheet'!AG29</f>
        <v>0.74712591240875914</v>
      </c>
      <c r="AH27" s="102">
        <f>('Balance Sheet'!AH38+'Balance Sheet'!AH31)/'Balance Sheet'!AH29</f>
        <v>0.80029838957391719</v>
      </c>
      <c r="AI27" s="102">
        <f>('Balance Sheet'!AI38+'Balance Sheet'!AI31)/'Balance Sheet'!AI29</f>
        <v>0.76104812070350858</v>
      </c>
      <c r="AJ27" s="102">
        <f>('Balance Sheet'!AJ38+'Balance Sheet'!AJ31)/'Balance Sheet'!AJ29</f>
        <v>0.75826230740670331</v>
      </c>
      <c r="AK27" s="102">
        <f>('Balance Sheet'!AK38+'Balance Sheet'!AK31)/'Balance Sheet'!AK29</f>
        <v>0.71265243768779374</v>
      </c>
      <c r="AL27" s="102">
        <f>('Balance Sheet'!AL38+'Balance Sheet'!AL31)/'Balance Sheet'!AL29</f>
        <v>0.66571189048859103</v>
      </c>
      <c r="AM27" s="102">
        <f>('Balance Sheet'!AM38+'Balance Sheet'!AM31)/'Balance Sheet'!AM29</f>
        <v>0.61787205113726584</v>
      </c>
      <c r="AN27" s="102">
        <f>('Balance Sheet'!AN38+'Balance Sheet'!AN31)/'Balance Sheet'!AN29</f>
        <v>0.5697115302449256</v>
      </c>
      <c r="AO27" s="102">
        <f>('Balance Sheet'!AO38+'Balance Sheet'!AO31)/'Balance Sheet'!AO29</f>
        <v>0.52186525846759968</v>
      </c>
      <c r="AS27" s="105" t="s">
        <v>317</v>
      </c>
    </row>
    <row r="28" spans="1:45" x14ac:dyDescent="0.3">
      <c r="A28" t="s">
        <v>257</v>
      </c>
      <c r="H28" t="s">
        <v>263</v>
      </c>
      <c r="I28" s="102">
        <f>('Balance Sheet'!I31+'Balance Sheet'!I38)/('Balance Sheet'!I31+'Balance Sheet'!I38+'Balance Sheet'!I29)</f>
        <v>0.43478944884367299</v>
      </c>
      <c r="J28" s="102">
        <f>('Balance Sheet'!J31+'Balance Sheet'!J38)/('Balance Sheet'!J31+'Balance Sheet'!J38+'Balance Sheet'!J29)</f>
        <v>0.42763140715982972</v>
      </c>
      <c r="K28" s="102">
        <f>('Balance Sheet'!K31+'Balance Sheet'!K38)/('Balance Sheet'!K31+'Balance Sheet'!K38+'Balance Sheet'!K29)</f>
        <v>0.47368797709923666</v>
      </c>
      <c r="L28" s="102">
        <f>('Balance Sheet'!L31+'Balance Sheet'!L38)/('Balance Sheet'!L31+'Balance Sheet'!L38+'Balance Sheet'!L29)</f>
        <v>0.4445365247276184</v>
      </c>
      <c r="M28" s="102">
        <f>('Balance Sheet'!M31+'Balance Sheet'!M38)/('Balance Sheet'!M31+'Balance Sheet'!M38+'Balance Sheet'!M29)</f>
        <v>0.45582690554227556</v>
      </c>
      <c r="N28" s="102">
        <f>('Balance Sheet'!N31+'Balance Sheet'!N38)/('Balance Sheet'!N31+'Balance Sheet'!N38+'Balance Sheet'!N29)</f>
        <v>0.43215634584674661</v>
      </c>
      <c r="O28" s="102">
        <f>('Balance Sheet'!O31+'Balance Sheet'!O38)/('Balance Sheet'!O31+'Balance Sheet'!O38+'Balance Sheet'!O29)</f>
        <v>0.43700213037422186</v>
      </c>
      <c r="P28" s="102">
        <f>('Balance Sheet'!P31+'Balance Sheet'!P38)/('Balance Sheet'!P31+'Balance Sheet'!P38+'Balance Sheet'!P29)</f>
        <v>0.43125664709555189</v>
      </c>
      <c r="Q28" s="102">
        <f>('Balance Sheet'!Q31+'Balance Sheet'!Q38)/('Balance Sheet'!Q31+'Balance Sheet'!Q38+'Balance Sheet'!Q29)</f>
        <v>0.42296239447550993</v>
      </c>
      <c r="R28" s="102">
        <f>('Balance Sheet'!R31+'Balance Sheet'!R38)/('Balance Sheet'!R31+'Balance Sheet'!R38+'Balance Sheet'!R29)</f>
        <v>0.41611036892571546</v>
      </c>
      <c r="S28" s="102">
        <f>('Balance Sheet'!S31+'Balance Sheet'!S38)/('Balance Sheet'!S31+'Balance Sheet'!S38+'Balance Sheet'!S29)</f>
        <v>0.40738002869635492</v>
      </c>
      <c r="T28" s="102">
        <f>('Balance Sheet'!T31+'Balance Sheet'!T38)/('Balance Sheet'!T31+'Balance Sheet'!T38+'Balance Sheet'!T29)</f>
        <v>0.39965608355795706</v>
      </c>
      <c r="U28" s="102">
        <f>('Balance Sheet'!U31+'Balance Sheet'!U38)/('Balance Sheet'!U31+'Balance Sheet'!U38+'Balance Sheet'!U29)</f>
        <v>0.39029087014320629</v>
      </c>
      <c r="V28" s="102">
        <f>('Balance Sheet'!V31+'Balance Sheet'!V38)/('Balance Sheet'!V31+'Balance Sheet'!V38+'Balance Sheet'!V29)</f>
        <v>0.38190415039492109</v>
      </c>
      <c r="W28" s="102">
        <f>('Balance Sheet'!W31+'Balance Sheet'!W38)/('Balance Sheet'!W31+'Balance Sheet'!W38+'Balance Sheet'!W29)</f>
        <v>0.37179853851240391</v>
      </c>
      <c r="X28" s="102">
        <f>('Balance Sheet'!X31+'Balance Sheet'!X38)/('Balance Sheet'!X31+'Balance Sheet'!X38+'Balance Sheet'!X29)</f>
        <v>0.36294027231617026</v>
      </c>
      <c r="Y28" s="102">
        <f>('Balance Sheet'!Y31+'Balance Sheet'!Y38)/('Balance Sheet'!Y31+'Balance Sheet'!Y38+'Balance Sheet'!Y29)</f>
        <v>0.35206450364536251</v>
      </c>
      <c r="Z28" s="102">
        <f>('Balance Sheet'!Z31+'Balance Sheet'!Z38)/('Balance Sheet'!Z31+'Balance Sheet'!Z38+'Balance Sheet'!Z29)</f>
        <v>0.34291160506093527</v>
      </c>
      <c r="AE28" s="102">
        <f>('Balance Sheet'!AE31+'Balance Sheet'!AE38)/('Balance Sheet'!AE31+'Balance Sheet'!AE38+'Balance Sheet'!AE29)</f>
        <v>0.55836504234687612</v>
      </c>
      <c r="AF28" s="102">
        <f>('Balance Sheet'!AF31+'Balance Sheet'!AF38)/('Balance Sheet'!AF31+'Balance Sheet'!AF38+'Balance Sheet'!AF29)</f>
        <v>0.4613512700626145</v>
      </c>
      <c r="AG28" s="102">
        <f>('Balance Sheet'!AG31+'Balance Sheet'!AG38)/('Balance Sheet'!AG31+'Balance Sheet'!AG38+'Balance Sheet'!AG29)</f>
        <v>0.42763140715982972</v>
      </c>
      <c r="AH28" s="102">
        <f>('Balance Sheet'!AH31+'Balance Sheet'!AH38)/('Balance Sheet'!AH31+'Balance Sheet'!AH38+'Balance Sheet'!AH29)</f>
        <v>0.4445365247276184</v>
      </c>
      <c r="AI28" s="102">
        <f>('Balance Sheet'!AI31+'Balance Sheet'!AI38)/('Balance Sheet'!AI31+'Balance Sheet'!AI38+'Balance Sheet'!AI29)</f>
        <v>0.43215634584674661</v>
      </c>
      <c r="AJ28" s="102">
        <f>('Balance Sheet'!AJ31+'Balance Sheet'!AJ38)/('Balance Sheet'!AJ31+'Balance Sheet'!AJ38+'Balance Sheet'!AJ29)</f>
        <v>0.43125664709555189</v>
      </c>
      <c r="AK28" s="102">
        <f>('Balance Sheet'!AK31+'Balance Sheet'!AK38)/('Balance Sheet'!AK31+'Balance Sheet'!AK38+'Balance Sheet'!AK29)</f>
        <v>0.41611036892571546</v>
      </c>
      <c r="AL28" s="102">
        <f>('Balance Sheet'!AL31+'Balance Sheet'!AL38)/('Balance Sheet'!AL31+'Balance Sheet'!AL38+'Balance Sheet'!AL29)</f>
        <v>0.39965608355795706</v>
      </c>
      <c r="AM28" s="102">
        <f>('Balance Sheet'!AM31+'Balance Sheet'!AM38)/('Balance Sheet'!AM31+'Balance Sheet'!AM38+'Balance Sheet'!AM29)</f>
        <v>0.38190415039492109</v>
      </c>
      <c r="AN28" s="102">
        <f>('Balance Sheet'!AN31+'Balance Sheet'!AN38)/('Balance Sheet'!AN31+'Balance Sheet'!AN38+'Balance Sheet'!AN29)</f>
        <v>0.36294027231617026</v>
      </c>
      <c r="AO28" s="102">
        <f>('Balance Sheet'!AO31+'Balance Sheet'!AO38)/('Balance Sheet'!AO31+'Balance Sheet'!AO38+'Balance Sheet'!AO29)</f>
        <v>0.34291160506093527</v>
      </c>
      <c r="AS28" s="105" t="s">
        <v>318</v>
      </c>
    </row>
    <row r="29" spans="1:45" x14ac:dyDescent="0.3">
      <c r="A29" t="s">
        <v>258</v>
      </c>
      <c r="H29" t="s">
        <v>264</v>
      </c>
      <c r="I29" s="102">
        <f>('Balance Sheet'!I31+'Balance Sheet'!I38)/'Balance Sheet'!I22</f>
        <v>0.31675867733863111</v>
      </c>
      <c r="J29" s="102">
        <f>('Balance Sheet'!J31+'Balance Sheet'!J38)/'Balance Sheet'!J22</f>
        <v>0.31250238522306606</v>
      </c>
      <c r="K29" s="102">
        <f>('Balance Sheet'!K31+'Balance Sheet'!K38)/'Balance Sheet'!K22</f>
        <v>0.34890095408781824</v>
      </c>
      <c r="L29" s="102">
        <f>('Balance Sheet'!L31+'Balance Sheet'!L38)/'Balance Sheet'!L22</f>
        <v>0.33068010806302467</v>
      </c>
      <c r="M29" s="102">
        <f>('Balance Sheet'!M31+'Balance Sheet'!M38)/'Balance Sheet'!M22</f>
        <v>0.33899640788798474</v>
      </c>
      <c r="N29" s="102">
        <f>('Balance Sheet'!N31+'Balance Sheet'!N38)/'Balance Sheet'!N22</f>
        <v>0.31705502761608984</v>
      </c>
      <c r="O29" s="102">
        <f>('Balance Sheet'!O31+'Balance Sheet'!O38)/'Balance Sheet'!O22</f>
        <v>0.32750639503891499</v>
      </c>
      <c r="P29" s="102">
        <f>('Balance Sheet'!P31+'Balance Sheet'!P38)/'Balance Sheet'!P22</f>
        <v>0.31732229767981157</v>
      </c>
      <c r="Q29" s="102">
        <f>('Balance Sheet'!Q31+'Balance Sheet'!Q38)/'Balance Sheet'!Q22</f>
        <v>0.32439774723060927</v>
      </c>
      <c r="R29" s="102">
        <f>('Balance Sheet'!R31+'Balance Sheet'!R38)/'Balance Sheet'!R22</f>
        <v>0.30585954877282739</v>
      </c>
      <c r="S29" s="102">
        <f>('Balance Sheet'!S31+'Balance Sheet'!S38)/'Balance Sheet'!S22</f>
        <v>0.31452545013120464</v>
      </c>
      <c r="T29" s="102">
        <f>('Balance Sheet'!T31+'Balance Sheet'!T38)/'Balance Sheet'!T22</f>
        <v>0.29317444104479107</v>
      </c>
      <c r="U29" s="102">
        <f>('Balance Sheet'!U31+'Balance Sheet'!U38)/'Balance Sheet'!U22</f>
        <v>0.30260377645866471</v>
      </c>
      <c r="V29" s="102">
        <f>('Balance Sheet'!V31+'Balance Sheet'!V38)/'Balance Sheet'!V22</f>
        <v>0.27954229546119153</v>
      </c>
      <c r="W29" s="102">
        <f>('Balance Sheet'!W31+'Balance Sheet'!W38)/'Balance Sheet'!W22</f>
        <v>0.28894716921133778</v>
      </c>
      <c r="X29" s="102">
        <f>('Balance Sheet'!X31+'Balance Sheet'!X38)/'Balance Sheet'!X22</f>
        <v>0.26463313675806149</v>
      </c>
      <c r="Y29" s="102">
        <f>('Balance Sheet'!Y31+'Balance Sheet'!Y38)/'Balance Sheet'!Y22</f>
        <v>0.27384975989435473</v>
      </c>
      <c r="Z29" s="102">
        <f>('Balance Sheet'!Z31+'Balance Sheet'!Z38)/'Balance Sheet'!Z22</f>
        <v>0.24909048437939529</v>
      </c>
      <c r="AE29" s="102">
        <f>('Balance Sheet'!AE31+'Balance Sheet'!AE38)/'Balance Sheet'!AE22</f>
        <v>0.42681553762431979</v>
      </c>
      <c r="AF29" s="102">
        <f>('Balance Sheet'!AF31+'Balance Sheet'!AF38)/'Balance Sheet'!AF22</f>
        <v>0.3454042988741044</v>
      </c>
      <c r="AG29" s="102">
        <f>('Balance Sheet'!AG31+'Balance Sheet'!AG38)/'Balance Sheet'!AG22</f>
        <v>0.31250238522306606</v>
      </c>
      <c r="AH29" s="102">
        <f>('Balance Sheet'!AH31+'Balance Sheet'!AH38)/'Balance Sheet'!AH22</f>
        <v>0.33068010806302467</v>
      </c>
      <c r="AI29" s="102">
        <f>('Balance Sheet'!AI31+'Balance Sheet'!AI38)/'Balance Sheet'!AI22</f>
        <v>0.31705502761608984</v>
      </c>
      <c r="AJ29" s="102">
        <f>('Balance Sheet'!AJ31+'Balance Sheet'!AJ38)/'Balance Sheet'!AJ22</f>
        <v>0.31732229767981157</v>
      </c>
      <c r="AK29" s="102">
        <f>('Balance Sheet'!AK31+'Balance Sheet'!AK38)/'Balance Sheet'!AK22</f>
        <v>0.30585954877282739</v>
      </c>
      <c r="AL29" s="102">
        <f>('Balance Sheet'!AL31+'Balance Sheet'!AL38)/'Balance Sheet'!AL22</f>
        <v>0.29317444104479112</v>
      </c>
      <c r="AM29" s="102">
        <f>('Balance Sheet'!AM31+'Balance Sheet'!AM38)/'Balance Sheet'!AM22</f>
        <v>0.27954229546119153</v>
      </c>
      <c r="AN29" s="102">
        <f>('Balance Sheet'!AN31+'Balance Sheet'!AN38)/'Balance Sheet'!AN22</f>
        <v>0.26463313675806149</v>
      </c>
      <c r="AO29" s="102">
        <f>('Balance Sheet'!AO31+'Balance Sheet'!AO38)/'Balance Sheet'!AO22</f>
        <v>0.24909048437939529</v>
      </c>
      <c r="AS29" s="105" t="s">
        <v>308</v>
      </c>
    </row>
    <row r="30" spans="1:45" x14ac:dyDescent="0.3">
      <c r="A30" t="s">
        <v>259</v>
      </c>
      <c r="H30" t="s">
        <v>265</v>
      </c>
      <c r="I30" s="102">
        <f>AVERAGE('Balance Sheet'!H22:I22)/AVERAGE('Balance Sheet'!H29:I29)</f>
        <v>2.4529522978475859</v>
      </c>
      <c r="J30" s="102">
        <f>AVERAGE('Balance Sheet'!I22:J22)/AVERAGE('Balance Sheet'!I29:J29)</f>
        <v>2.4094902934952618</v>
      </c>
      <c r="K30" s="102">
        <f>AVERAGE('Balance Sheet'!J22:K22)/AVERAGE('Balance Sheet'!J29:K29)</f>
        <v>2.4854830275333653</v>
      </c>
      <c r="L30" s="102">
        <f>AVERAGE('Balance Sheet'!K22:L22)/AVERAGE('Balance Sheet'!K29:L29)</f>
        <v>2.4985730848122714</v>
      </c>
      <c r="M30" s="102">
        <f>AVERAGE('Balance Sheet'!L22:M22)/AVERAGE('Balance Sheet'!L29:M29)</f>
        <v>2.4451650286376503</v>
      </c>
      <c r="N30" s="102">
        <f>AVERAGE('Balance Sheet'!M22:N22)/AVERAGE('Balance Sheet'!M29:N29)</f>
        <v>2.4354149806672063</v>
      </c>
      <c r="O30" s="102">
        <f>AVERAGE('Balance Sheet'!N22:O22)/AVERAGE('Balance Sheet'!N29:O29)</f>
        <v>2.3848506401893541</v>
      </c>
      <c r="P30" s="102">
        <f>AVERAGE('Balance Sheet'!O22:P22)/AVERAGE('Balance Sheet'!O29:P29)</f>
        <v>2.3799868224215177</v>
      </c>
      <c r="Q30" s="102">
        <f>AVERAGE('Balance Sheet'!P22:Q22)/AVERAGE('Balance Sheet'!P29:Q29)</f>
        <v>2.3230134440758841</v>
      </c>
      <c r="R30" s="102">
        <f>AVERAGE('Balance Sheet'!Q22:R22)/AVERAGE('Balance Sheet'!Q29:R29)</f>
        <v>2.2954980672288614</v>
      </c>
      <c r="S30" s="102">
        <f>AVERAGE('Balance Sheet'!R22:S22)/AVERAGE('Balance Sheet'!R29:S29)</f>
        <v>2.2560183075759408</v>
      </c>
      <c r="T30" s="102">
        <f>AVERAGE('Balance Sheet'!S22:T22)/AVERAGE('Balance Sheet'!S29:T29)</f>
        <v>2.2291012207457395</v>
      </c>
      <c r="U30" s="102">
        <f>AVERAGE('Balance Sheet'!T22:U22)/AVERAGE('Balance Sheet'!T29:U29)</f>
        <v>2.1910318914800766</v>
      </c>
      <c r="V30" s="102">
        <f>AVERAGE('Balance Sheet'!U22:V22)/AVERAGE('Balance Sheet'!U29:V29)</f>
        <v>2.163984824172247</v>
      </c>
      <c r="W30" s="102">
        <f>AVERAGE('Balance Sheet'!V22:W22)/AVERAGE('Balance Sheet'!V29:W29)</f>
        <v>2.1270454973975945</v>
      </c>
      <c r="X30" s="102">
        <f>AVERAGE('Balance Sheet'!W22:X22)/AVERAGE('Balance Sheet'!W29:X29)</f>
        <v>2.1018769771770782</v>
      </c>
      <c r="Y30" s="102">
        <f>AVERAGE('Balance Sheet'!X22:Y22)/AVERAGE('Balance Sheet'!X29:Y29)</f>
        <v>2.0659931354679411</v>
      </c>
      <c r="Z30" s="102">
        <f>AVERAGE('Balance Sheet'!Y22:Z22)/AVERAGE('Balance Sheet'!Y29:Z29)</f>
        <v>2.041076323140175</v>
      </c>
      <c r="AE30" s="102">
        <f>AVERAGE('Balance Sheet'!AD22:AE22)/AVERAGE('Balance Sheet'!AD29:AE29)</f>
        <v>2.9622012229016121</v>
      </c>
      <c r="AF30" s="102">
        <f>AVERAGE('Balance Sheet'!AE22:AF22)/AVERAGE('Balance Sheet'!AE29:AF29)</f>
        <v>2.6833861316437875</v>
      </c>
      <c r="AG30" s="102">
        <f>AVERAGE('Balance Sheet'!AF22:AG22)/AVERAGE('Balance Sheet'!AF29:AG29)</f>
        <v>2.4328688130706393</v>
      </c>
      <c r="AH30" s="102">
        <f>AVERAGE('Balance Sheet'!AG22:AH22)/AVERAGE('Balance Sheet'!AG29:AH29)</f>
        <v>2.4057572300879015</v>
      </c>
      <c r="AI30" s="102">
        <f>AVERAGE('Balance Sheet'!AH22:AI22)/AVERAGE('Balance Sheet'!AH29:AI29)</f>
        <v>2.4103471930251601</v>
      </c>
      <c r="AJ30" s="102">
        <f>AVERAGE('Balance Sheet'!AI22:AJ22)/AVERAGE('Balance Sheet'!AI29:AJ29)</f>
        <v>2.3947389306477085</v>
      </c>
      <c r="AK30" s="102">
        <f>AVERAGE('Balance Sheet'!AJ22:AK22)/AVERAGE('Balance Sheet'!AJ29:AK29)</f>
        <v>2.3584614720864741</v>
      </c>
      <c r="AL30" s="102">
        <f>AVERAGE('Balance Sheet'!AK22:AL22)/AVERAGE('Balance Sheet'!AK29:AL29)</f>
        <v>2.298956056416301</v>
      </c>
      <c r="AM30" s="102">
        <f>AVERAGE('Balance Sheet'!AL22:AM22)/AVERAGE('Balance Sheet'!AL29:AM29)</f>
        <v>2.2389929587022928</v>
      </c>
      <c r="AN30" s="102">
        <f>AVERAGE('Balance Sheet'!AM22:AN22)/AVERAGE('Balance Sheet'!AM29:AN29)</f>
        <v>2.1800475212446293</v>
      </c>
      <c r="AO30" s="102">
        <f>AVERAGE('Balance Sheet'!AN22:AO22)/AVERAGE('Balance Sheet'!AN29:AO29)</f>
        <v>2.1223459615945077</v>
      </c>
      <c r="AS30" s="105" t="s">
        <v>319</v>
      </c>
    </row>
    <row r="31" spans="1:45" x14ac:dyDescent="0.3">
      <c r="A31" t="s">
        <v>260</v>
      </c>
      <c r="H31" t="s">
        <v>266</v>
      </c>
      <c r="I31" s="102">
        <f>'Profit and Loss Statement '!I14/-'Profit and Loss Statement '!I17</f>
        <v>9.6728971962616814</v>
      </c>
      <c r="J31" s="102">
        <f>'Profit and Loss Statement '!J14/-'Profit and Loss Statement '!J17</f>
        <v>9.0696721311475414</v>
      </c>
      <c r="K31" s="102">
        <f>'Profit and Loss Statement '!K14/-'Profit and Loss Statement '!K17</f>
        <v>5.4610169491525422</v>
      </c>
      <c r="L31" s="102">
        <f>'Profit and Loss Statement '!L14/-'Profit and Loss Statement '!L17</f>
        <v>4.689855072463768</v>
      </c>
      <c r="M31" s="102">
        <f>'Profit and Loss Statement '!M14/-'Profit and Loss Statement '!M17</f>
        <v>4.5087719298245617</v>
      </c>
      <c r="N31" s="102">
        <f>'Profit and Loss Statement '!N14/-'Profit and Loss Statement '!N17</f>
        <v>3.5185331564986728</v>
      </c>
      <c r="O31" s="102">
        <f>'Profit and Loss Statement '!O14/-'Profit and Loss Statement '!O17</f>
        <v>4.4376564970474837</v>
      </c>
      <c r="P31" s="102">
        <f>'Profit and Loss Statement '!P14/-'Profit and Loss Statement '!P17</f>
        <v>6.7149211392478367</v>
      </c>
      <c r="Q31" s="102">
        <f>'Profit and Loss Statement '!Q14/-'Profit and Loss Statement '!Q17</f>
        <v>4.6673886735557302</v>
      </c>
      <c r="R31" s="102">
        <f>'Profit and Loss Statement '!R14/-'Profit and Loss Statement '!R17</f>
        <v>7.5931063257642899</v>
      </c>
      <c r="S31" s="102">
        <f>'Profit and Loss Statement '!S14/-'Profit and Loss Statement '!S17</f>
        <v>5.0551769387746583</v>
      </c>
      <c r="T31" s="102">
        <f>'Profit and Loss Statement '!T14/-'Profit and Loss Statement '!T17</f>
        <v>8.5656551653801625</v>
      </c>
      <c r="U31" s="102">
        <f>'Profit and Loss Statement '!U14/-'Profit and Loss Statement '!U17</f>
        <v>5.5976147665424349</v>
      </c>
      <c r="V31" s="102">
        <f>'Profit and Loss Statement '!V14/-'Profit and Loss Statement '!V17</f>
        <v>9.6544699095417315</v>
      </c>
      <c r="W31" s="102">
        <f>'Profit and Loss Statement '!W14/-'Profit and Loss Statement '!W17</f>
        <v>6.3009448099768894</v>
      </c>
      <c r="X31" s="102">
        <f>'Profit and Loss Statement '!X14/-'Profit and Loss Statement '!X17</f>
        <v>10.884791850891617</v>
      </c>
      <c r="Y31" s="102">
        <f>'Profit and Loss Statement '!Y14/-'Profit and Loss Statement '!Y17</f>
        <v>7.1795173679995932</v>
      </c>
      <c r="Z31" s="102">
        <f>'Profit and Loss Statement '!Z14/-'Profit and Loss Statement '!Z17</f>
        <v>12.285967296097185</v>
      </c>
      <c r="AE31" s="102">
        <f>'Profit and Loss Statement '!AE14/-'Profit and Loss Statement '!AE17</f>
        <v>-38.102615694164989</v>
      </c>
      <c r="AF31" s="102">
        <f>'Profit and Loss Statement '!AF14/-'Profit and Loss Statement '!AF17</f>
        <v>9.7034632034632029</v>
      </c>
      <c r="AG31" s="102">
        <f>'Profit and Loss Statement '!AG14/-'Profit and Loss Statement '!AG17</f>
        <v>9.3515283842794759</v>
      </c>
      <c r="AH31" s="102">
        <f>'Profit and Loss Statement '!AH14/-'Profit and Loss Statement '!AH17</f>
        <v>5.0453124999999996</v>
      </c>
      <c r="AI31" s="102">
        <f>'Profit and Loss Statement '!AI14/-'Profit and Loss Statement '!AI17</f>
        <v>5.1720588235294116</v>
      </c>
      <c r="AJ31" s="102">
        <f>'Profit and Loss Statement '!AJ14/-'Profit and Loss Statement '!AJ17</f>
        <v>5.5916965626821691</v>
      </c>
      <c r="AK31" s="102">
        <f>'Profit and Loss Statement '!AK14/-'Profit and Loss Statement '!AK17</f>
        <v>6.1495210019802196</v>
      </c>
      <c r="AL31" s="102">
        <f>'Profit and Loss Statement '!AL14/-'Profit and Loss Statement '!AL17</f>
        <v>6.832948004751386</v>
      </c>
      <c r="AM31" s="102">
        <f>'Profit and Loss Statement '!AM14/-'Profit and Loss Statement '!AM17</f>
        <v>7.6514294165339489</v>
      </c>
      <c r="AN31" s="102">
        <f>'Profit and Loss Statement '!AN14/-'Profit and Loss Statement '!AN17</f>
        <v>8.6208527446034484</v>
      </c>
      <c r="AO31" s="102">
        <f>'Profit and Loss Statement '!AO14/-'Profit and Loss Statement '!AO17</f>
        <v>9.7631740956246471</v>
      </c>
      <c r="AS31" s="105" t="s">
        <v>320</v>
      </c>
    </row>
    <row r="32" spans="1:45" x14ac:dyDescent="0.3">
      <c r="A32" t="s">
        <v>261</v>
      </c>
      <c r="H32" t="s">
        <v>267</v>
      </c>
    </row>
    <row r="34" spans="1:45" x14ac:dyDescent="0.3">
      <c r="A34" s="3" t="s">
        <v>228</v>
      </c>
    </row>
    <row r="35" spans="1:45" x14ac:dyDescent="0.3">
      <c r="A35" s="3"/>
    </row>
    <row r="36" spans="1:45" x14ac:dyDescent="0.3">
      <c r="A36" t="s">
        <v>268</v>
      </c>
      <c r="H36" t="s">
        <v>274</v>
      </c>
      <c r="I36" s="103">
        <f>'Profit and Loss Statement '!I14/'Profit and Loss Statement '!I5</f>
        <v>0.15350389321468297</v>
      </c>
      <c r="J36" s="103">
        <f>'Profit and Loss Statement '!J14/'Profit and Loss Statement '!J5</f>
        <v>0.14526716555074176</v>
      </c>
      <c r="K36" s="103">
        <f>'Profit and Loss Statement '!K14/'Profit and Loss Statement '!K5</f>
        <v>0.11091985678876343</v>
      </c>
      <c r="L36" s="103">
        <f>'Profit and Loss Statement '!L14/'Profit and Loss Statement '!L5</f>
        <v>0.10215936355600455</v>
      </c>
      <c r="M36" s="103">
        <f>'Profit and Loss Statement '!M14/'Profit and Loss Statement '!M5</f>
        <v>0.104020507285483</v>
      </c>
      <c r="N36" s="103">
        <f>'Profit and Loss Statement '!N14/'Profit and Loss Statement '!N5</f>
        <v>8.8450156698006238E-2</v>
      </c>
      <c r="O36" s="103">
        <f>'Profit and Loss Statement '!O14/'Profit and Loss Statement '!O5</f>
        <v>0.10481061749293488</v>
      </c>
      <c r="P36" s="103">
        <f>'Profit and Loss Statement '!P14/'Profit and Loss Statement '!P5</f>
        <v>0.1264619528623461</v>
      </c>
      <c r="Q36" s="103">
        <f>'Profit and Loss Statement '!Q14/'Profit and Loss Statement '!Q5</f>
        <v>0.10666820525629117</v>
      </c>
      <c r="R36" s="103">
        <f>'Profit and Loss Statement '!R14/'Profit and Loss Statement '!R5</f>
        <v>0.13074551390963862</v>
      </c>
      <c r="S36" s="103">
        <f>'Profit and Loss Statement '!S14/'Profit and Loss Statement '!S5</f>
        <v>0.10994769653636366</v>
      </c>
      <c r="T36" s="103">
        <f>'Profit and Loss Statement '!T14/'Profit and Loss Statement '!T5</f>
        <v>0.13463767574237134</v>
      </c>
      <c r="U36" s="103">
        <f>'Profit and Loss Statement '!U14/'Profit and Loss Statement '!U5</f>
        <v>0.11423537077446841</v>
      </c>
      <c r="V36" s="103">
        <f>'Profit and Loss Statement '!V14/'Profit and Loss Statement '!V5</f>
        <v>0.13821089570776104</v>
      </c>
      <c r="W36" s="103">
        <f>'Profit and Loss Statement '!W14/'Profit and Loss Statement '!W5</f>
        <v>0.119188061774683</v>
      </c>
      <c r="X36" s="103">
        <f>'Profit and Loss Statement '!X14/'Profit and Loss Statement '!X5</f>
        <v>0.1415164402723165</v>
      </c>
      <c r="Y36" s="103">
        <f>'Profit and Loss Statement '!Y14/'Profit and Loss Statement '!Y5</f>
        <v>0.12452902177275521</v>
      </c>
      <c r="Z36" s="103">
        <f>'Profit and Loss Statement '!Z14/'Profit and Loss Statement '!Z5</f>
        <v>0.14459030746250176</v>
      </c>
      <c r="AF36" s="103">
        <f>'Profit and Loss Statement '!AF14/'Profit and Loss Statement '!AF5</f>
        <v>0.20432067818239824</v>
      </c>
      <c r="AG36" s="103">
        <f>'Profit and Loss Statement '!AG14/'Profit and Loss Statement '!AG5</f>
        <v>0.14913471917545876</v>
      </c>
      <c r="AH36" s="103">
        <f>'Profit and Loss Statement '!AH14/'Profit and Loss Statement '!AH5</f>
        <v>0.10635004281667874</v>
      </c>
      <c r="AI36" s="103">
        <f>'Profit and Loss Statement '!AI14/'Profit and Loss Statement '!AI5</f>
        <v>0.11793702424465981</v>
      </c>
      <c r="AJ36" s="103">
        <f>'Profit and Loss Statement '!AJ14/'Profit and Loss Statement '!AJ5</f>
        <v>0.11700105476831472</v>
      </c>
      <c r="AK36" s="103">
        <f>'Profit and Loss Statement '!AK14/'Profit and Loss Statement '!AK5</f>
        <v>0.12055489574802965</v>
      </c>
      <c r="AL36" s="103">
        <f>'Profit and Loss Statement '!AL14/'Profit and Loss Statement '!AL5</f>
        <v>0.12443391023769457</v>
      </c>
      <c r="AM36" s="103">
        <f>'Profit and Loss Statement '!AM14/'Profit and Loss Statement '!AM5</f>
        <v>0.12847143806832825</v>
      </c>
      <c r="AN36" s="103">
        <f>'Profit and Loss Statement '!AN14/'Profit and Loss Statement '!AN5</f>
        <v>0.13255243291330057</v>
      </c>
      <c r="AO36" s="103">
        <f>'Profit and Loss Statement '!AO14/'Profit and Loss Statement '!AO5</f>
        <v>0.13659578937892522</v>
      </c>
      <c r="AS36" s="105" t="s">
        <v>309</v>
      </c>
    </row>
    <row r="37" spans="1:45" x14ac:dyDescent="0.3">
      <c r="A37" t="s">
        <v>269</v>
      </c>
      <c r="H37" t="s">
        <v>275</v>
      </c>
      <c r="I37" s="103">
        <f>'Profit and Loss Statement '!I15/'Profit and Loss Statement '!I5</f>
        <v>0.22261772339636635</v>
      </c>
      <c r="J37" s="103">
        <f>'Profit and Loss Statement '!J15/'Profit and Loss Statement '!J5</f>
        <v>0.20789024550347907</v>
      </c>
      <c r="K37" s="103">
        <f>'Profit and Loss Statement '!K15/'Profit and Loss Statement '!K5</f>
        <v>0.19657119250895069</v>
      </c>
      <c r="L37" s="103">
        <f>'Profit and Loss Statement '!L15/'Profit and Loss Statement '!L5</f>
        <v>0.21909331986361916</v>
      </c>
      <c r="M37" s="103">
        <f>'Profit and Loss Statement '!M15/'Profit and Loss Statement '!M5</f>
        <v>0.19623583378305451</v>
      </c>
      <c r="N37" s="103">
        <f>'Profit and Loss Statement '!N15/'Profit and Loss Statement '!N5</f>
        <v>0.17099999999999999</v>
      </c>
      <c r="O37" s="103">
        <f>'Profit and Loss Statement '!O15/'Profit and Loss Statement '!O5</f>
        <v>0.21448192120885051</v>
      </c>
      <c r="P37" s="103">
        <f>'Profit and Loss Statement '!P15/'Profit and Loss Statement '!P5</f>
        <v>0.19815901944587175</v>
      </c>
      <c r="Q37" s="103">
        <f>'Profit and Loss Statement '!Q15/'Profit and Loss Statement '!Q5</f>
        <v>0.2144819212088506</v>
      </c>
      <c r="R37" s="103">
        <f>'Profit and Loss Statement '!R15/'Profit and Loss Statement '!R5</f>
        <v>0.19854732186549456</v>
      </c>
      <c r="S37" s="103">
        <f>'Profit and Loss Statement '!S15/'Profit and Loss Statement '!S5</f>
        <v>0.2144819212088506</v>
      </c>
      <c r="T37" s="103">
        <f>'Profit and Loss Statement '!T15/'Profit and Loss Statement '!T5</f>
        <v>0.19881809699961214</v>
      </c>
      <c r="U37" s="103">
        <f>'Profit and Loss Statement '!U15/'Profit and Loss Statement '!U5</f>
        <v>0.2144819212088504</v>
      </c>
      <c r="V37" s="103">
        <f>'Profit and Loss Statement '!V15/'Profit and Loss Statement '!V5</f>
        <v>0.19900409177612954</v>
      </c>
      <c r="W37" s="103">
        <f>'Profit and Loss Statement '!W15/'Profit and Loss Statement '!W5</f>
        <v>0.2144819212088504</v>
      </c>
      <c r="X37" s="103">
        <f>'Profit and Loss Statement '!X15/'Profit and Loss Statement '!X5</f>
        <v>0.19912724645232455</v>
      </c>
      <c r="Y37" s="103">
        <f>'Profit and Loss Statement '!Y15/'Profit and Loss Statement '!Y5</f>
        <v>0.21448192120885054</v>
      </c>
      <c r="Z37" s="103">
        <f>'Profit and Loss Statement '!Z15/'Profit and Loss Statement '!Z5</f>
        <v>0.1992027506828874</v>
      </c>
      <c r="AF37" s="103">
        <f>'Profit and Loss Statement '!AF15/'Profit and Loss Statement '!AF5</f>
        <v>0.29360557859714692</v>
      </c>
      <c r="AG37" s="103">
        <f>'Profit and Loss Statement '!AG15/'Profit and Loss Statement '!AG5</f>
        <v>0.21480552944044012</v>
      </c>
      <c r="AH37" s="103">
        <f>'Profit and Loss Statement '!AH15/'Profit and Loss Statement '!AH5</f>
        <v>0.20831961003886437</v>
      </c>
      <c r="AI37" s="103">
        <f>'Profit and Loss Statement '!AI15/'Profit and Loss Statement '!AI5</f>
        <v>0.20529157305254686</v>
      </c>
      <c r="AJ37" s="103">
        <f>'Profit and Loss Statement '!AJ15/'Profit and Loss Statement '!AJ5</f>
        <v>0.20529157305254692</v>
      </c>
      <c r="AK37" s="103">
        <f>'Profit and Loss Statement '!AK15/'Profit and Loss Statement '!AK5</f>
        <v>0.20529157305254686</v>
      </c>
      <c r="AL37" s="103">
        <f>'Profit and Loss Statement '!AL15/'Profit and Loss Statement '!AL5</f>
        <v>0.20529157305254689</v>
      </c>
      <c r="AM37" s="103">
        <f>'Profit and Loss Statement '!AM15/'Profit and Loss Statement '!AM5</f>
        <v>0.20529157305254686</v>
      </c>
      <c r="AN37" s="103">
        <f>'Profit and Loss Statement '!AN15/'Profit and Loss Statement '!AN5</f>
        <v>0.20529157305254678</v>
      </c>
      <c r="AO37" s="103">
        <f>'Profit and Loss Statement '!AO15/'Profit and Loss Statement '!AO5</f>
        <v>0.20529157305254689</v>
      </c>
      <c r="AS37" s="105" t="s">
        <v>309</v>
      </c>
    </row>
    <row r="38" spans="1:45" x14ac:dyDescent="0.3">
      <c r="A38" t="s">
        <v>273</v>
      </c>
      <c r="H38" t="s">
        <v>276</v>
      </c>
      <c r="I38" s="103">
        <f>'Profit and Loss Statement '!I21/'Profit and Loss Statement '!I5</f>
        <v>0.14846125324434556</v>
      </c>
      <c r="J38" s="103">
        <f>'Profit and Loss Statement '!J21/'Profit and Loss Statement '!J5</f>
        <v>0.14231324668504661</v>
      </c>
      <c r="K38" s="103">
        <f>'Profit and Loss Statement '!K21/'Profit and Loss Statement '!K5</f>
        <v>8.7854585513632608E-2</v>
      </c>
      <c r="L38" s="103">
        <f>'Profit and Loss Statement '!L21/'Profit and Loss Statement '!L5</f>
        <v>7.8671549438060359E-2</v>
      </c>
      <c r="M38" s="103">
        <f>'Profit and Loss Statement '!M21/'Profit and Loss Statement '!M5</f>
        <v>2.2868321640582837E-2</v>
      </c>
      <c r="N38" s="103">
        <f>'Profit and Loss Statement '!N21/'Profit and Loss Statement '!N5</f>
        <v>6.5378875775155013E-2</v>
      </c>
      <c r="O38" s="103">
        <f>'Profit and Loss Statement '!O21/'Profit and Loss Statement '!O5</f>
        <v>8.119215636087819E-2</v>
      </c>
      <c r="P38" s="103">
        <f>'Profit and Loss Statement '!P21/'Profit and Loss Statement '!P5</f>
        <v>0.10762897623612894</v>
      </c>
      <c r="Q38" s="103">
        <f>'Profit and Loss Statement '!Q21/'Profit and Loss Statement '!Q5</f>
        <v>8.3814268565600106E-2</v>
      </c>
      <c r="R38" s="103">
        <f>'Profit and Loss Statement '!R21/'Profit and Loss Statement '!R5</f>
        <v>0.11352653813077933</v>
      </c>
      <c r="S38" s="103">
        <f>'Profit and Loss Statement '!S21/'Profit and Loss Statement '!S5</f>
        <v>8.8198171669482489E-2</v>
      </c>
      <c r="T38" s="103">
        <f>'Profit and Loss Statement '!T21/'Profit and Loss Statement '!T5</f>
        <v>0.11891935961326344</v>
      </c>
      <c r="U38" s="103">
        <f>'Profit and Loss Statement '!U21/'Profit and Loss Statement '!U5</f>
        <v>9.3827505006844322E-2</v>
      </c>
      <c r="V38" s="103">
        <f>'Profit and Loss Statement '!V21/'Profit and Loss Statement '!V5</f>
        <v>0.12389515419085351</v>
      </c>
      <c r="W38" s="103">
        <f>'Profit and Loss Statement '!W21/'Profit and Loss Statement '!W5</f>
        <v>0.10027215862537099</v>
      </c>
      <c r="X38" s="103">
        <f>'Profit and Loss Statement '!X21/'Profit and Loss Statement '!X5</f>
        <v>0.12851514064151792</v>
      </c>
      <c r="Y38" s="103">
        <f>'Profit and Loss Statement '!Y21/'Profit and Loss Statement '!Y5</f>
        <v>0.10718398095875795</v>
      </c>
      <c r="Z38" s="103">
        <f>'Profit and Loss Statement '!Z21/'Profit and Loss Statement '!Z5</f>
        <v>0.13282157131191533</v>
      </c>
      <c r="AF38" s="103">
        <f>'Profit and Loss Statement '!AF21/'Profit and Loss Statement '!AF5</f>
        <v>0.19752973884508454</v>
      </c>
      <c r="AG38" s="103">
        <f>'Profit and Loss Statement '!AG21/'Profit and Loss Statement '!AG5</f>
        <v>0.14520004178418469</v>
      </c>
      <c r="AH38" s="103">
        <f>'Profit and Loss Statement '!AH21/'Profit and Loss Statement '!AH5</f>
        <v>8.3064356761741648E-2</v>
      </c>
      <c r="AI38" s="103">
        <f>'Profit and Loss Statement '!AI21/'Profit and Loss Statement '!AI5</f>
        <v>6.7301566010529487E-2</v>
      </c>
      <c r="AJ38" s="103">
        <f>'Profit and Loss Statement '!AJ21/'Profit and Loss Statement '!AJ5</f>
        <v>9.6076983968558585E-2</v>
      </c>
      <c r="AK38" s="103">
        <f>'Profit and Loss Statement '!AK21/'Profit and Loss Statement '!AK5</f>
        <v>0.10095094680481773</v>
      </c>
      <c r="AL38" s="103">
        <f>'Profit and Loss Statement '!AL21/'Profit and Loss Statement '!AL5</f>
        <v>0.10622304281251181</v>
      </c>
      <c r="AM38" s="103">
        <f>'Profit and Loss Statement '!AM21/'Profit and Loss Statement '!AM5</f>
        <v>0.11168092337172598</v>
      </c>
      <c r="AN38" s="103">
        <f>'Profit and Loss Statement '!AN21/'Profit and Loss Statement '!AN5</f>
        <v>0.11717664158032869</v>
      </c>
      <c r="AO38" s="103">
        <f>'Profit and Loss Statement '!AO21/'Profit and Loss Statement '!AO5</f>
        <v>0.12260486920879934</v>
      </c>
      <c r="AS38" s="105" t="s">
        <v>309</v>
      </c>
    </row>
    <row r="39" spans="1:45" x14ac:dyDescent="0.3">
      <c r="A39" t="s">
        <v>272</v>
      </c>
      <c r="H39" t="s">
        <v>277</v>
      </c>
      <c r="I39" s="103">
        <f>'Profit and Loss Statement '!I24/'Profit and Loss Statement '!I5</f>
        <v>0.10789766407119021</v>
      </c>
      <c r="J39" s="103">
        <f>'Profit and Loss Statement '!J24/'Profit and Loss Statement '!J5</f>
        <v>0.10397794407246948</v>
      </c>
      <c r="K39" s="103">
        <f>'Profit and Loss Statement '!K24/'Profit and Loss Statement '!K5</f>
        <v>8.172679702561278E-2</v>
      </c>
      <c r="L39" s="103">
        <f>'Profit and Loss Statement '!L24/'Profit and Loss Statement '!L5</f>
        <v>7.6651092309635058E-2</v>
      </c>
      <c r="M39" s="103">
        <f>'Profit and Loss Statement '!M24/'Profit and Loss Statement '!M5</f>
        <v>-3.2379924446842958E-3</v>
      </c>
      <c r="N39" s="103">
        <f>'Profit and Loss Statement '!N24/'Profit and Loss Statement '!N5</f>
        <v>5.62258331666333E-2</v>
      </c>
      <c r="O39" s="103">
        <f>'Profit and Loss Statement '!O24/'Profit and Loss Statement '!O5</f>
        <v>6.9825254470355244E-2</v>
      </c>
      <c r="P39" s="103">
        <f>'Profit and Loss Statement '!P24/'Profit and Loss Statement '!P5</f>
        <v>4.452111714563442E-2</v>
      </c>
      <c r="Q39" s="103">
        <f>'Profit and Loss Statement '!Q24/'Profit and Loss Statement '!Q5</f>
        <v>7.2080270966416088E-2</v>
      </c>
      <c r="R39" s="103">
        <f>'Profit and Loss Statement '!R24/'Profit and Loss Statement '!R5</f>
        <v>4.8356756714259146E-2</v>
      </c>
      <c r="S39" s="103">
        <f>'Profit and Loss Statement '!S24/'Profit and Loss Statement '!S5</f>
        <v>7.5850427635754933E-2</v>
      </c>
      <c r="T39" s="103">
        <f>'Profit and Loss Statement '!T24/'Profit and Loss Statement '!T5</f>
        <v>5.130224665581036E-2</v>
      </c>
      <c r="U39" s="103">
        <f>'Profit and Loss Statement '!U24/'Profit and Loss Statement '!U5</f>
        <v>8.0691654305886124E-2</v>
      </c>
      <c r="V39" s="103">
        <f>'Profit and Loss Statement '!V24/'Profit and Loss Statement '!V5</f>
        <v>5.3598909370468566E-2</v>
      </c>
      <c r="W39" s="103">
        <f>'Profit and Loss Statement '!W24/'Profit and Loss Statement '!W5</f>
        <v>8.6234056417819047E-2</v>
      </c>
      <c r="X39" s="103">
        <f>'Profit and Loss Statement '!X24/'Profit and Loss Statement '!X5</f>
        <v>5.5408485345510385E-2</v>
      </c>
      <c r="Y39" s="103">
        <f>'Profit and Loss Statement '!Y24/'Profit and Loss Statement '!Y5</f>
        <v>9.2178223624531833E-2</v>
      </c>
      <c r="Z39" s="103">
        <f>'Profit and Loss Statement '!Z24/'Profit and Loss Statement '!Z5</f>
        <v>5.684239768383488E-2</v>
      </c>
      <c r="AF39" s="103">
        <f>'Profit and Loss Statement '!AF24/'Profit and Loss Statement '!AF5</f>
        <v>0.16111389635841575</v>
      </c>
      <c r="AG39" s="103">
        <f>'Profit and Loss Statement '!AG24/'Profit and Loss Statement '!AG5</f>
        <v>0.10581844771753891</v>
      </c>
      <c r="AH39" s="103">
        <f>'Profit and Loss Statement '!AH24/'Profit and Loss Statement '!AH5</f>
        <v>7.9079112047954675E-2</v>
      </c>
      <c r="AI39" s="103">
        <f>'Profit and Loss Statement '!AI24/'Profit and Loss Statement '!AI5</f>
        <v>3.8932296032996881E-2</v>
      </c>
      <c r="AJ39" s="103">
        <f>'Profit and Loss Statement '!AJ24/'Profit and Loss Statement '!AJ5</f>
        <v>5.5578165614098916E-2</v>
      </c>
      <c r="AK39" s="103">
        <f>'Profit and Loss Statement '!AK24/'Profit and Loss Statement '!AK5</f>
        <v>5.8397632905029084E-2</v>
      </c>
      <c r="AL39" s="103">
        <f>'Profit and Loss Statement '!AL24/'Profit and Loss Statement '!AL5</f>
        <v>6.144741041620639E-2</v>
      </c>
      <c r="AM39" s="103">
        <f>'Profit and Loss Statement '!AM24/'Profit and Loss Statement '!AM5</f>
        <v>6.4604659708307866E-2</v>
      </c>
      <c r="AN39" s="103">
        <f>'Profit and Loss Statement '!AN24/'Profit and Loss Statement '!AN5</f>
        <v>6.7783797147365016E-2</v>
      </c>
      <c r="AO39" s="103">
        <f>'Profit and Loss Statement '!AO24/'Profit and Loss Statement '!AO5</f>
        <v>7.0923892950381692E-2</v>
      </c>
      <c r="AS39" s="105" t="s">
        <v>309</v>
      </c>
    </row>
    <row r="40" spans="1:45" x14ac:dyDescent="0.3">
      <c r="A40" t="s">
        <v>270</v>
      </c>
      <c r="H40" t="s">
        <v>278</v>
      </c>
      <c r="I40" s="103">
        <f>'Profit and Loss Statement '!I24/(AVERAGE('Balance Sheet'!H22:I22))</f>
        <v>2.8755224854000533E-2</v>
      </c>
      <c r="J40" s="103">
        <f>'Profit and Loss Statement '!J24/(AVERAGE('Balance Sheet'!I22:J22))</f>
        <v>3.024199322228056E-2</v>
      </c>
      <c r="K40" s="103">
        <f>'Profit and Loss Statement '!K24/(AVERAGE('Balance Sheet'!J22:K22))</f>
        <v>2.1716261583073392E-2</v>
      </c>
      <c r="L40" s="103">
        <f>'Profit and Loss Statement '!L24/(AVERAGE('Balance Sheet'!K22:L22))</f>
        <v>2.1665804079738726E-2</v>
      </c>
      <c r="M40" s="103">
        <f>'Profit and Loss Statement '!M24/(AVERAGE('Balance Sheet'!L22:M22))</f>
        <v>-8.7497835340011115E-4</v>
      </c>
      <c r="N40" s="103">
        <f>'Profit and Loss Statement '!N24/(AVERAGE('Balance Sheet'!M22:N22))</f>
        <v>1.5566589807729576E-2</v>
      </c>
      <c r="O40" s="103">
        <f>'Profit and Loss Statement '!O24/(AVERAGE('Balance Sheet'!N22:O22))</f>
        <v>1.9696483556228824E-2</v>
      </c>
      <c r="P40" s="103">
        <f>'Profit and Loss Statement '!P24/(AVERAGE('Balance Sheet'!O22:P22))</f>
        <v>1.554970431002365E-2</v>
      </c>
      <c r="Q40" s="103">
        <f>'Profit and Loss Statement '!Q24/(AVERAGE('Balance Sheet'!P22:Q22))</f>
        <v>2.03746079251667E-2</v>
      </c>
      <c r="R40" s="103">
        <f>'Profit and Loss Statement '!R24/(AVERAGE('Balance Sheet'!Q22:R22))</f>
        <v>1.8032756778535934E-2</v>
      </c>
      <c r="S40" s="103">
        <f>'Profit and Loss Statement '!S24/(AVERAGE('Balance Sheet'!R22:S22))</f>
        <v>2.1774965937203985E-2</v>
      </c>
      <c r="T40" s="103">
        <f>'Profit and Loss Statement '!T24/(AVERAGE('Balance Sheet'!S22:T22))</f>
        <v>2.018926835018478E-2</v>
      </c>
      <c r="U40" s="103">
        <f>'Profit and Loss Statement '!U24/(AVERAGE('Balance Sheet'!T22:U22))</f>
        <v>2.3703453707035107E-2</v>
      </c>
      <c r="V40" s="103">
        <f>'Profit and Loss Statement '!V24/(AVERAGE('Balance Sheet'!U22:V22))</f>
        <v>2.2167243294676394E-2</v>
      </c>
      <c r="W40" s="103">
        <f>'Profit and Loss Statement '!W24/(AVERAGE('Balance Sheet'!V22:W22))</f>
        <v>2.6073085718597264E-2</v>
      </c>
      <c r="X40" s="103">
        <f>'Profit and Loss Statement '!X24/(AVERAGE('Balance Sheet'!W22:X22))</f>
        <v>2.3974221527373343E-2</v>
      </c>
      <c r="Y40" s="103">
        <f>'Profit and Loss Statement '!Y24/(AVERAGE('Balance Sheet'!X22:Y22))</f>
        <v>2.878525635650404E-2</v>
      </c>
      <c r="Z40" s="103">
        <f>'Profit and Loss Statement '!Z24/(AVERAGE('Balance Sheet'!Y22:Z22))</f>
        <v>2.5647106331084829E-2</v>
      </c>
      <c r="AF40" s="103">
        <f>'Profit and Loss Statement '!AF24/(AVERAGE('Balance Sheet'!AE22:AF22))</f>
        <v>7.7282962768632085E-2</v>
      </c>
      <c r="AG40" s="103">
        <f>'Profit and Loss Statement '!AG24/(AVERAGE('Balance Sheet'!AF22:AG22))</f>
        <v>6.0026072529035315E-2</v>
      </c>
      <c r="AH40" s="104">
        <f>'Profit and Loss Statement '!AH24/(AVERAGE('Balance Sheet'!AG22:AH22))</f>
        <v>4.4645264459505944E-2</v>
      </c>
      <c r="AI40" s="103">
        <f>'Profit and Loss Statement '!AI24/(AVERAGE('Balance Sheet'!AH22:AI22))</f>
        <v>2.1317224537759579E-2</v>
      </c>
      <c r="AJ40" s="103">
        <f>'Profit and Loss Statement '!AJ24/(AVERAGE('Balance Sheet'!AI22:AJ22))</f>
        <v>3.5053833867653227E-2</v>
      </c>
      <c r="AK40" s="103">
        <f>'Profit and Loss Statement '!AK24/(AVERAGE('Balance Sheet'!AJ22:AK22))</f>
        <v>3.760129700055017E-2</v>
      </c>
      <c r="AL40" s="103">
        <f>'Profit and Loss Statement '!AL24/(AVERAGE('Balance Sheet'!AK22:AL22))</f>
        <v>4.0921464322281373E-2</v>
      </c>
      <c r="AM40" s="103">
        <f>'Profit and Loss Statement '!AM24/(AVERAGE('Balance Sheet'!AL22:AM22))</f>
        <v>4.4592555025244382E-2</v>
      </c>
      <c r="AN40" s="103">
        <f>'Profit and Loss Statement '!AN24/(AVERAGE('Balance Sheet'!AM22:AN22))</f>
        <v>4.8519861363932021E-2</v>
      </c>
      <c r="AO40" s="103">
        <f>'Profit and Loss Statement '!AO24/(AVERAGE('Balance Sheet'!AN22:AO22))</f>
        <v>5.2644991667960682E-2</v>
      </c>
      <c r="AS40" s="3" t="s">
        <v>322</v>
      </c>
    </row>
    <row r="41" spans="1:45" x14ac:dyDescent="0.3">
      <c r="A41" t="s">
        <v>271</v>
      </c>
      <c r="H41" t="s">
        <v>279</v>
      </c>
      <c r="I41" s="103">
        <f>'Profit and Loss Statement '!I14/(AVERAGE('Balance Sheet'!H22:I22))</f>
        <v>4.0909495153114164E-2</v>
      </c>
      <c r="J41" s="103">
        <f>'Profit and Loss Statement '!J14/(AVERAGE('Balance Sheet'!I22:J22))</f>
        <v>4.2250966540976563E-2</v>
      </c>
      <c r="K41" s="103">
        <f>'Profit and Loss Statement '!K14/(AVERAGE('Balance Sheet'!J22:K22))</f>
        <v>2.947337608284013E-2</v>
      </c>
      <c r="L41" s="103">
        <f>'Profit and Loss Statement '!L14/(AVERAGE('Balance Sheet'!K22:L22))</f>
        <v>2.8875841022254743E-2</v>
      </c>
      <c r="M41" s="103">
        <f>'Profit and Loss Statement '!M14/(AVERAGE('Balance Sheet'!L22:M22))</f>
        <v>2.8108679602978571E-2</v>
      </c>
      <c r="N41" s="103">
        <f>'Profit and Loss Statement '!N14/(AVERAGE('Balance Sheet'!M22:N22))</f>
        <v>2.4488161939134362E-2</v>
      </c>
      <c r="O41" s="103">
        <f>'Profit and Loss Statement '!O14/(AVERAGE('Balance Sheet'!N22:O22))</f>
        <v>2.9565242828355685E-2</v>
      </c>
      <c r="P41" s="103">
        <f>'Profit and Loss Statement '!P14/(AVERAGE('Balance Sheet'!O22:P22))</f>
        <v>4.4168837162039933E-2</v>
      </c>
      <c r="Q41" s="103">
        <f>'Profit and Loss Statement '!Q14/(AVERAGE('Balance Sheet'!P22:Q22))</f>
        <v>3.0151424669182234E-2</v>
      </c>
      <c r="R41" s="103">
        <f>'Profit and Loss Statement '!R14/(AVERAGE('Balance Sheet'!Q22:R22))</f>
        <v>4.8756414044657706E-2</v>
      </c>
      <c r="S41" s="103">
        <f>'Profit and Loss Statement '!S14/(AVERAGE('Balance Sheet'!R22:S22))</f>
        <v>3.1563531302027985E-2</v>
      </c>
      <c r="T41" s="103">
        <f>'Profit and Loss Statement '!T14/(AVERAGE('Balance Sheet'!S22:T22))</f>
        <v>5.2984739320379025E-2</v>
      </c>
      <c r="U41" s="103">
        <f>'Profit and Loss Statement '!U14/(AVERAGE('Balance Sheet'!T22:U22))</f>
        <v>3.3557036922232025E-2</v>
      </c>
      <c r="V41" s="103">
        <f>'Profit and Loss Statement '!V14/(AVERAGE('Balance Sheet'!U22:V22))</f>
        <v>5.716076291688732E-2</v>
      </c>
      <c r="W41" s="103">
        <f>'Profit and Loss Statement '!W14/(AVERAGE('Balance Sheet'!V22:W22))</f>
        <v>3.6036812836774242E-2</v>
      </c>
      <c r="X41" s="103">
        <f>'Profit and Loss Statement '!X14/(AVERAGE('Balance Sheet'!W22:X22))</f>
        <v>6.1231532818442576E-2</v>
      </c>
      <c r="Y41" s="103">
        <f>'Profit and Loss Statement '!Y14/(AVERAGE('Balance Sheet'!X22:Y22))</f>
        <v>3.888770768847237E-2</v>
      </c>
      <c r="Z41" s="103">
        <f>'Profit and Loss Statement '!Z14/(AVERAGE('Balance Sheet'!Y22:Z22))</f>
        <v>6.5238679947338368E-2</v>
      </c>
      <c r="AF41" s="103">
        <f>'Profit and Loss Statement '!AF14/(AVERAGE('Balance Sheet'!AE22:AF22))</f>
        <v>9.8008351369668345E-2</v>
      </c>
      <c r="AG41" s="103">
        <f>'Profit and Loss Statement '!AG14/(AVERAGE('Balance Sheet'!AF22:AG22))</f>
        <v>8.4597455953227457E-2</v>
      </c>
      <c r="AH41" s="103">
        <f>'Profit and Loss Statement '!AH14/(AVERAGE('Balance Sheet'!AG22:AH22))</f>
        <v>6.004146561422103E-2</v>
      </c>
      <c r="AI41" s="103">
        <f>'Profit and Loss Statement '!AI14/(AVERAGE('Balance Sheet'!AH22:AI22))</f>
        <v>6.4575950645392288E-2</v>
      </c>
      <c r="AJ41" s="103">
        <f>'Profit and Loss Statement '!AJ14/(AVERAGE('Balance Sheet'!AI22:AJ22))</f>
        <v>7.3794006888710365E-2</v>
      </c>
      <c r="AK41" s="103">
        <f>'Profit and Loss Statement '!AK14/(AVERAGE('Balance Sheet'!AJ22:AK22))</f>
        <v>7.7623359276633469E-2</v>
      </c>
      <c r="AL41" s="103">
        <f>'Profit and Loss Statement '!AL14/(AVERAGE('Balance Sheet'!AK22:AL22))</f>
        <v>8.2867899294431321E-2</v>
      </c>
      <c r="AM41" s="103">
        <f>'Profit and Loss Statement '!AM14/(AVERAGE('Balance Sheet'!AL22:AM22))</f>
        <v>8.867579671652534E-2</v>
      </c>
      <c r="AN41" s="103">
        <f>'Profit and Loss Statement '!AN14/(AVERAGE('Balance Sheet'!AM22:AN22))</f>
        <v>9.4881460453197022E-2</v>
      </c>
      <c r="AO41" s="103">
        <f>'Profit and Loss Statement '!AO14/(AVERAGE('Balance Sheet'!AN22:AO22))</f>
        <v>0.10139156065168205</v>
      </c>
      <c r="AS41" s="3" t="s">
        <v>323</v>
      </c>
    </row>
    <row r="42" spans="1:45" x14ac:dyDescent="0.3">
      <c r="A42" t="s">
        <v>280</v>
      </c>
      <c r="H42" t="s">
        <v>281</v>
      </c>
      <c r="I42" s="103">
        <f>'Profit and Loss Statement '!I24/AVERAGE('Balance Sheet'!H29:I29)</f>
        <v>7.0535194880744626E-2</v>
      </c>
      <c r="J42" s="103">
        <f>'Profit and Loss Statement '!J24/AVERAGE('Balance Sheet'!I29:J29)</f>
        <v>7.2867789125034499E-2</v>
      </c>
      <c r="K42" s="103">
        <f>'Profit and Loss Statement '!K24/AVERAGE('Balance Sheet'!J29:K29)</f>
        <v>5.3975399586203759E-2</v>
      </c>
      <c r="L42" s="103">
        <f>'Profit and Loss Statement '!L24/AVERAGE('Balance Sheet'!K29:L29)</f>
        <v>5.4133594934451086E-2</v>
      </c>
      <c r="M42" s="103">
        <f>'Profit and Loss Statement '!M24/AVERAGE('Balance Sheet'!L29:M29)</f>
        <v>-2.1394664705489067E-3</v>
      </c>
      <c r="N42" s="103">
        <f>'Profit and Loss Statement '!N24/AVERAGE('Balance Sheet'!M29:N29)</f>
        <v>3.7911106015646054E-2</v>
      </c>
      <c r="O42" s="103">
        <f>'Profit and Loss Statement '!O24/AVERAGE('Balance Sheet'!N29:O29)</f>
        <v>4.6973171418551403E-2</v>
      </c>
      <c r="P42" s="103">
        <f>'Profit and Loss Statement '!P24/AVERAGE('Balance Sheet'!O29:P29)</f>
        <v>3.700809135040737E-2</v>
      </c>
      <c r="Q42" s="103">
        <f>'Profit and Loss Statement '!Q24/AVERAGE('Balance Sheet'!P29:Q29)</f>
        <v>4.733048812793729E-2</v>
      </c>
      <c r="R42" s="103">
        <f>'Profit and Loss Statement '!R24/AVERAGE('Balance Sheet'!Q29:R29)</f>
        <v>4.1394158331937395E-2</v>
      </c>
      <c r="S42" s="103">
        <f>'Profit and Loss Statement '!S24/AVERAGE('Balance Sheet'!R29:S29)</f>
        <v>4.9124721801174685E-2</v>
      </c>
      <c r="T42" s="103">
        <f>'Profit and Loss Statement '!T24/AVERAGE('Balance Sheet'!S29:T29)</f>
        <v>4.5003922725360211E-2</v>
      </c>
      <c r="U42" s="103">
        <f>'Profit and Loss Statement '!U24/AVERAGE('Balance Sheet'!T29:U29)</f>
        <v>5.1935023010335563E-2</v>
      </c>
      <c r="V42" s="103">
        <f>'Profit and Loss Statement '!V24/AVERAGE('Balance Sheet'!U29:V29)</f>
        <v>4.7969578083413712E-2</v>
      </c>
      <c r="W42" s="103">
        <f>'Profit and Loss Statement '!W24/AVERAGE('Balance Sheet'!V29:W29)</f>
        <v>5.5458639581003832E-2</v>
      </c>
      <c r="X42" s="103">
        <f>'Profit and Loss Statement '!X24/AVERAGE('Balance Sheet'!W29:X29)</f>
        <v>5.0390864274129123E-2</v>
      </c>
      <c r="Y42" s="103">
        <f>'Profit and Loss Statement '!Y24/AVERAGE('Balance Sheet'!X29:Y29)</f>
        <v>5.9470142035222259E-2</v>
      </c>
      <c r="Z42" s="103">
        <f>'Profit and Loss Statement '!Z24/AVERAGE('Balance Sheet'!Y29:Z29)</f>
        <v>5.2347701489435725E-2</v>
      </c>
      <c r="AF42" s="103">
        <f>'Profit and Loss Statement '!AF24/AVERAGE('Balance Sheet'!AE29:AF29)</f>
        <v>0.20738003050569048</v>
      </c>
      <c r="AG42" s="103">
        <f>'Profit and Loss Statement '!AG24/AVERAGE('Balance Sheet'!AF29:AG29)</f>
        <v>0.14603555982700625</v>
      </c>
      <c r="AH42" s="104">
        <f>'Profit and Loss Statement '!AH24/AVERAGE('Balance Sheet'!AG29:AH29)</f>
        <v>0.10740566776264286</v>
      </c>
      <c r="AI42" s="103">
        <f>'Profit and Loss Statement '!AI24/AVERAGE('Balance Sheet'!AH29:AI29)</f>
        <v>5.1381912327675867E-2</v>
      </c>
      <c r="AJ42" s="103">
        <f>'Profit and Loss Statement '!AJ24/AVERAGE('Balance Sheet'!AI29:AJ29)</f>
        <v>8.3944780631326321E-2</v>
      </c>
      <c r="AK42" s="103">
        <f>'Profit and Loss Statement '!AK24/AVERAGE('Balance Sheet'!AJ29:AK29)</f>
        <v>8.8681210276278288E-2</v>
      </c>
      <c r="AL42" s="103">
        <f>'Profit and Loss Statement '!AL24/AVERAGE('Balance Sheet'!AK29:AL29)</f>
        <v>9.4076648241132335E-2</v>
      </c>
      <c r="AM42" s="103">
        <f>'Profit and Loss Statement '!AM24/AVERAGE('Balance Sheet'!AL29:AM29)</f>
        <v>9.9842416712066701E-2</v>
      </c>
      <c r="AN42" s="103">
        <f>'Profit and Loss Statement '!AN24/AVERAGE('Balance Sheet'!AM29:AN29)</f>
        <v>0.10577560349757308</v>
      </c>
      <c r="AO42" s="103">
        <f>'Profit and Loss Statement '!AO24/AVERAGE('Balance Sheet'!AN29:AO29)</f>
        <v>0.11173088546467286</v>
      </c>
      <c r="AS42" s="105" t="s">
        <v>321</v>
      </c>
    </row>
    <row r="44" spans="1:45" x14ac:dyDescent="0.3">
      <c r="A44" s="3" t="s">
        <v>282</v>
      </c>
    </row>
    <row r="46" spans="1:45" x14ac:dyDescent="0.3">
      <c r="A46" t="s">
        <v>288</v>
      </c>
      <c r="H46" t="s">
        <v>289</v>
      </c>
      <c r="Z46" s="19">
        <f>'Profit and Loss Statement '!Z34</f>
        <v>-1.3859123630338275</v>
      </c>
      <c r="AE46" s="19">
        <f>'Profit and Loss Statement '!AE34</f>
        <v>-0.35439702596408856</v>
      </c>
      <c r="AF46" s="19">
        <f>'Profit and Loss Statement '!AF34</f>
        <v>5.7711399752412191</v>
      </c>
      <c r="AG46" s="19">
        <f>'Profit and Loss Statement '!AG34</f>
        <v>4.6560388615710693</v>
      </c>
      <c r="AH46" s="19">
        <f>'Profit and Loss Statement '!AH34</f>
        <v>4.0852540026180382</v>
      </c>
      <c r="AI46" s="19">
        <f>'Profit and Loss Statement '!AI34</f>
        <v>1.7444379496732505</v>
      </c>
      <c r="AJ46" s="19">
        <f>'Profit and Loss Statement '!AJ34</f>
        <v>2.9493463258020172</v>
      </c>
      <c r="AK46" s="19">
        <f>'Profit and Loss Statement '!AK34</f>
        <v>3.3971659554542755</v>
      </c>
      <c r="AL46" s="19">
        <f>'Profit and Loss Statement '!AL34</f>
        <v>3.9494235940957676</v>
      </c>
      <c r="AM46" s="19">
        <f>'Profit and Loss Statement '!AM34</f>
        <v>4.619233537182903</v>
      </c>
      <c r="AN46" s="19">
        <f>'Profit and Loss Statement '!AN34</f>
        <v>5.4249485696267268</v>
      </c>
      <c r="AO46" s="19">
        <f>'Profit and Loss Statement '!AO34</f>
        <v>6.3904516622964662</v>
      </c>
      <c r="AS46" s="105" t="s">
        <v>310</v>
      </c>
    </row>
    <row r="47" spans="1:45" x14ac:dyDescent="0.3">
      <c r="A47" t="s">
        <v>283</v>
      </c>
      <c r="H47" t="s">
        <v>290</v>
      </c>
      <c r="Z47" s="102">
        <f>'DCF '!$C$23/'Ratio Analysis'!Z46</f>
        <v>-59.109076580191015</v>
      </c>
      <c r="AE47" s="102">
        <f>'DCF '!$C$23/'Ratio Analysis'!AE46</f>
        <v>-231.15318131450979</v>
      </c>
      <c r="AF47" s="102">
        <f>'DCF '!$C$23/'Ratio Analysis'!AF46</f>
        <v>14.194769205294826</v>
      </c>
      <c r="AG47" s="102">
        <f>'DCF '!$C$23/'Ratio Analysis'!AG46</f>
        <v>17.594354865920955</v>
      </c>
      <c r="AH47" s="102">
        <f>'DCF '!$C$23/'Ratio Analysis'!AH46</f>
        <v>20.052608711111109</v>
      </c>
      <c r="AI47" s="102">
        <f>'DCF '!$C$23/'Ratio Analysis'!AI46</f>
        <v>46.960684394274033</v>
      </c>
      <c r="AJ47" s="102">
        <f>'DCF '!$C$23/'Ratio Analysis'!AJ46</f>
        <v>27.775646177368966</v>
      </c>
      <c r="AK47" s="102">
        <f>'DCF '!$C$23/'Ratio Analysis'!AK46</f>
        <v>24.114217872834388</v>
      </c>
      <c r="AL47" s="102">
        <f>'DCF '!$C$23/'Ratio Analysis'!AL46</f>
        <v>20.742267333002001</v>
      </c>
      <c r="AM47" s="102">
        <f>'DCF '!$C$23/'Ratio Analysis'!AM46</f>
        <v>17.734543910927684</v>
      </c>
      <c r="AN47" s="102">
        <f>'DCF '!$C$23/'Ratio Analysis'!AN46</f>
        <v>15.100603987041421</v>
      </c>
      <c r="AO47" s="102">
        <f>'DCF '!$C$23/'Ratio Analysis'!AO46</f>
        <v>12.819125208837166</v>
      </c>
      <c r="AS47" s="105" t="s">
        <v>311</v>
      </c>
    </row>
    <row r="48" spans="1:45" x14ac:dyDescent="0.3">
      <c r="A48" t="s">
        <v>298</v>
      </c>
      <c r="Z48" s="19">
        <f>'Profit and Loss Statement '!Y24/'Profit and Loss Statement '!Z38</f>
        <v>3.9291102443774109</v>
      </c>
      <c r="AE48" s="19">
        <f>'Profit and Loss Statement '!AD24/'Profit and Loss Statement '!AE38</f>
        <v>0</v>
      </c>
      <c r="AF48" s="19">
        <f>'Profit and Loss Statement '!AE24/'Profit and Loss Statement '!AF38</f>
        <v>-34.382035177407303</v>
      </c>
      <c r="AG48" s="19">
        <f>'Profit and Loss Statement '!AF24/'Profit and Loss Statement '!AG38</f>
        <v>6.1368744875666401</v>
      </c>
      <c r="AH48" s="19">
        <f>'Profit and Loss Statement '!AG24/'Profit and Loss Statement '!AH38</f>
        <v>5.3884925841823863</v>
      </c>
      <c r="AI48" s="19">
        <f>'Profit and Loss Statement '!AH24/'Profit and Loss Statement '!AI38</f>
        <v>4.2826130032366816</v>
      </c>
      <c r="AJ48" s="19">
        <f>'Profit and Loss Statement '!AI24/'Profit and Loss Statement '!AJ38</f>
        <v>2.0708511856550551</v>
      </c>
      <c r="AK48" s="19">
        <f>'Profit and Loss Statement '!AJ24/'Profit and Loss Statement '!AK38</f>
        <v>3.5012178775625173</v>
      </c>
      <c r="AL48" s="19">
        <f>'Profit and Loss Statement '!AK24/'Profit and Loss Statement '!AL38</f>
        <v>4.0328319777938786</v>
      </c>
      <c r="AM48" s="19">
        <f>'Profit and Loss Statement '!AL24/'Profit and Loss Statement '!AM38</f>
        <v>4.6884261684511106</v>
      </c>
      <c r="AN48" s="19">
        <f>'Profit and Loss Statement '!AM24/'Profit and Loss Statement '!AN38</f>
        <v>5.4835686469011762</v>
      </c>
      <c r="AO48" s="19">
        <f>'Profit and Loss Statement '!AN24/'Profit and Loss Statement '!AO38</f>
        <v>6.4400463081151633</v>
      </c>
    </row>
    <row r="49" spans="1:45" x14ac:dyDescent="0.3">
      <c r="A49" t="s">
        <v>296</v>
      </c>
      <c r="Z49" s="102">
        <f>'DCF '!$C$23/'Ratio Analysis'!Z48</f>
        <v>20.84950406195097</v>
      </c>
      <c r="AE49" s="102" t="e">
        <f>'DCF '!$C$23/'Ratio Analysis'!AE48</f>
        <v>#DIV/0!</v>
      </c>
      <c r="AF49" s="102">
        <f>'DCF '!$C$23/'Ratio Analysis'!AF48</f>
        <v>-2.3826396423976162</v>
      </c>
      <c r="AG49" s="102">
        <f>'DCF '!$C$23/'Ratio Analysis'!AG48</f>
        <v>13.348814639434229</v>
      </c>
      <c r="AH49" s="102">
        <f>'DCF '!$C$23/'Ratio Analysis'!AH48</f>
        <v>15.202767512471207</v>
      </c>
      <c r="AI49" s="102">
        <f>'DCF '!$C$23/'Ratio Analysis'!AI48</f>
        <v>19.1285086787172</v>
      </c>
      <c r="AJ49" s="102">
        <f>'DCF '!$C$23/'Ratio Analysis'!AJ48</f>
        <v>39.558612693884584</v>
      </c>
      <c r="AK49" s="102">
        <f>'DCF '!$C$23/'Ratio Analysis'!AK48</f>
        <v>23.397572748894788</v>
      </c>
      <c r="AL49" s="102">
        <f>'DCF '!$C$23/'Ratio Analysis'!AL48</f>
        <v>20.313268802439307</v>
      </c>
      <c r="AM49" s="102">
        <f>'DCF '!$C$23/'Ratio Analysis'!AM48</f>
        <v>17.472814342528817</v>
      </c>
      <c r="AN49" s="102">
        <f>'DCF '!$C$23/'Ratio Analysis'!AN48</f>
        <v>14.93917652445071</v>
      </c>
      <c r="AO49" s="102">
        <f>'DCF '!$C$23/'Ratio Analysis'!AO48</f>
        <v>12.720405425776494</v>
      </c>
    </row>
    <row r="50" spans="1:45" x14ac:dyDescent="0.3">
      <c r="A50" t="s">
        <v>299</v>
      </c>
      <c r="Z50" s="19">
        <f>'Profit and Loss Statement '!AA24/'Profit and Loss Statement '!Z38</f>
        <v>0</v>
      </c>
      <c r="AE50" s="19">
        <f>'Profit and Loss Statement '!AF24/'Profit and Loss Statement '!AE38</f>
        <v>6.1411445430541818</v>
      </c>
      <c r="AF50" s="19">
        <f>'Profit and Loss Statement '!AG24/'Profit and Loss Statement '!AF38</f>
        <v>5.2763220170752305</v>
      </c>
      <c r="AG50" s="19">
        <f>'Profit and Loss Statement '!AH24/'Profit and Loss Statement '!AG38</f>
        <v>4.1682137608620939</v>
      </c>
      <c r="AH50" s="19">
        <f>'Profit and Loss Statement '!AI24/'Profit and Loss Statement '!AH38</f>
        <v>2.0585850247567459</v>
      </c>
      <c r="AI50" s="19">
        <f>'Profit and Loss Statement '!AJ24/'Profit and Loss Statement '!AI38</f>
        <v>3.5012178775625173</v>
      </c>
      <c r="AJ50" s="19">
        <f>'Profit and Loss Statement '!AK24/'Profit and Loss Statement '!AJ38</f>
        <v>4.0328319777938786</v>
      </c>
      <c r="AK50" s="19">
        <f>'Profit and Loss Statement '!AL24/'Profit and Loss Statement '!AK38</f>
        <v>4.6884261684511106</v>
      </c>
      <c r="AL50" s="19">
        <f>'Profit and Loss Statement '!AM24/'Profit and Loss Statement '!AL38</f>
        <v>5.4835686469011762</v>
      </c>
      <c r="AM50" s="19">
        <f>'Profit and Loss Statement '!AN24/'Profit and Loss Statement '!AM38</f>
        <v>6.4400463081151633</v>
      </c>
      <c r="AN50" s="19">
        <f>'Profit and Loss Statement '!AO24/'Profit and Loss Statement '!AN38</f>
        <v>7.586211022419425</v>
      </c>
      <c r="AO50" s="19"/>
    </row>
    <row r="51" spans="1:45" x14ac:dyDescent="0.3">
      <c r="A51" t="s">
        <v>297</v>
      </c>
      <c r="Z51" s="102" t="e">
        <f>'DCF '!$C$23/Z50</f>
        <v>#DIV/0!</v>
      </c>
      <c r="AE51" s="102">
        <f>'DCF '!$C$23/AE50</f>
        <v>13.339532952803394</v>
      </c>
      <c r="AF51" s="102">
        <f>'DCF '!$C$23/AF50</f>
        <v>15.525966712207962</v>
      </c>
      <c r="AG51" s="102">
        <f>'DCF '!$C$23/AG50</f>
        <v>19.653502603248647</v>
      </c>
      <c r="AH51" s="102">
        <f>'DCF '!$C$23/AH50</f>
        <v>39.794324263910418</v>
      </c>
      <c r="AI51" s="102">
        <f>'DCF '!$C$23/AI50</f>
        <v>23.397572748894788</v>
      </c>
      <c r="AJ51" s="102">
        <f>'DCF '!$C$23/AJ50</f>
        <v>20.313268802439307</v>
      </c>
      <c r="AK51" s="102">
        <f>'DCF '!$C$23/AK50</f>
        <v>17.472814342528817</v>
      </c>
      <c r="AL51" s="102">
        <f>'DCF '!$C$23/AL50</f>
        <v>14.93917652445071</v>
      </c>
      <c r="AM51" s="102">
        <f>'DCF '!$C$23/AM50</f>
        <v>12.720405425776494</v>
      </c>
      <c r="AN51" s="102">
        <f>'DCF '!$C$23/AN50</f>
        <v>10.798539581604434</v>
      </c>
      <c r="AO51" s="102"/>
    </row>
    <row r="52" spans="1:45" x14ac:dyDescent="0.3">
      <c r="A52" t="s">
        <v>284</v>
      </c>
      <c r="H52" t="s">
        <v>291</v>
      </c>
    </row>
    <row r="53" spans="1:45" x14ac:dyDescent="0.3">
      <c r="A53" t="s">
        <v>285</v>
      </c>
      <c r="H53" t="s">
        <v>292</v>
      </c>
    </row>
    <row r="54" spans="1:45" x14ac:dyDescent="0.3">
      <c r="A54" t="s">
        <v>287</v>
      </c>
      <c r="H54" t="s">
        <v>293</v>
      </c>
    </row>
    <row r="55" spans="1:45" x14ac:dyDescent="0.3">
      <c r="A55" t="s">
        <v>286</v>
      </c>
      <c r="H55" t="s">
        <v>294</v>
      </c>
    </row>
    <row r="56" spans="1:45" x14ac:dyDescent="0.3">
      <c r="A56" t="s">
        <v>300</v>
      </c>
      <c r="Z56">
        <f>'Balance Sheet'!Z29/'Profit and Loss Statement '!Z38</f>
        <v>71.690276386294556</v>
      </c>
      <c r="AF56">
        <f>'Balance Sheet'!AF29/'Profit and Loss Statement '!AF38</f>
        <v>34.203206231122749</v>
      </c>
      <c r="AG56">
        <f>'Balance Sheet'!AG29/'Profit and Loss Statement '!AG38</f>
        <v>38.053829920073767</v>
      </c>
      <c r="AH56" s="105">
        <f>'Balance Sheet'!AH29/'Profit and Loss Statement '!AH38</f>
        <v>40.407488483360446</v>
      </c>
      <c r="AI56">
        <f>'Balance Sheet'!AI29/'Profit and Loss Statement '!AI38</f>
        <v>39.957974385051287</v>
      </c>
      <c r="AJ56">
        <f>'Balance Sheet'!AJ29/'Profit and Loss Statement '!AJ38</f>
        <v>43.459192262613797</v>
      </c>
      <c r="AK56">
        <f>'Balance Sheet'!AK29/'Profit and Loss Statement '!AK38</f>
        <v>47.492024240407673</v>
      </c>
      <c r="AL56">
        <f>'Balance Sheet'!AL29/'Profit and Loss Statement '!AL38</f>
        <v>52.180450408858789</v>
      </c>
      <c r="AM56">
        <f>'Balance Sheet'!AM29/'Profit and Loss Statement '!AM38</f>
        <v>57.664019055759965</v>
      </c>
      <c r="AN56">
        <f>'Balance Sheet'!AN29/'Profit and Loss Statement '!AN38</f>
        <v>64.104065363875122</v>
      </c>
      <c r="AO56">
        <f>'Balance Sheet'!AO29/'Profit and Loss Statement '!AO38</f>
        <v>71.690276386294556</v>
      </c>
      <c r="AS56" t="s">
        <v>324</v>
      </c>
    </row>
    <row r="57" spans="1:45" x14ac:dyDescent="0.3">
      <c r="A57" t="s">
        <v>301</v>
      </c>
      <c r="Z57">
        <f>'Cash Flow Statement'!Z22/'Profit and Loss Statement '!Z38</f>
        <v>7.9854692654528892</v>
      </c>
      <c r="AF57">
        <f>'Cash Flow Statement'!AF22/'Profit and Loss Statement '!AF38</f>
        <v>7.259066256463159</v>
      </c>
      <c r="AG57">
        <f>'Cash Flow Statement'!AG22/'Profit and Loss Statement '!AG38</f>
        <v>7.8052016113435965</v>
      </c>
      <c r="AH57" s="105">
        <f>'Cash Flow Statement'!AH22/'Profit and Loss Statement '!AH38</f>
        <v>7.8548937637143705</v>
      </c>
      <c r="AI57">
        <f>'Cash Flow Statement'!AI22/'Profit and Loss Statement '!AI38</f>
        <v>9.8155849049610406</v>
      </c>
      <c r="AJ57">
        <f>'Cash Flow Statement'!AJ22/'Profit and Loss Statement '!AJ38</f>
        <v>9.0256627233280344</v>
      </c>
      <c r="AK57">
        <f>'Cash Flow Statement'!AK22/'Profit and Loss Statement '!AK38</f>
        <v>10.022749125432069</v>
      </c>
      <c r="AL57">
        <f>'Cash Flow Statement'!AL22/'Profit and Loss Statement '!AL38</f>
        <v>11.022900764103408</v>
      </c>
      <c r="AM57">
        <f>'Cash Flow Statement'!AM22/'Profit and Loss Statement '!AM38</f>
        <v>12.194217175344043</v>
      </c>
      <c r="AN57">
        <f>'Cash Flow Statement'!AN22/'Profit and Loss Statement '!AN38</f>
        <v>13.587053387001236</v>
      </c>
      <c r="AO57">
        <f>'Cash Flow Statement'!AO22/'Profit and Loss Statement '!AO38</f>
        <v>15.206550188380525</v>
      </c>
      <c r="AS57" t="s">
        <v>325</v>
      </c>
    </row>
    <row r="58" spans="1:45" x14ac:dyDescent="0.3">
      <c r="A58" t="s">
        <v>302</v>
      </c>
      <c r="Z58">
        <f>'Balance Sheet'!Z94/'Profit and Loss Statement '!Z38</f>
        <v>0</v>
      </c>
      <c r="AF58">
        <f>'Balance Sheet'!AF94/'Profit and Loss Statement '!AF38</f>
        <v>9.5577995077325255</v>
      </c>
      <c r="AG58">
        <f>'Balance Sheet'!AG94/'Profit and Loss Statement '!AG38</f>
        <v>10.914435616218237</v>
      </c>
      <c r="AH58" s="105">
        <f>'Balance Sheet'!AH94/'Profit and Loss Statement '!AH38</f>
        <v>12.170652549466238</v>
      </c>
      <c r="AI58">
        <f>'Balance Sheet'!AI94/'Profit and Loss Statement '!AI38</f>
        <v>13.711139590120936</v>
      </c>
      <c r="AJ58">
        <f>'Balance Sheet'!AJ94/'Profit and Loss Statement '!AJ38</f>
        <v>12.805439733464912</v>
      </c>
      <c r="AK58">
        <f>'Balance Sheet'!AK94/'Profit and Loss Statement '!AK38</f>
        <v>14.166237596294298</v>
      </c>
      <c r="AL58">
        <f>'Balance Sheet'!AL94/'Profit and Loss Statement '!AL38</f>
        <v>15.600889782707746</v>
      </c>
      <c r="AM58">
        <f>'Balance Sheet'!AM94/'Profit and Loss Statement '!AM38</f>
        <v>17.286947642458642</v>
      </c>
      <c r="AN58">
        <f>'Balance Sheet'!AN94/'Profit and Loss Statement '!AN38</f>
        <v>19.287571722479736</v>
      </c>
      <c r="AO58">
        <f>'Balance Sheet'!AO94/'Profit and Loss Statement '!AO38</f>
        <v>21.624312135875481</v>
      </c>
      <c r="AS58" s="3" t="s">
        <v>326</v>
      </c>
    </row>
    <row r="59" spans="1:45" x14ac:dyDescent="0.3">
      <c r="A59" t="s">
        <v>332</v>
      </c>
      <c r="AF59" s="4">
        <f>('Balance Sheet'!AF38+'Balance Sheet'!AF31)/'Profit and Loss Statement '!AF15</f>
        <v>2.6192176342750697</v>
      </c>
      <c r="AG59" s="4">
        <f>('Balance Sheet'!AG38+'Balance Sheet'!AG31)/'Profit and Loss Statement '!AG15</f>
        <v>2.6547252390987195</v>
      </c>
      <c r="AH59" s="4">
        <f>('Balance Sheet'!AH38+'Balance Sheet'!AH31)/'Profit and Loss Statement '!AH15</f>
        <v>2.8834782608695653</v>
      </c>
      <c r="AI59" s="4">
        <f>('Balance Sheet'!AI38+'Balance Sheet'!AI31)/'Profit and Loss Statement '!AI15</f>
        <v>2.7848742241097679</v>
      </c>
      <c r="AJ59" s="4">
        <f>('Balance Sheet'!AJ38+'Balance Sheet'!AJ31)/'Profit and Loss Statement '!AJ15</f>
        <v>2.5480917809520078</v>
      </c>
      <c r="AK59" s="4">
        <f>('Balance Sheet'!AK38+'Balance Sheet'!AK31)/'Profit and Loss Statement '!AK15</f>
        <v>2.3873299633923666</v>
      </c>
      <c r="AL59" s="4">
        <f>('Balance Sheet'!AL38+'Balance Sheet'!AL31)/'Profit and Loss Statement '!AL15</f>
        <v>2.2176832631753309</v>
      </c>
      <c r="AM59" s="4">
        <f>('Balance Sheet'!AM38+'Balance Sheet'!AM31)/'Profit and Loss Statement '!AM15</f>
        <v>2.0447155291055887</v>
      </c>
      <c r="AN59" s="4">
        <f>('Balance Sheet'!AN38+'Balance Sheet'!AN31)/'Profit and Loss Statement '!AN15</f>
        <v>1.8724333279179788</v>
      </c>
      <c r="AO59" s="4">
        <f>('Balance Sheet'!AO38+'Balance Sheet'!AO31)/'Profit and Loss Statement '!AO15</f>
        <v>1.7037864684470896</v>
      </c>
      <c r="AS59" s="3" t="s">
        <v>327</v>
      </c>
    </row>
    <row r="60" spans="1:45" x14ac:dyDescent="0.3">
      <c r="AS60" s="3" t="s">
        <v>328</v>
      </c>
    </row>
    <row r="61" spans="1:45" x14ac:dyDescent="0.3">
      <c r="AI61" s="4">
        <f>'Balance Sheet'!AI29+'Balance Sheet'!AI31+'Balance Sheet'!AI38-'Balance Sheet'!AI17</f>
        <v>37101</v>
      </c>
      <c r="AJ61" s="4">
        <f>'Balance Sheet'!AJ29+'Balance Sheet'!AJ31+'Balance Sheet'!AJ38-'Balance Sheet'!AJ17</f>
        <v>37402.052869724197</v>
      </c>
    </row>
    <row r="62" spans="1:45" x14ac:dyDescent="0.3">
      <c r="AI62">
        <f>AI61/'Profit and Loss Statement '!AI15</f>
        <v>6.0602744201241423</v>
      </c>
      <c r="AJ62">
        <f>AJ61/'Profit and Loss Statement '!AJ15</f>
        <v>5.1585311777037441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B24C329B-F1C6-4149-A36E-BE47C3D2C07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Analysis'!AG56:AO56</xm:f>
              <xm:sqref>AQ56</xm:sqref>
            </x14:sparkline>
            <x14:sparkline>
              <xm:f>'Ratio Analysis'!AG57:AO57</xm:f>
              <xm:sqref>AQ57</xm:sqref>
            </x14:sparkline>
            <x14:sparkline>
              <xm:f>'Ratio Analysis'!AG58:AO58</xm:f>
              <xm:sqref>AQ58</xm:sqref>
            </x14:sparkline>
          </x14:sparklines>
        </x14:sparklineGroup>
        <x14:sparklineGroup displayEmptyCellsAs="gap" xr2:uid="{E4AC9BCE-CFA3-4A72-9894-A02DFFFE11C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Analysis'!AG46:AO46</xm:f>
              <xm:sqref>AQ46</xm:sqref>
            </x14:sparkline>
            <x14:sparkline>
              <xm:f>'Ratio Analysis'!AG47:AO47</xm:f>
              <xm:sqref>AQ47</xm:sqref>
            </x14:sparkline>
            <x14:sparkline>
              <xm:f>'Ratio Analysis'!AG48:AO48</xm:f>
              <xm:sqref>AQ48</xm:sqref>
            </x14:sparkline>
            <x14:sparkline>
              <xm:f>'Ratio Analysis'!AG49:AO49</xm:f>
              <xm:sqref>AQ49</xm:sqref>
            </x14:sparkline>
            <x14:sparkline>
              <xm:f>'Ratio Analysis'!AG50:AO50</xm:f>
              <xm:sqref>AQ50</xm:sqref>
            </x14:sparkline>
            <x14:sparkline>
              <xm:f>'Ratio Analysis'!AG51:AO51</xm:f>
              <xm:sqref>AQ51</xm:sqref>
            </x14:sparkline>
          </x14:sparklines>
        </x14:sparklineGroup>
        <x14:sparklineGroup displayEmptyCellsAs="gap" xr2:uid="{2C8DAD9C-0372-458B-9912-F7DE711A325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Analysis'!AG36:AO36</xm:f>
              <xm:sqref>AQ36</xm:sqref>
            </x14:sparkline>
            <x14:sparkline>
              <xm:f>'Ratio Analysis'!AG37:AO37</xm:f>
              <xm:sqref>AQ37</xm:sqref>
            </x14:sparkline>
            <x14:sparkline>
              <xm:f>'Ratio Analysis'!AG38:AO38</xm:f>
              <xm:sqref>AQ38</xm:sqref>
            </x14:sparkline>
            <x14:sparkline>
              <xm:f>'Ratio Analysis'!AG39:AO39</xm:f>
              <xm:sqref>AQ39</xm:sqref>
            </x14:sparkline>
            <x14:sparkline>
              <xm:f>'Ratio Analysis'!AG40:AO40</xm:f>
              <xm:sqref>AQ40</xm:sqref>
            </x14:sparkline>
            <x14:sparkline>
              <xm:f>'Ratio Analysis'!AG41:AO41</xm:f>
              <xm:sqref>AQ41</xm:sqref>
            </x14:sparkline>
            <x14:sparkline>
              <xm:f>'Ratio Analysis'!AG42:AO42</xm:f>
              <xm:sqref>AQ42</xm:sqref>
            </x14:sparkline>
          </x14:sparklines>
        </x14:sparklineGroup>
        <x14:sparklineGroup displayEmptyCellsAs="gap" xr2:uid="{5F27AC5A-38D6-4EE3-A8EF-5CFBD583495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Analysis'!AG27:AO27</xm:f>
              <xm:sqref>AQ27</xm:sqref>
            </x14:sparkline>
            <x14:sparkline>
              <xm:f>'Ratio Analysis'!AG28:AO28</xm:f>
              <xm:sqref>AQ28</xm:sqref>
            </x14:sparkline>
            <x14:sparkline>
              <xm:f>'Ratio Analysis'!AG29:AO29</xm:f>
              <xm:sqref>AQ29</xm:sqref>
            </x14:sparkline>
            <x14:sparkline>
              <xm:f>'Ratio Analysis'!AG30:AO30</xm:f>
              <xm:sqref>AQ30</xm:sqref>
            </x14:sparkline>
            <x14:sparkline>
              <xm:f>'Ratio Analysis'!AG31:AO31</xm:f>
              <xm:sqref>AQ31</xm:sqref>
            </x14:sparkline>
          </x14:sparklines>
        </x14:sparklineGroup>
        <x14:sparklineGroup displayEmptyCellsAs="gap" xr2:uid="{3992E49A-6463-4DE5-9F26-3AB979EFA92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Analysis'!AG20:AO20</xm:f>
              <xm:sqref>AQ20</xm:sqref>
            </x14:sparkline>
            <x14:sparkline>
              <xm:f>'Ratio Analysis'!AG21:AO21</xm:f>
              <xm:sqref>AQ21</xm:sqref>
            </x14:sparkline>
            <x14:sparkline>
              <xm:f>'Ratio Analysis'!AG22:AO22</xm:f>
              <xm:sqref>AQ22</xm:sqref>
            </x14:sparkline>
            <x14:sparkline>
              <xm:f>'Ratio Analysis'!AG23:AO23</xm:f>
              <xm:sqref>AQ23</xm:sqref>
            </x14:sparkline>
          </x14:sparklines>
        </x14:sparklineGroup>
        <x14:sparklineGroup displayEmptyCellsAs="gap" xr2:uid="{DA492A74-D976-4619-9890-DDBDCA8A989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Analysis'!AG12:AO12</xm:f>
              <xm:sqref>AQ12</xm:sqref>
            </x14:sparkline>
            <x14:sparkline>
              <xm:f>'Ratio Analysis'!AG13:AO13</xm:f>
              <xm:sqref>AQ13</xm:sqref>
            </x14:sparkline>
            <x14:sparkline>
              <xm:f>'Ratio Analysis'!AG14:AO14</xm:f>
              <xm:sqref>AQ14</xm:sqref>
            </x14:sparkline>
            <x14:sparkline>
              <xm:f>'Ratio Analysis'!AG15:AO15</xm:f>
              <xm:sqref>AQ15</xm:sqref>
            </x14:sparkline>
          </x14:sparklines>
        </x14:sparklineGroup>
        <x14:sparklineGroup displayEmptyCellsAs="gap" xr2:uid="{DF9C8126-3977-445A-883F-EC3844AC15B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Analysis'!AG11:AO11</xm:f>
              <xm:sqref>AQ11</xm:sqref>
            </x14:sparkline>
          </x14:sparklines>
        </x14:sparklineGroup>
        <x14:sparklineGroup displayEmptyCellsAs="gap" xr2:uid="{D28FF149-4757-42BE-A461-BFD1EC0CAE0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Analysis'!AG10:AO10</xm:f>
              <xm:sqref>AQ10</xm:sqref>
            </x14:sparkline>
          </x14:sparklines>
        </x14:sparklineGroup>
        <x14:sparklineGroup displayEmptyCellsAs="gap" xr2:uid="{9C3C521C-869A-4D4D-A987-9985D956CA7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Analysis'!AG8:AO8</xm:f>
              <xm:sqref>AQ8</xm:sqref>
            </x14:sparkline>
          </x14:sparklines>
        </x14:sparklineGroup>
        <x14:sparklineGroup displayEmptyCellsAs="gap" xr2:uid="{5131264B-30C8-48D1-85B5-05817CA2BBC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Analysis'!AG6:AO6</xm:f>
              <xm:sqref>AQ6</xm:sqref>
            </x14:sparkline>
          </x14:sparklines>
        </x14:sparklineGroup>
      </x14:sparklineGroup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16C2D-FEAE-437D-8B6F-007879821387}">
  <dimension ref="A1:AP131"/>
  <sheetViews>
    <sheetView zoomScale="85" zoomScaleNormal="85" workbookViewId="0">
      <pane xSplit="1" ySplit="1" topLeftCell="I2" activePane="bottomRight" state="frozen"/>
      <selection pane="topRight" activeCell="B1" sqref="B1"/>
      <selection pane="bottomLeft" activeCell="A2" sqref="A2"/>
      <selection pane="bottomRight" activeCell="Q8" sqref="Q8"/>
    </sheetView>
  </sheetViews>
  <sheetFormatPr defaultRowHeight="14.4" x14ac:dyDescent="0.3"/>
  <cols>
    <col min="1" max="1" width="27.21875" bestFit="1" customWidth="1"/>
    <col min="2" max="4" width="10.5546875" customWidth="1"/>
    <col min="5" max="5" width="9.5546875" customWidth="1"/>
    <col min="6" max="9" width="10.5546875" customWidth="1"/>
    <col min="10" max="10" width="8.21875" customWidth="1"/>
    <col min="11" max="11" width="9.88671875" customWidth="1"/>
    <col min="12" max="12" width="10.5546875" customWidth="1"/>
    <col min="13" max="13" width="11.109375" customWidth="1"/>
    <col min="14" max="14" width="9" customWidth="1"/>
    <col min="15" max="15" width="9.88671875" bestFit="1" customWidth="1"/>
    <col min="16" max="16" width="9.88671875" customWidth="1"/>
    <col min="17" max="17" width="9.88671875" bestFit="1" customWidth="1"/>
    <col min="18" max="18" width="9.88671875" customWidth="1"/>
    <col min="19" max="19" width="9.88671875" bestFit="1" customWidth="1"/>
    <col min="20" max="20" width="9.88671875" customWidth="1"/>
    <col min="21" max="21" width="9.88671875" bestFit="1" customWidth="1"/>
    <col min="22" max="22" width="9.88671875" customWidth="1"/>
    <col min="23" max="23" width="9.88671875" bestFit="1" customWidth="1"/>
    <col min="24" max="24" width="9.88671875" customWidth="1"/>
    <col min="25" max="25" width="9.88671875" bestFit="1" customWidth="1"/>
    <col min="26" max="26" width="9.88671875" customWidth="1"/>
    <col min="27" max="31" width="8.88671875" customWidth="1"/>
    <col min="32" max="32" width="5.44140625" bestFit="1" customWidth="1"/>
    <col min="33" max="35" width="10.5546875" bestFit="1" customWidth="1"/>
    <col min="36" max="42" width="9.88671875" bestFit="1" customWidth="1"/>
  </cols>
  <sheetData>
    <row r="1" spans="1:42" x14ac:dyDescent="0.3">
      <c r="B1" t="str">
        <f>'Cash Flow Statement'!B1</f>
        <v>H1'19</v>
      </c>
      <c r="C1" t="str">
        <f>'Cash Flow Statement'!C1</f>
        <v>H2'19</v>
      </c>
      <c r="D1" t="str">
        <f>'Cash Flow Statement'!D1</f>
        <v>FY'19</v>
      </c>
      <c r="E1" t="str">
        <f>'Cash Flow Statement'!E1</f>
        <v>H1'20</v>
      </c>
      <c r="F1" t="str">
        <f>'Cash Flow Statement'!F1</f>
        <v>H2'20</v>
      </c>
      <c r="G1" t="str">
        <f>'Cash Flow Statement'!G1</f>
        <v>H1'21</v>
      </c>
      <c r="H1" t="str">
        <f>'Cash Flow Statement'!H1</f>
        <v>H2'21</v>
      </c>
      <c r="I1" t="str">
        <f>'Cash Flow Statement'!I1</f>
        <v>H1'22</v>
      </c>
      <c r="J1" t="str">
        <f>'Cash Flow Statement'!J1</f>
        <v>H2'22</v>
      </c>
      <c r="K1" t="str">
        <f>'Cash Flow Statement'!K1</f>
        <v>H1'23</v>
      </c>
      <c r="L1" t="str">
        <f>'Cash Flow Statement'!L1</f>
        <v>H2'23</v>
      </c>
      <c r="M1" t="str">
        <f>'Cash Flow Statement'!M1</f>
        <v>H1'24</v>
      </c>
      <c r="N1" t="str">
        <f>'Cash Flow Statement'!N1</f>
        <v>H2'24</v>
      </c>
      <c r="O1" t="str">
        <f>'Cash Flow Statement'!O1</f>
        <v>H1'25</v>
      </c>
      <c r="P1" t="str">
        <f>'Cash Flow Statement'!P1</f>
        <v>H2'25</v>
      </c>
      <c r="Q1" t="str">
        <f>'Cash Flow Statement'!Q1</f>
        <v>H1'26</v>
      </c>
      <c r="R1" t="str">
        <f>'Cash Flow Statement'!R1</f>
        <v>H2'26</v>
      </c>
      <c r="S1" t="str">
        <f>'Cash Flow Statement'!S1</f>
        <v>H1'27</v>
      </c>
      <c r="T1" t="str">
        <f>'Cash Flow Statement'!T1</f>
        <v>H2'27</v>
      </c>
      <c r="U1" t="str">
        <f>'Cash Flow Statement'!U1</f>
        <v>H1'28</v>
      </c>
      <c r="V1" t="str">
        <f>'Cash Flow Statement'!V1</f>
        <v>H2'28</v>
      </c>
      <c r="W1" t="str">
        <f>'Cash Flow Statement'!W1</f>
        <v>H1'29</v>
      </c>
      <c r="X1" t="str">
        <f>'Cash Flow Statement'!X1</f>
        <v>H2'29</v>
      </c>
      <c r="Y1" t="str">
        <f>'Cash Flow Statement'!Y1</f>
        <v>H1'30</v>
      </c>
      <c r="Z1" t="str">
        <f>'Cash Flow Statement'!Z1</f>
        <v>H2'30</v>
      </c>
      <c r="AF1" t="str">
        <f>'Cash Flow Statement'!AE1</f>
        <v>FY'20</v>
      </c>
      <c r="AG1" t="str">
        <f>'Cash Flow Statement'!AF1</f>
        <v>FY'21</v>
      </c>
      <c r="AH1" t="str">
        <f>'Cash Flow Statement'!AG1</f>
        <v>FY'22</v>
      </c>
      <c r="AI1" t="str">
        <f>'Cash Flow Statement'!AH1</f>
        <v>FY'23</v>
      </c>
      <c r="AJ1" t="str">
        <f>'Cash Flow Statement'!AI1</f>
        <v>FY'24</v>
      </c>
      <c r="AK1" t="str">
        <f>'Cash Flow Statement'!AJ1</f>
        <v>FY'25</v>
      </c>
      <c r="AL1" t="str">
        <f>'Cash Flow Statement'!AK1</f>
        <v>FY'26</v>
      </c>
      <c r="AM1" t="str">
        <f>'Cash Flow Statement'!AL1</f>
        <v>FY'27</v>
      </c>
      <c r="AN1" t="str">
        <f>'Cash Flow Statement'!AM1</f>
        <v>FY'28</v>
      </c>
      <c r="AO1" t="str">
        <f>'Cash Flow Statement'!AN1</f>
        <v>FY'29</v>
      </c>
      <c r="AP1" t="str">
        <f>'Cash Flow Statement'!AO1</f>
        <v>FY'30</v>
      </c>
    </row>
    <row r="3" spans="1:42" x14ac:dyDescent="0.3">
      <c r="A3" s="3"/>
    </row>
    <row r="4" spans="1:42" x14ac:dyDescent="0.3">
      <c r="A4" s="3" t="s">
        <v>156</v>
      </c>
    </row>
    <row r="5" spans="1:42" x14ac:dyDescent="0.3">
      <c r="A5" s="3"/>
    </row>
    <row r="6" spans="1:42" x14ac:dyDescent="0.3">
      <c r="A6" s="3" t="s">
        <v>157</v>
      </c>
      <c r="I6">
        <f>G17</f>
        <v>1472</v>
      </c>
      <c r="K6">
        <f>I17</f>
        <v>1856</v>
      </c>
      <c r="M6" s="4">
        <f>K17</f>
        <v>1968</v>
      </c>
      <c r="O6" s="4">
        <f>M17</f>
        <v>1919</v>
      </c>
      <c r="Q6" s="4">
        <f>O17</f>
        <v>2061.7889464285718</v>
      </c>
      <c r="S6" s="4">
        <f>Q17</f>
        <v>2490.3297367995424</v>
      </c>
      <c r="U6" s="4">
        <f>S17</f>
        <v>3185.8203606417637</v>
      </c>
      <c r="W6" s="4">
        <f>U17</f>
        <v>4148.7297240947573</v>
      </c>
      <c r="Y6" s="4">
        <f>W17</f>
        <v>5395.7924625240576</v>
      </c>
      <c r="AI6">
        <f t="shared" ref="AI6:AP6" si="0">AH17</f>
        <v>4005</v>
      </c>
      <c r="AJ6">
        <f t="shared" si="0"/>
        <v>4229</v>
      </c>
      <c r="AK6">
        <f t="shared" si="0"/>
        <v>4119.2198688259114</v>
      </c>
      <c r="AL6">
        <f t="shared" si="0"/>
        <v>4324.7292636104412</v>
      </c>
      <c r="AM6">
        <f t="shared" si="0"/>
        <v>4808.3919699625494</v>
      </c>
      <c r="AN6">
        <f t="shared" si="0"/>
        <v>5555.9020843944372</v>
      </c>
      <c r="AO6">
        <f t="shared" si="0"/>
        <v>6571.3133676225389</v>
      </c>
      <c r="AP6">
        <f t="shared" si="0"/>
        <v>7874.3937338075848</v>
      </c>
    </row>
    <row r="7" spans="1:42" x14ac:dyDescent="0.3">
      <c r="A7" t="s">
        <v>123</v>
      </c>
      <c r="I7">
        <v>80</v>
      </c>
      <c r="K7">
        <v>-223</v>
      </c>
      <c r="M7">
        <v>-728</v>
      </c>
      <c r="O7" s="32">
        <f>M7*(1+O8)</f>
        <v>-509.59999999999997</v>
      </c>
      <c r="Q7" s="32">
        <f>O7*(1+Q8)</f>
        <v>-356.71999999999997</v>
      </c>
      <c r="S7" s="32">
        <f>Q7*(1+S8)</f>
        <v>-249.70399999999995</v>
      </c>
      <c r="U7" s="32">
        <f>S7*(1+U8)</f>
        <v>-174.79279999999994</v>
      </c>
      <c r="W7" s="32">
        <f>U7*(1+W8)</f>
        <v>-122.35495999999995</v>
      </c>
      <c r="Y7" s="32">
        <f>W7*(1+Y8)</f>
        <v>-85.648471999999956</v>
      </c>
      <c r="AI7">
        <v>-958</v>
      </c>
      <c r="AJ7" s="32">
        <f t="shared" ref="AJ7:AP7" si="1">AI7*(1+AJ8)</f>
        <v>-670.59999999999991</v>
      </c>
      <c r="AK7" s="32">
        <f t="shared" si="1"/>
        <v>-469.4199999999999</v>
      </c>
      <c r="AL7" s="32">
        <f t="shared" si="1"/>
        <v>-328.59399999999994</v>
      </c>
      <c r="AM7" s="32">
        <f t="shared" si="1"/>
        <v>-230.01579999999993</v>
      </c>
      <c r="AN7" s="32">
        <f t="shared" si="1"/>
        <v>-161.01105999999993</v>
      </c>
      <c r="AO7" s="32">
        <f t="shared" si="1"/>
        <v>-112.70774199999994</v>
      </c>
      <c r="AP7" s="32">
        <f t="shared" si="1"/>
        <v>-78.895419399999952</v>
      </c>
    </row>
    <row r="8" spans="1:42" x14ac:dyDescent="0.3">
      <c r="A8" s="1" t="s">
        <v>159</v>
      </c>
      <c r="E8" s="15"/>
      <c r="F8" s="15" t="e">
        <f t="shared" ref="F8:L8" si="2">F7/D17</f>
        <v>#DIV/0!</v>
      </c>
      <c r="G8" s="15" t="e">
        <f t="shared" si="2"/>
        <v>#DIV/0!</v>
      </c>
      <c r="H8" s="15" t="e">
        <f t="shared" si="2"/>
        <v>#DIV/0!</v>
      </c>
      <c r="I8" s="15">
        <f t="shared" si="2"/>
        <v>5.434782608695652E-2</v>
      </c>
      <c r="J8" s="15" t="e">
        <f t="shared" si="2"/>
        <v>#DIV/0!</v>
      </c>
      <c r="K8" s="15">
        <f t="shared" si="2"/>
        <v>-0.12015086206896551</v>
      </c>
      <c r="L8" s="15" t="e">
        <f t="shared" si="2"/>
        <v>#DIV/0!</v>
      </c>
      <c r="M8" s="15">
        <f>M7/K17</f>
        <v>-0.36991869918699188</v>
      </c>
      <c r="O8" s="33">
        <v>-0.3</v>
      </c>
      <c r="Q8" s="33">
        <v>-0.3</v>
      </c>
      <c r="S8" s="33">
        <v>-0.3</v>
      </c>
      <c r="U8" s="33">
        <v>-0.3</v>
      </c>
      <c r="W8" s="33">
        <v>-0.3</v>
      </c>
      <c r="Y8" s="33">
        <v>-0.3</v>
      </c>
      <c r="AG8" s="15"/>
      <c r="AH8" s="15"/>
      <c r="AI8" s="15">
        <f>AI7/AH17</f>
        <v>-0.23920099875156056</v>
      </c>
      <c r="AJ8" s="33">
        <v>-0.3</v>
      </c>
      <c r="AK8" s="33">
        <v>-0.3</v>
      </c>
      <c r="AL8" s="33">
        <v>-0.3</v>
      </c>
      <c r="AM8" s="33">
        <v>-0.3</v>
      </c>
      <c r="AN8" s="33">
        <v>-0.3</v>
      </c>
      <c r="AO8" s="33">
        <v>-0.3</v>
      </c>
      <c r="AP8" s="33">
        <v>-0.3</v>
      </c>
    </row>
    <row r="9" spans="1:42" x14ac:dyDescent="0.3">
      <c r="A9" t="s">
        <v>139</v>
      </c>
      <c r="I9">
        <v>-55</v>
      </c>
      <c r="K9">
        <v>155</v>
      </c>
      <c r="M9">
        <v>137</v>
      </c>
      <c r="O9" s="32">
        <f>M9*(1+O10)</f>
        <v>137.95899999999997</v>
      </c>
      <c r="Q9" s="32">
        <f>O9*(1+Q10)</f>
        <v>138.92471299999997</v>
      </c>
      <c r="S9" s="32">
        <f>Q9*(1+S10)</f>
        <v>139.89718599099996</v>
      </c>
      <c r="U9" s="32">
        <f>S9*(1+U10)</f>
        <v>140.87646629293695</v>
      </c>
      <c r="W9" s="32">
        <f>U9*(1+W10)</f>
        <v>141.8626015569875</v>
      </c>
      <c r="Y9" s="32">
        <f>W9*(1+Y10)</f>
        <v>142.8556397678864</v>
      </c>
      <c r="AI9">
        <v>716</v>
      </c>
      <c r="AJ9" s="32">
        <f t="shared" ref="AJ9:AP9" si="3">AI9*(1+AJ10)</f>
        <v>721.01199999999994</v>
      </c>
      <c r="AK9" s="32">
        <f t="shared" si="3"/>
        <v>726.05908399999987</v>
      </c>
      <c r="AL9" s="32">
        <f t="shared" si="3"/>
        <v>731.14149758799977</v>
      </c>
      <c r="AM9" s="32">
        <f t="shared" si="3"/>
        <v>736.2594880711157</v>
      </c>
      <c r="AN9" s="32">
        <f t="shared" si="3"/>
        <v>741.41330448761346</v>
      </c>
      <c r="AO9" s="32">
        <f t="shared" si="3"/>
        <v>746.60319761902667</v>
      </c>
      <c r="AP9" s="32">
        <f t="shared" si="3"/>
        <v>751.82942000235983</v>
      </c>
    </row>
    <row r="10" spans="1:42" x14ac:dyDescent="0.3">
      <c r="A10" s="1" t="s">
        <v>160</v>
      </c>
      <c r="E10" s="15"/>
      <c r="F10" s="15" t="e">
        <f t="shared" ref="F10:L10" si="4">F9/D17</f>
        <v>#DIV/0!</v>
      </c>
      <c r="G10" s="15" t="e">
        <f t="shared" si="4"/>
        <v>#DIV/0!</v>
      </c>
      <c r="H10" s="15" t="e">
        <f t="shared" si="4"/>
        <v>#DIV/0!</v>
      </c>
      <c r="I10" s="15">
        <f t="shared" si="4"/>
        <v>-3.7364130434782608E-2</v>
      </c>
      <c r="J10" s="15" t="e">
        <f t="shared" si="4"/>
        <v>#DIV/0!</v>
      </c>
      <c r="K10" s="15">
        <f t="shared" si="4"/>
        <v>8.3512931034482762E-2</v>
      </c>
      <c r="L10" s="15" t="e">
        <f t="shared" si="4"/>
        <v>#DIV/0!</v>
      </c>
      <c r="M10" s="15">
        <f>M9/K17</f>
        <v>6.9613821138211379E-2</v>
      </c>
      <c r="O10" s="31">
        <v>7.0000000000000001E-3</v>
      </c>
      <c r="Q10" s="31">
        <v>7.0000000000000001E-3</v>
      </c>
      <c r="S10" s="31">
        <v>7.0000000000000001E-3</v>
      </c>
      <c r="U10" s="31">
        <v>7.0000000000000001E-3</v>
      </c>
      <c r="W10" s="31">
        <v>7.0000000000000001E-3</v>
      </c>
      <c r="Y10" s="31">
        <v>7.0000000000000001E-3</v>
      </c>
      <c r="AG10" s="15"/>
      <c r="AH10" s="15"/>
      <c r="AI10" s="15">
        <f>AI9/AH17</f>
        <v>0.17877652933832708</v>
      </c>
      <c r="AJ10" s="31">
        <v>7.0000000000000001E-3</v>
      </c>
      <c r="AK10" s="31">
        <v>7.0000000000000001E-3</v>
      </c>
      <c r="AL10" s="31">
        <v>7.0000000000000001E-3</v>
      </c>
      <c r="AM10" s="31">
        <v>7.0000000000000001E-3</v>
      </c>
      <c r="AN10" s="31">
        <v>7.0000000000000001E-3</v>
      </c>
      <c r="AO10" s="31">
        <v>7.0000000000000001E-3</v>
      </c>
      <c r="AP10" s="31">
        <v>7.0000000000000001E-3</v>
      </c>
    </row>
    <row r="11" spans="1:42" x14ac:dyDescent="0.3">
      <c r="A11" t="s">
        <v>158</v>
      </c>
      <c r="I11">
        <v>359</v>
      </c>
      <c r="K11">
        <v>180</v>
      </c>
      <c r="M11">
        <v>542</v>
      </c>
      <c r="O11" s="32">
        <f>M11*(1+O12)</f>
        <v>652.38894642857144</v>
      </c>
      <c r="Q11" s="32">
        <f>O11*(1+Q12)</f>
        <v>785.26079037097065</v>
      </c>
      <c r="S11" s="32">
        <f>Q11*(1+S12)</f>
        <v>945.19462384222174</v>
      </c>
      <c r="U11" s="32">
        <f>S11*(1+U12)</f>
        <v>1137.7021634529938</v>
      </c>
      <c r="W11" s="32">
        <f>U11*(1+W12)</f>
        <v>1369.4176984293006</v>
      </c>
      <c r="Y11" s="32">
        <f>W11*(1+Y12)</f>
        <v>1648.3267254576674</v>
      </c>
      <c r="AI11">
        <v>466</v>
      </c>
      <c r="AJ11" s="32">
        <f t="shared" ref="AJ11:AP11" si="5">AI11*(1+AJ12)</f>
        <v>560.81986882591093</v>
      </c>
      <c r="AK11" s="32">
        <f t="shared" si="5"/>
        <v>674.92939478452945</v>
      </c>
      <c r="AL11" s="32">
        <f t="shared" si="5"/>
        <v>812.25670635210815</v>
      </c>
      <c r="AM11" s="32">
        <f t="shared" si="5"/>
        <v>977.52591443188817</v>
      </c>
      <c r="AN11" s="32">
        <f t="shared" si="5"/>
        <v>1176.4223432281017</v>
      </c>
      <c r="AO11" s="32">
        <f t="shared" si="5"/>
        <v>1415.7881081850451</v>
      </c>
      <c r="AP11" s="32">
        <f t="shared" si="5"/>
        <v>1703.8574881805812</v>
      </c>
    </row>
    <row r="12" spans="1:42" s="1" customFormat="1" x14ac:dyDescent="0.3">
      <c r="A12" s="1" t="s">
        <v>161</v>
      </c>
      <c r="B12" s="11"/>
      <c r="C12" s="11"/>
      <c r="D12" s="11"/>
      <c r="E12" s="11">
        <f t="shared" ref="E12:L12" si="6">(1+E13)*(1+E15)-1</f>
        <v>0</v>
      </c>
      <c r="F12" s="11">
        <f t="shared" si="6"/>
        <v>0</v>
      </c>
      <c r="G12" s="11">
        <f t="shared" si="6"/>
        <v>0</v>
      </c>
      <c r="H12" s="11">
        <f t="shared" si="6"/>
        <v>0</v>
      </c>
      <c r="I12" s="11">
        <f t="shared" si="6"/>
        <v>0.24087199999999975</v>
      </c>
      <c r="J12" s="11">
        <f t="shared" si="6"/>
        <v>0</v>
      </c>
      <c r="K12" s="11">
        <f t="shared" si="6"/>
        <v>9.4646000000000008E-2</v>
      </c>
      <c r="L12" s="11">
        <f t="shared" si="6"/>
        <v>0</v>
      </c>
      <c r="M12" s="11">
        <f>(1+M13)*(1+M15)-1</f>
        <v>0.27513999999999994</v>
      </c>
      <c r="O12" s="15">
        <f>(1+O15)*(1+O13)-1</f>
        <v>0.20366964285714295</v>
      </c>
      <c r="Q12" s="15">
        <f>(1+Q15)*(1+Q13)-1</f>
        <v>0.20366967384991863</v>
      </c>
      <c r="S12" s="15">
        <f>(1+S15)*(1+S13)-1</f>
        <v>0.20366970493419845</v>
      </c>
      <c r="U12" s="15">
        <f>(1+U15)*(1+U13)-1</f>
        <v>0.20366973611024974</v>
      </c>
      <c r="W12" s="15">
        <f>(1+W15)*(1+W13)-1</f>
        <v>0.20366976737834119</v>
      </c>
      <c r="Y12" s="15">
        <f>(1+Y15)*(1+Y13)-1</f>
        <v>0.20366979873874191</v>
      </c>
      <c r="AF12" s="11"/>
      <c r="AG12" s="11"/>
      <c r="AH12" s="11"/>
      <c r="AI12" s="11">
        <f>AI13+AI15</f>
        <v>0.11799999999999999</v>
      </c>
      <c r="AJ12" s="15">
        <f t="shared" ref="AJ12:AP12" si="7">(1+AJ15)*(1+AJ13)-1</f>
        <v>0.20347611336032378</v>
      </c>
      <c r="AK12" s="15">
        <f t="shared" si="7"/>
        <v>0.2034691213731592</v>
      </c>
      <c r="AL12" s="15">
        <f t="shared" si="7"/>
        <v>0.20346915192724757</v>
      </c>
      <c r="AM12" s="15">
        <f t="shared" si="7"/>
        <v>0.20346918257162017</v>
      </c>
      <c r="AN12" s="15">
        <f t="shared" si="7"/>
        <v>0.20346921330654122</v>
      </c>
      <c r="AO12" s="15">
        <f t="shared" si="7"/>
        <v>0.20346924413227652</v>
      </c>
      <c r="AP12" s="15">
        <f t="shared" si="7"/>
        <v>0.20346927504909162</v>
      </c>
    </row>
    <row r="13" spans="1:42" x14ac:dyDescent="0.3">
      <c r="A13" s="20" t="s">
        <v>162</v>
      </c>
      <c r="I13" s="28">
        <v>0.192</v>
      </c>
      <c r="K13" s="15">
        <v>0.16700000000000001</v>
      </c>
      <c r="M13" s="11">
        <v>0.23799999999999999</v>
      </c>
      <c r="O13" s="30">
        <v>0.2</v>
      </c>
      <c r="Q13" s="30">
        <v>0.2</v>
      </c>
      <c r="S13" s="30">
        <v>0.2</v>
      </c>
      <c r="U13" s="30">
        <v>0.2</v>
      </c>
      <c r="W13" s="30">
        <v>0.2</v>
      </c>
      <c r="Y13" s="30">
        <v>0.2</v>
      </c>
      <c r="AI13" s="28">
        <v>0.17399999999999999</v>
      </c>
      <c r="AJ13" s="30">
        <v>0.2</v>
      </c>
      <c r="AK13" s="30">
        <v>0.2</v>
      </c>
      <c r="AL13" s="30">
        <v>0.2</v>
      </c>
      <c r="AM13" s="30">
        <v>0.2</v>
      </c>
      <c r="AN13" s="30">
        <v>0.2</v>
      </c>
      <c r="AO13" s="30">
        <v>0.2</v>
      </c>
      <c r="AP13" s="30">
        <v>0.2</v>
      </c>
    </row>
    <row r="14" spans="1:42" x14ac:dyDescent="0.3">
      <c r="A14" s="20"/>
    </row>
    <row r="15" spans="1:42" s="1" customFormat="1" x14ac:dyDescent="0.3">
      <c r="A15" s="20" t="s">
        <v>163</v>
      </c>
      <c r="B15" s="11"/>
      <c r="C15" s="11"/>
      <c r="D15" s="11"/>
      <c r="E15" s="11"/>
      <c r="F15" s="11"/>
      <c r="G15" s="11"/>
      <c r="H15" s="11"/>
      <c r="I15" s="11">
        <v>4.1000000000000002E-2</v>
      </c>
      <c r="J15" s="11"/>
      <c r="K15" s="11">
        <v>-6.2E-2</v>
      </c>
      <c r="L15" s="11"/>
      <c r="M15" s="11">
        <v>0.03</v>
      </c>
      <c r="O15" s="11">
        <f>O58</f>
        <v>3.0580357142857141E-3</v>
      </c>
      <c r="Q15" s="11">
        <f>Q58</f>
        <v>3.0580615415988759E-3</v>
      </c>
      <c r="S15" s="11">
        <f>S58</f>
        <v>3.0580874451653244E-3</v>
      </c>
      <c r="U15" s="11">
        <f>U58</f>
        <v>3.0581134252081407E-3</v>
      </c>
      <c r="W15" s="11">
        <f>W58</f>
        <v>3.0581394819510438E-3</v>
      </c>
      <c r="Y15" s="11">
        <f>Y58</f>
        <v>3.0581656156183977E-3</v>
      </c>
      <c r="AF15" s="11"/>
      <c r="AG15" s="11"/>
      <c r="AH15" s="11"/>
      <c r="AI15" s="11">
        <v>-5.6000000000000001E-2</v>
      </c>
      <c r="AJ15" s="11">
        <f t="shared" ref="AJ15:AP15" si="8">AJ58</f>
        <v>2.896761133603239E-3</v>
      </c>
      <c r="AK15" s="11">
        <f t="shared" si="8"/>
        <v>2.8909344776326014E-3</v>
      </c>
      <c r="AL15" s="11">
        <f t="shared" si="8"/>
        <v>2.8909599393729885E-3</v>
      </c>
      <c r="AM15" s="11">
        <f t="shared" si="8"/>
        <v>2.8909854763501013E-3</v>
      </c>
      <c r="AN15" s="11">
        <f t="shared" si="8"/>
        <v>2.8910110887844166E-3</v>
      </c>
      <c r="AO15" s="11">
        <f t="shared" si="8"/>
        <v>2.8910367768970489E-3</v>
      </c>
      <c r="AP15" s="11">
        <f t="shared" si="8"/>
        <v>2.8910625409097499E-3</v>
      </c>
    </row>
    <row r="16" spans="1:42" s="1" customFormat="1" x14ac:dyDescent="0.3">
      <c r="A16" s="20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AF16" s="11"/>
      <c r="AG16" s="11"/>
      <c r="AH16" s="11"/>
      <c r="AI16" s="11"/>
    </row>
    <row r="17" spans="1:42" x14ac:dyDescent="0.3">
      <c r="A17" s="3"/>
      <c r="G17">
        <v>1472</v>
      </c>
      <c r="I17">
        <v>1856</v>
      </c>
      <c r="K17">
        <v>1968</v>
      </c>
      <c r="M17" s="4">
        <f>M6+M7+M9+M11</f>
        <v>1919</v>
      </c>
      <c r="O17" s="32">
        <f>O6+O7+O11</f>
        <v>2061.7889464285718</v>
      </c>
      <c r="Q17" s="32">
        <f>Q6+Q7+Q11</f>
        <v>2490.3297367995424</v>
      </c>
      <c r="S17" s="32">
        <f>S6+S7+S11</f>
        <v>3185.8203606417637</v>
      </c>
      <c r="U17" s="32">
        <f>U6+U7+U11</f>
        <v>4148.7297240947573</v>
      </c>
      <c r="W17" s="32">
        <f>W6+W7+W11</f>
        <v>5395.7924625240576</v>
      </c>
      <c r="Y17" s="32">
        <f>Y6+Y7+Y11</f>
        <v>6958.4707159817253</v>
      </c>
      <c r="AH17">
        <v>4005</v>
      </c>
      <c r="AI17">
        <f>AI6+AI7+AI9+AI11</f>
        <v>4229</v>
      </c>
      <c r="AJ17" s="32">
        <f t="shared" ref="AJ17:AP17" si="9">AJ6+AJ7+AJ11</f>
        <v>4119.2198688259114</v>
      </c>
      <c r="AK17" s="32">
        <f t="shared" si="9"/>
        <v>4324.7292636104412</v>
      </c>
      <c r="AL17" s="32">
        <f t="shared" si="9"/>
        <v>4808.3919699625494</v>
      </c>
      <c r="AM17" s="32">
        <f t="shared" si="9"/>
        <v>5555.9020843944372</v>
      </c>
      <c r="AN17" s="32">
        <f t="shared" si="9"/>
        <v>6571.3133676225389</v>
      </c>
      <c r="AO17" s="32">
        <f t="shared" si="9"/>
        <v>7874.3937338075848</v>
      </c>
      <c r="AP17" s="32">
        <f t="shared" si="9"/>
        <v>9499.3558025881666</v>
      </c>
    </row>
    <row r="18" spans="1:42" x14ac:dyDescent="0.3">
      <c r="I18" s="15">
        <f>I17/G17-1</f>
        <v>0.26086956521739135</v>
      </c>
      <c r="K18" s="15">
        <f>K17/I17-1</f>
        <v>6.0344827586206851E-2</v>
      </c>
      <c r="M18" s="15">
        <f>M17/K17-1</f>
        <v>-2.4898373983739841E-2</v>
      </c>
    </row>
    <row r="19" spans="1:42" x14ac:dyDescent="0.3">
      <c r="M19" s="15"/>
    </row>
    <row r="20" spans="1:42" s="26" customFormat="1" x14ac:dyDescent="0.3">
      <c r="A20" s="23" t="s">
        <v>170</v>
      </c>
      <c r="B20" s="24"/>
      <c r="C20" s="24"/>
      <c r="D20" s="24"/>
      <c r="E20" s="24"/>
      <c r="F20" s="24"/>
      <c r="G20" s="24"/>
      <c r="H20" s="24"/>
      <c r="I20" s="24"/>
      <c r="J20" s="24"/>
      <c r="K20" s="25">
        <f>M20/1.24</f>
        <v>69.088421658986164</v>
      </c>
      <c r="L20" s="24"/>
      <c r="M20" s="25">
        <f>M17/M51</f>
        <v>85.669642857142847</v>
      </c>
      <c r="AF20" s="24"/>
      <c r="AG20" s="24"/>
      <c r="AH20" s="24"/>
      <c r="AI20" s="24"/>
    </row>
    <row r="21" spans="1:42" s="26" customFormat="1" x14ac:dyDescent="0.3">
      <c r="A21" s="23"/>
      <c r="B21" s="24"/>
      <c r="C21" s="24"/>
      <c r="D21" s="24"/>
      <c r="E21" s="24"/>
      <c r="F21" s="24"/>
      <c r="G21" s="24"/>
      <c r="H21" s="24"/>
      <c r="I21" s="24">
        <v>0.192</v>
      </c>
      <c r="J21" s="24"/>
      <c r="K21" s="24">
        <v>0.16500000000000001</v>
      </c>
      <c r="L21" s="24"/>
      <c r="M21" s="24">
        <f>M20/K20-1</f>
        <v>0.24</v>
      </c>
      <c r="AF21" s="24"/>
      <c r="AG21" s="24"/>
      <c r="AH21" s="24"/>
      <c r="AI21" s="24"/>
    </row>
    <row r="22" spans="1:42" s="1" customFormat="1" x14ac:dyDescent="0.3">
      <c r="A22" s="20" t="s">
        <v>164</v>
      </c>
      <c r="B22" s="11"/>
      <c r="C22" s="11"/>
      <c r="D22" s="11"/>
      <c r="E22" s="21"/>
      <c r="F22" s="21"/>
      <c r="G22" s="21">
        <v>19.100000000000001</v>
      </c>
      <c r="H22" s="11"/>
      <c r="I22" s="19">
        <f>+I24+I26+I28+G22</f>
        <v>19.600000000000001</v>
      </c>
      <c r="J22" s="11"/>
      <c r="K22" s="19">
        <v>18.600000000000001</v>
      </c>
      <c r="L22" s="11"/>
      <c r="M22" s="19">
        <v>14.5</v>
      </c>
      <c r="O22" s="19">
        <f>M22+O24+O26+O28</f>
        <v>14.6015</v>
      </c>
      <c r="Q22" s="19">
        <f>O22+Q24+Q26+Q28</f>
        <v>14.7037105</v>
      </c>
      <c r="S22" s="19">
        <f>Q22+S24+S26+S28</f>
        <v>14.806636473499999</v>
      </c>
      <c r="U22" s="19">
        <f>S22+U24+U26+U28</f>
        <v>14.9102829288145</v>
      </c>
      <c r="W22" s="19">
        <f>U22+W24+W26+W28</f>
        <v>15.014654909316201</v>
      </c>
      <c r="Y22" s="19">
        <f>W22+Y24+Y26+Y28</f>
        <v>15.119757493681414</v>
      </c>
      <c r="AF22" s="11"/>
      <c r="AG22" s="19"/>
      <c r="AH22" s="19">
        <v>39.200000000000003</v>
      </c>
      <c r="AI22" s="19">
        <v>34.799999999999997</v>
      </c>
      <c r="AJ22" s="19">
        <f t="shared" ref="AJ22:AP22" si="10">AI22+AJ24+AJ26+AJ28</f>
        <v>35.043599999999998</v>
      </c>
      <c r="AK22" s="19">
        <f t="shared" si="10"/>
        <v>35.288905200000002</v>
      </c>
      <c r="AL22" s="19">
        <f t="shared" si="10"/>
        <v>35.535927536400003</v>
      </c>
      <c r="AM22" s="19">
        <f t="shared" si="10"/>
        <v>35.784679029154802</v>
      </c>
      <c r="AN22" s="19">
        <f t="shared" si="10"/>
        <v>36.035171782358887</v>
      </c>
      <c r="AO22" s="19">
        <f t="shared" si="10"/>
        <v>36.2874179848354</v>
      </c>
      <c r="AP22" s="19">
        <f t="shared" si="10"/>
        <v>36.541429910729242</v>
      </c>
    </row>
    <row r="23" spans="1:42" s="1" customFormat="1" x14ac:dyDescent="0.3">
      <c r="A23" s="20"/>
      <c r="B23" s="11"/>
      <c r="C23" s="11"/>
      <c r="D23" s="11"/>
      <c r="E23" s="11"/>
      <c r="F23" s="11"/>
      <c r="G23" s="15" t="e">
        <f t="shared" ref="G23:L23" si="11">G22/E22-1</f>
        <v>#DIV/0!</v>
      </c>
      <c r="H23" s="15" t="e">
        <f t="shared" si="11"/>
        <v>#DIV/0!</v>
      </c>
      <c r="I23" s="15">
        <f t="shared" si="11"/>
        <v>2.6178010471204161E-2</v>
      </c>
      <c r="J23" s="15" t="e">
        <f t="shared" si="11"/>
        <v>#DIV/0!</v>
      </c>
      <c r="K23" s="15">
        <f t="shared" si="11"/>
        <v>-5.1020408163265252E-2</v>
      </c>
      <c r="L23" s="15" t="e">
        <f t="shared" si="11"/>
        <v>#DIV/0!</v>
      </c>
      <c r="M23" s="15">
        <f>M22/K22-1</f>
        <v>-0.22043010752688175</v>
      </c>
      <c r="AF23" s="11"/>
      <c r="AG23" s="11"/>
      <c r="AH23" s="11"/>
      <c r="AI23" s="11"/>
    </row>
    <row r="24" spans="1:42" s="1" customFormat="1" x14ac:dyDescent="0.3">
      <c r="A24" s="27" t="s">
        <v>138</v>
      </c>
      <c r="B24" s="11"/>
      <c r="C24" s="11"/>
      <c r="D24" s="11"/>
      <c r="E24" s="19"/>
      <c r="F24" s="19"/>
      <c r="G24" s="19"/>
      <c r="H24" s="19"/>
      <c r="I24" s="19">
        <v>0</v>
      </c>
      <c r="J24" s="11"/>
      <c r="K24" s="19">
        <v>0</v>
      </c>
      <c r="L24" s="11"/>
      <c r="M24" s="19">
        <v>0</v>
      </c>
      <c r="O24">
        <f>O25*M22</f>
        <v>0</v>
      </c>
      <c r="Q24">
        <f>Q25*O22</f>
        <v>0</v>
      </c>
      <c r="S24">
        <f>S25*Q22</f>
        <v>0</v>
      </c>
      <c r="U24">
        <f>U25*S22</f>
        <v>0</v>
      </c>
      <c r="W24">
        <f>W25*U22</f>
        <v>0</v>
      </c>
      <c r="Y24">
        <f>Y25*W22</f>
        <v>0</v>
      </c>
      <c r="AF24" s="11"/>
      <c r="AG24" s="19"/>
      <c r="AH24" s="19"/>
      <c r="AI24" s="19">
        <v>0</v>
      </c>
      <c r="AJ24">
        <f t="shared" ref="AJ24:AP24" si="12">AJ25*AI22</f>
        <v>0</v>
      </c>
      <c r="AK24">
        <f t="shared" si="12"/>
        <v>0</v>
      </c>
      <c r="AL24">
        <f t="shared" si="12"/>
        <v>0</v>
      </c>
      <c r="AM24">
        <f t="shared" si="12"/>
        <v>0</v>
      </c>
      <c r="AN24">
        <f t="shared" si="12"/>
        <v>0</v>
      </c>
      <c r="AO24">
        <f t="shared" si="12"/>
        <v>0</v>
      </c>
      <c r="AP24">
        <f t="shared" si="12"/>
        <v>0</v>
      </c>
    </row>
    <row r="25" spans="1:42" s="1" customFormat="1" x14ac:dyDescent="0.3">
      <c r="A25" s="20" t="s">
        <v>159</v>
      </c>
      <c r="B25" s="11"/>
      <c r="C25" s="11"/>
      <c r="D25" s="11"/>
      <c r="E25" s="11"/>
      <c r="F25" s="11"/>
      <c r="G25" s="15" t="e">
        <f t="shared" ref="G25:L25" si="13">G24/E22</f>
        <v>#DIV/0!</v>
      </c>
      <c r="H25" s="15" t="e">
        <f t="shared" si="13"/>
        <v>#DIV/0!</v>
      </c>
      <c r="I25" s="15">
        <f t="shared" si="13"/>
        <v>0</v>
      </c>
      <c r="J25" s="15" t="e">
        <f t="shared" si="13"/>
        <v>#DIV/0!</v>
      </c>
      <c r="K25" s="15">
        <f t="shared" si="13"/>
        <v>0</v>
      </c>
      <c r="L25" s="15" t="e">
        <f t="shared" si="13"/>
        <v>#DIV/0!</v>
      </c>
      <c r="M25" s="15">
        <f>M24/K22</f>
        <v>0</v>
      </c>
      <c r="O25" s="30">
        <v>0</v>
      </c>
      <c r="Q25" s="30">
        <v>0</v>
      </c>
      <c r="S25" s="30">
        <v>0</v>
      </c>
      <c r="U25" s="30">
        <v>0</v>
      </c>
      <c r="W25" s="30">
        <v>0</v>
      </c>
      <c r="Y25" s="30">
        <v>0</v>
      </c>
      <c r="AF25" s="11"/>
      <c r="AG25" s="11"/>
      <c r="AH25" s="11"/>
      <c r="AI25" s="11">
        <f>AI24/AH22</f>
        <v>0</v>
      </c>
      <c r="AJ25" s="30">
        <v>0</v>
      </c>
      <c r="AK25" s="30">
        <v>0</v>
      </c>
      <c r="AL25" s="30">
        <v>0</v>
      </c>
      <c r="AM25" s="30">
        <v>0</v>
      </c>
      <c r="AN25" s="30">
        <v>0</v>
      </c>
      <c r="AO25" s="30">
        <v>0</v>
      </c>
      <c r="AP25" s="30">
        <v>0</v>
      </c>
    </row>
    <row r="26" spans="1:42" s="1" customFormat="1" x14ac:dyDescent="0.3">
      <c r="A26" t="s">
        <v>139</v>
      </c>
      <c r="B26" s="11"/>
      <c r="C26" s="11"/>
      <c r="D26" s="11"/>
      <c r="E26" s="21"/>
      <c r="F26" s="21"/>
      <c r="G26" s="21"/>
      <c r="H26" s="21"/>
      <c r="I26" s="21">
        <v>-0.2</v>
      </c>
      <c r="J26" s="11"/>
      <c r="K26" s="19">
        <v>0.2</v>
      </c>
      <c r="L26" s="11"/>
      <c r="M26" s="19">
        <v>-4.4000000000000004</v>
      </c>
      <c r="O26" s="19">
        <f>O27*M22</f>
        <v>7.2499999999999995E-2</v>
      </c>
      <c r="Q26" s="19">
        <f>Q27*O22</f>
        <v>7.3007500000000003E-2</v>
      </c>
      <c r="S26" s="19">
        <f>S27*Q22</f>
        <v>7.3518552500000001E-2</v>
      </c>
      <c r="U26" s="19">
        <f>U27*S22</f>
        <v>7.4033182367499992E-2</v>
      </c>
      <c r="W26" s="19">
        <f>W27*U22</f>
        <v>7.45514146440725E-2</v>
      </c>
      <c r="Y26" s="19">
        <f>Y27*W22</f>
        <v>7.5073274546581012E-2</v>
      </c>
      <c r="AF26" s="11"/>
      <c r="AG26" s="19"/>
      <c r="AH26" s="19"/>
      <c r="AI26" s="19">
        <v>-2</v>
      </c>
      <c r="AJ26" s="19">
        <f t="shared" ref="AJ26:AP26" si="14">AJ27*AI22</f>
        <v>0.17399999999999999</v>
      </c>
      <c r="AK26" s="19">
        <f t="shared" si="14"/>
        <v>0.17521799999999998</v>
      </c>
      <c r="AL26" s="19">
        <f t="shared" si="14"/>
        <v>0.17644452600000002</v>
      </c>
      <c r="AM26" s="19">
        <f t="shared" si="14"/>
        <v>0.17767963768200001</v>
      </c>
      <c r="AN26" s="19">
        <f t="shared" si="14"/>
        <v>0.17892339514577402</v>
      </c>
      <c r="AO26" s="19">
        <f t="shared" si="14"/>
        <v>0.18017585891179444</v>
      </c>
      <c r="AP26" s="19">
        <f t="shared" si="14"/>
        <v>0.18143708992417701</v>
      </c>
    </row>
    <row r="27" spans="1:42" s="1" customFormat="1" x14ac:dyDescent="0.3">
      <c r="A27" s="20" t="s">
        <v>160</v>
      </c>
      <c r="B27" s="11"/>
      <c r="C27" s="11"/>
      <c r="D27" s="11"/>
      <c r="E27" s="11"/>
      <c r="F27" s="11"/>
      <c r="G27" s="15" t="e">
        <f t="shared" ref="G27:L27" si="15">G26/E22</f>
        <v>#DIV/0!</v>
      </c>
      <c r="H27" s="15" t="e">
        <f t="shared" si="15"/>
        <v>#DIV/0!</v>
      </c>
      <c r="I27" s="15">
        <f t="shared" si="15"/>
        <v>-1.0471204188481676E-2</v>
      </c>
      <c r="J27" s="15" t="e">
        <f t="shared" si="15"/>
        <v>#DIV/0!</v>
      </c>
      <c r="K27" s="15">
        <f t="shared" si="15"/>
        <v>1.020408163265306E-2</v>
      </c>
      <c r="L27" s="15" t="e">
        <f t="shared" si="15"/>
        <v>#DIV/0!</v>
      </c>
      <c r="M27" s="15">
        <f>M26/K22</f>
        <v>-0.23655913978494625</v>
      </c>
      <c r="O27" s="31">
        <v>5.0000000000000001E-3</v>
      </c>
      <c r="Q27" s="31">
        <v>5.0000000000000001E-3</v>
      </c>
      <c r="S27" s="31">
        <v>5.0000000000000001E-3</v>
      </c>
      <c r="U27" s="31">
        <v>5.0000000000000001E-3</v>
      </c>
      <c r="W27" s="31">
        <v>5.0000000000000001E-3</v>
      </c>
      <c r="Y27" s="31">
        <v>5.0000000000000001E-3</v>
      </c>
      <c r="AF27" s="11"/>
      <c r="AG27" s="11"/>
      <c r="AH27" s="11"/>
      <c r="AI27" s="11">
        <f>AI26/AH22</f>
        <v>-5.10204081632653E-2</v>
      </c>
      <c r="AJ27" s="31">
        <v>5.0000000000000001E-3</v>
      </c>
      <c r="AK27" s="31">
        <v>5.0000000000000001E-3</v>
      </c>
      <c r="AL27" s="31">
        <v>5.0000000000000001E-3</v>
      </c>
      <c r="AM27" s="31">
        <v>5.0000000000000001E-3</v>
      </c>
      <c r="AN27" s="31">
        <v>5.0000000000000001E-3</v>
      </c>
      <c r="AO27" s="31">
        <v>5.0000000000000001E-3</v>
      </c>
      <c r="AP27" s="31">
        <v>5.0000000000000001E-3</v>
      </c>
    </row>
    <row r="28" spans="1:42" s="1" customFormat="1" x14ac:dyDescent="0.3">
      <c r="A28" t="s">
        <v>158</v>
      </c>
      <c r="B28" s="11"/>
      <c r="C28" s="11"/>
      <c r="D28" s="11"/>
      <c r="E28" s="21"/>
      <c r="F28" s="21"/>
      <c r="G28" s="21"/>
      <c r="H28" s="21"/>
      <c r="I28" s="21">
        <v>0.7</v>
      </c>
      <c r="J28" s="11"/>
      <c r="K28" s="19">
        <v>-1.3</v>
      </c>
      <c r="L28" s="11"/>
      <c r="M28" s="19">
        <v>0.3</v>
      </c>
      <c r="O28" s="19">
        <f>O29*M22</f>
        <v>2.9000000000000001E-2</v>
      </c>
      <c r="Q28" s="19">
        <f>Q29*O22</f>
        <v>2.9203E-2</v>
      </c>
      <c r="S28" s="19">
        <f>S29*Q22</f>
        <v>2.9407421E-2</v>
      </c>
      <c r="U28" s="19">
        <f>U29*S22</f>
        <v>2.9613272946999999E-2</v>
      </c>
      <c r="W28" s="19">
        <f>W29*U22</f>
        <v>2.9820565857628999E-2</v>
      </c>
      <c r="Y28" s="19">
        <f>Y29*W22</f>
        <v>3.0029309818632402E-2</v>
      </c>
      <c r="AF28" s="11"/>
      <c r="AG28" s="19"/>
      <c r="AH28" s="19"/>
      <c r="AI28" s="19">
        <v>-2.5</v>
      </c>
      <c r="AJ28" s="19">
        <f t="shared" ref="AJ28:AP28" si="16">AJ29*AI22</f>
        <v>6.9599999999999995E-2</v>
      </c>
      <c r="AK28" s="19">
        <f t="shared" si="16"/>
        <v>7.0087200000000002E-2</v>
      </c>
      <c r="AL28" s="19">
        <f t="shared" si="16"/>
        <v>7.057781040000001E-2</v>
      </c>
      <c r="AM28" s="19">
        <f t="shared" si="16"/>
        <v>7.1071855072800005E-2</v>
      </c>
      <c r="AN28" s="19">
        <f t="shared" si="16"/>
        <v>7.1569358058309607E-2</v>
      </c>
      <c r="AO28" s="19">
        <f t="shared" si="16"/>
        <v>7.2070343564717781E-2</v>
      </c>
      <c r="AP28" s="19">
        <f t="shared" si="16"/>
        <v>7.2574835969670806E-2</v>
      </c>
    </row>
    <row r="29" spans="1:42" s="1" customFormat="1" x14ac:dyDescent="0.3">
      <c r="A29" s="20" t="s">
        <v>161</v>
      </c>
      <c r="B29" s="11"/>
      <c r="C29" s="11"/>
      <c r="D29" s="11"/>
      <c r="E29" s="11"/>
      <c r="F29" s="11"/>
      <c r="G29" s="11" t="e">
        <f t="shared" ref="G29:L29" si="17">G28/E22</f>
        <v>#DIV/0!</v>
      </c>
      <c r="H29" s="11" t="e">
        <f t="shared" si="17"/>
        <v>#DIV/0!</v>
      </c>
      <c r="I29" s="11">
        <f t="shared" si="17"/>
        <v>3.6649214659685861E-2</v>
      </c>
      <c r="J29" s="11" t="e">
        <f t="shared" si="17"/>
        <v>#DIV/0!</v>
      </c>
      <c r="K29" s="11">
        <f t="shared" si="17"/>
        <v>-6.6326530612244902E-2</v>
      </c>
      <c r="L29" s="11" t="e">
        <f t="shared" si="17"/>
        <v>#DIV/0!</v>
      </c>
      <c r="M29" s="11">
        <f>M28/K22</f>
        <v>1.6129032258064516E-2</v>
      </c>
      <c r="O29" s="31">
        <v>2E-3</v>
      </c>
      <c r="Q29" s="31">
        <v>2E-3</v>
      </c>
      <c r="S29" s="31">
        <v>2E-3</v>
      </c>
      <c r="U29" s="31">
        <v>2E-3</v>
      </c>
      <c r="W29" s="31">
        <v>2E-3</v>
      </c>
      <c r="Y29" s="31">
        <v>2E-3</v>
      </c>
      <c r="AF29" s="11"/>
      <c r="AG29" s="11"/>
      <c r="AH29" s="11"/>
      <c r="AI29" s="11">
        <f>AI28/AH22</f>
        <v>-6.3775510204081634E-2</v>
      </c>
      <c r="AJ29" s="31">
        <v>2E-3</v>
      </c>
      <c r="AK29" s="31">
        <v>2E-3</v>
      </c>
      <c r="AL29" s="31">
        <v>2E-3</v>
      </c>
      <c r="AM29" s="31">
        <v>2E-3</v>
      </c>
      <c r="AN29" s="31">
        <v>2E-3</v>
      </c>
      <c r="AO29" s="31">
        <v>2E-3</v>
      </c>
      <c r="AP29" s="31">
        <v>2E-3</v>
      </c>
    </row>
    <row r="30" spans="1:42" s="1" customFormat="1" x14ac:dyDescent="0.3">
      <c r="A30" s="20"/>
      <c r="B30" s="11"/>
      <c r="C30" s="11"/>
      <c r="D30" s="11"/>
      <c r="E30" s="11"/>
      <c r="F30" s="11"/>
      <c r="G30" s="11"/>
      <c r="H30" s="11"/>
      <c r="I30" s="11"/>
      <c r="J30" s="11"/>
      <c r="K30" s="19"/>
      <c r="L30" s="11"/>
      <c r="M30" s="19"/>
      <c r="AF30" s="11"/>
      <c r="AG30" s="11"/>
      <c r="AH30" s="11"/>
      <c r="AI30" s="11"/>
    </row>
    <row r="31" spans="1:42" s="1" customFormat="1" x14ac:dyDescent="0.3">
      <c r="A31" s="20" t="s">
        <v>165</v>
      </c>
      <c r="B31" s="11"/>
      <c r="C31" s="11"/>
      <c r="D31" s="11"/>
      <c r="E31" s="19"/>
      <c r="F31" s="19"/>
      <c r="G31" s="19">
        <v>5.3</v>
      </c>
      <c r="H31" s="11"/>
      <c r="I31" s="19">
        <v>5.6</v>
      </c>
      <c r="J31" s="11"/>
      <c r="K31" s="19">
        <v>5.6</v>
      </c>
      <c r="L31" s="11"/>
      <c r="M31" s="19">
        <v>7.8</v>
      </c>
      <c r="O31" s="19">
        <f>M31+O33+O35+O37</f>
        <v>7.8545999999999996</v>
      </c>
      <c r="Q31" s="19">
        <f>O31+Q33+Q35+Q37</f>
        <v>7.9095821999999991</v>
      </c>
      <c r="S31" s="19">
        <f>Q31+S33+S35+S37</f>
        <v>7.9649492753999986</v>
      </c>
      <c r="U31" s="19">
        <f>S31+U33+U35+U37</f>
        <v>8.020703920327799</v>
      </c>
      <c r="W31" s="19">
        <f>U31+W33+W35+W37</f>
        <v>8.0768488477700924</v>
      </c>
      <c r="Y31" s="19">
        <f>W31+Y33+Y35+Y37</f>
        <v>8.1333867897044829</v>
      </c>
      <c r="AF31" s="11"/>
      <c r="AG31" s="11"/>
      <c r="AH31" s="19">
        <v>11.5</v>
      </c>
      <c r="AI31" s="19">
        <v>14.5</v>
      </c>
      <c r="AJ31" s="19">
        <f t="shared" ref="AJ31:AP31" si="18">AI31+AJ33+AJ35+AJ37</f>
        <v>14.6015</v>
      </c>
      <c r="AK31" s="19">
        <f t="shared" si="18"/>
        <v>14.7037105</v>
      </c>
      <c r="AL31" s="19">
        <f t="shared" si="18"/>
        <v>14.806636473499999</v>
      </c>
      <c r="AM31" s="19">
        <f t="shared" si="18"/>
        <v>14.9102829288145</v>
      </c>
      <c r="AN31" s="19">
        <f t="shared" si="18"/>
        <v>15.014654909316201</v>
      </c>
      <c r="AO31" s="19">
        <f t="shared" si="18"/>
        <v>15.119757493681414</v>
      </c>
      <c r="AP31" s="19">
        <f t="shared" si="18"/>
        <v>15.225595796137183</v>
      </c>
    </row>
    <row r="32" spans="1:42" s="1" customFormat="1" x14ac:dyDescent="0.3">
      <c r="A32" s="20"/>
      <c r="B32" s="11"/>
      <c r="C32" s="11"/>
      <c r="D32" s="11"/>
      <c r="E32" s="11"/>
      <c r="F32" s="11"/>
      <c r="G32" s="15" t="e">
        <f t="shared" ref="G32:L32" si="19">G31/E31-1</f>
        <v>#DIV/0!</v>
      </c>
      <c r="H32" s="15" t="e">
        <f t="shared" si="19"/>
        <v>#DIV/0!</v>
      </c>
      <c r="I32" s="15">
        <f t="shared" si="19"/>
        <v>5.6603773584905648E-2</v>
      </c>
      <c r="J32" s="15" t="e">
        <f t="shared" si="19"/>
        <v>#DIV/0!</v>
      </c>
      <c r="K32" s="15">
        <f t="shared" si="19"/>
        <v>0</v>
      </c>
      <c r="L32" s="15" t="e">
        <f t="shared" si="19"/>
        <v>#DIV/0!</v>
      </c>
      <c r="M32" s="15">
        <f>M31/K31-1</f>
        <v>0.39285714285714302</v>
      </c>
      <c r="AF32" s="11"/>
      <c r="AG32" s="11"/>
      <c r="AH32" s="11"/>
      <c r="AI32" s="11"/>
    </row>
    <row r="33" spans="1:42" s="1" customFormat="1" x14ac:dyDescent="0.3">
      <c r="A33" s="27" t="s">
        <v>138</v>
      </c>
      <c r="B33" s="11"/>
      <c r="C33" s="11"/>
      <c r="D33" s="11"/>
      <c r="E33" s="19"/>
      <c r="F33" s="19"/>
      <c r="G33" s="19"/>
      <c r="H33" s="19"/>
      <c r="I33" s="19">
        <v>0</v>
      </c>
      <c r="J33" s="11"/>
      <c r="K33" s="19">
        <v>0</v>
      </c>
      <c r="L33" s="11"/>
      <c r="M33" s="19">
        <v>0</v>
      </c>
      <c r="O33">
        <f>O34*M31</f>
        <v>0</v>
      </c>
      <c r="Q33">
        <f>Q34*O31</f>
        <v>0</v>
      </c>
      <c r="S33">
        <f>S34*Q31</f>
        <v>0</v>
      </c>
      <c r="U33">
        <f>U34*S31</f>
        <v>0</v>
      </c>
      <c r="W33">
        <f>W34*U31</f>
        <v>0</v>
      </c>
      <c r="Y33">
        <f>Y34*W31</f>
        <v>0</v>
      </c>
      <c r="AF33" s="11"/>
      <c r="AG33" s="19"/>
      <c r="AH33" s="19"/>
      <c r="AI33" s="19">
        <v>0</v>
      </c>
      <c r="AJ33">
        <f t="shared" ref="AJ33:AP33" si="20">AJ34*AI31</f>
        <v>0</v>
      </c>
      <c r="AK33">
        <f t="shared" si="20"/>
        <v>0</v>
      </c>
      <c r="AL33">
        <f t="shared" si="20"/>
        <v>0</v>
      </c>
      <c r="AM33">
        <f t="shared" si="20"/>
        <v>0</v>
      </c>
      <c r="AN33">
        <f t="shared" si="20"/>
        <v>0</v>
      </c>
      <c r="AO33">
        <f t="shared" si="20"/>
        <v>0</v>
      </c>
      <c r="AP33">
        <f t="shared" si="20"/>
        <v>0</v>
      </c>
    </row>
    <row r="34" spans="1:42" s="1" customFormat="1" x14ac:dyDescent="0.3">
      <c r="A34" s="20" t="s">
        <v>159</v>
      </c>
      <c r="B34" s="11"/>
      <c r="C34" s="11"/>
      <c r="D34" s="11"/>
      <c r="E34" s="11"/>
      <c r="F34" s="11"/>
      <c r="G34" s="15" t="e">
        <f t="shared" ref="G34:L34" si="21">G33/E31</f>
        <v>#DIV/0!</v>
      </c>
      <c r="H34" s="15" t="e">
        <f t="shared" si="21"/>
        <v>#DIV/0!</v>
      </c>
      <c r="I34" s="15">
        <f t="shared" si="21"/>
        <v>0</v>
      </c>
      <c r="J34" s="15" t="e">
        <f t="shared" si="21"/>
        <v>#DIV/0!</v>
      </c>
      <c r="K34" s="15">
        <f t="shared" si="21"/>
        <v>0</v>
      </c>
      <c r="L34" s="15" t="e">
        <f t="shared" si="21"/>
        <v>#DIV/0!</v>
      </c>
      <c r="M34" s="15">
        <f>M33/K31</f>
        <v>0</v>
      </c>
      <c r="O34" s="30">
        <v>0</v>
      </c>
      <c r="Q34" s="30">
        <v>0</v>
      </c>
      <c r="S34" s="30">
        <v>0</v>
      </c>
      <c r="U34" s="30">
        <v>0</v>
      </c>
      <c r="W34" s="30">
        <v>0</v>
      </c>
      <c r="Y34" s="30">
        <v>0</v>
      </c>
      <c r="AF34" s="11"/>
      <c r="AG34" s="11"/>
      <c r="AH34" s="11"/>
      <c r="AI34" s="11">
        <f>AI33/AH31</f>
        <v>0</v>
      </c>
      <c r="AJ34" s="30">
        <v>0</v>
      </c>
      <c r="AK34" s="30">
        <v>0</v>
      </c>
      <c r="AL34" s="30">
        <v>0</v>
      </c>
      <c r="AM34" s="30">
        <v>0</v>
      </c>
      <c r="AN34" s="30">
        <v>0</v>
      </c>
      <c r="AO34" s="30">
        <v>0</v>
      </c>
      <c r="AP34" s="30">
        <v>0</v>
      </c>
    </row>
    <row r="35" spans="1:42" s="1" customFormat="1" x14ac:dyDescent="0.3">
      <c r="A35" t="s">
        <v>139</v>
      </c>
      <c r="B35" s="11"/>
      <c r="C35" s="11"/>
      <c r="D35" s="11"/>
      <c r="E35" s="19"/>
      <c r="F35" s="19"/>
      <c r="G35" s="19"/>
      <c r="H35" s="19"/>
      <c r="I35" s="19">
        <v>0</v>
      </c>
      <c r="J35" s="11"/>
      <c r="K35" s="19">
        <v>0.3</v>
      </c>
      <c r="L35" s="11"/>
      <c r="M35" s="19">
        <v>1.8</v>
      </c>
      <c r="O35" s="19">
        <f>O36*M31</f>
        <v>1.5599999999999999E-2</v>
      </c>
      <c r="Q35" s="19">
        <f>Q36*O31</f>
        <v>1.57092E-2</v>
      </c>
      <c r="S35" s="19">
        <f>S36*Q31</f>
        <v>1.5819164399999999E-2</v>
      </c>
      <c r="U35" s="19">
        <f>U36*S31</f>
        <v>1.5929898550799997E-2</v>
      </c>
      <c r="W35" s="19">
        <f>W36*U31</f>
        <v>1.6041407840655598E-2</v>
      </c>
      <c r="Y35" s="19">
        <f>Y36*W31</f>
        <v>1.6153697695540186E-2</v>
      </c>
      <c r="AF35" s="11"/>
      <c r="AG35" s="19"/>
      <c r="AH35" s="19"/>
      <c r="AI35" s="19">
        <v>3.4</v>
      </c>
      <c r="AJ35" s="19">
        <f t="shared" ref="AJ35:AP35" si="22">AJ36*AI31</f>
        <v>2.9000000000000001E-2</v>
      </c>
      <c r="AK35" s="19">
        <f t="shared" si="22"/>
        <v>2.9203E-2</v>
      </c>
      <c r="AL35" s="19">
        <f t="shared" si="22"/>
        <v>2.9407421E-2</v>
      </c>
      <c r="AM35" s="19">
        <f t="shared" si="22"/>
        <v>2.9613272946999999E-2</v>
      </c>
      <c r="AN35" s="19">
        <f t="shared" si="22"/>
        <v>2.9820565857628999E-2</v>
      </c>
      <c r="AO35" s="19">
        <f t="shared" si="22"/>
        <v>3.0029309818632402E-2</v>
      </c>
      <c r="AP35" s="19">
        <f t="shared" si="22"/>
        <v>3.0239514987362829E-2</v>
      </c>
    </row>
    <row r="36" spans="1:42" s="1" customFormat="1" x14ac:dyDescent="0.3">
      <c r="A36" s="20" t="s">
        <v>160</v>
      </c>
      <c r="B36" s="11"/>
      <c r="C36" s="11"/>
      <c r="D36" s="11"/>
      <c r="E36" s="11"/>
      <c r="F36" s="11"/>
      <c r="G36" s="15" t="e">
        <f t="shared" ref="G36:L36" si="23">G35/E31</f>
        <v>#DIV/0!</v>
      </c>
      <c r="H36" s="15" t="e">
        <f t="shared" si="23"/>
        <v>#DIV/0!</v>
      </c>
      <c r="I36" s="15">
        <f t="shared" si="23"/>
        <v>0</v>
      </c>
      <c r="J36" s="15" t="e">
        <f t="shared" si="23"/>
        <v>#DIV/0!</v>
      </c>
      <c r="K36" s="15">
        <f t="shared" si="23"/>
        <v>5.3571428571428575E-2</v>
      </c>
      <c r="L36" s="15" t="e">
        <f t="shared" si="23"/>
        <v>#DIV/0!</v>
      </c>
      <c r="M36" s="15">
        <f>M35/K31</f>
        <v>0.32142857142857145</v>
      </c>
      <c r="O36" s="31">
        <v>2E-3</v>
      </c>
      <c r="Q36" s="31">
        <v>2E-3</v>
      </c>
      <c r="S36" s="31">
        <v>2E-3</v>
      </c>
      <c r="U36" s="31">
        <v>2E-3</v>
      </c>
      <c r="W36" s="31">
        <v>2E-3</v>
      </c>
      <c r="Y36" s="31">
        <v>2E-3</v>
      </c>
      <c r="AF36" s="11"/>
      <c r="AG36" s="11"/>
      <c r="AH36" s="11"/>
      <c r="AI36" s="11">
        <f>AI35/AH31</f>
        <v>0.29565217391304349</v>
      </c>
      <c r="AJ36" s="31">
        <v>2E-3</v>
      </c>
      <c r="AK36" s="31">
        <v>2E-3</v>
      </c>
      <c r="AL36" s="31">
        <v>2E-3</v>
      </c>
      <c r="AM36" s="31">
        <v>2E-3</v>
      </c>
      <c r="AN36" s="31">
        <v>2E-3</v>
      </c>
      <c r="AO36" s="31">
        <v>2E-3</v>
      </c>
      <c r="AP36" s="31">
        <v>2E-3</v>
      </c>
    </row>
    <row r="37" spans="1:42" s="1" customFormat="1" x14ac:dyDescent="0.3">
      <c r="A37" t="s">
        <v>158</v>
      </c>
      <c r="B37" s="11"/>
      <c r="C37" s="11"/>
      <c r="D37" s="11"/>
      <c r="E37" s="19"/>
      <c r="F37" s="19"/>
      <c r="G37" s="19"/>
      <c r="H37" s="19"/>
      <c r="I37" s="19">
        <v>0.3</v>
      </c>
      <c r="J37" s="11"/>
      <c r="K37" s="19">
        <v>-0.3</v>
      </c>
      <c r="L37" s="11"/>
      <c r="M37" s="19">
        <v>0.4</v>
      </c>
      <c r="O37" s="19">
        <f>O38*M31</f>
        <v>3.9E-2</v>
      </c>
      <c r="Q37" s="19">
        <f>Q38*O31</f>
        <v>3.9272999999999995E-2</v>
      </c>
      <c r="S37" s="19">
        <f>S38*Q31</f>
        <v>3.9547910999999998E-2</v>
      </c>
      <c r="U37" s="19">
        <f>U38*S31</f>
        <v>3.9824746376999995E-2</v>
      </c>
      <c r="W37" s="19">
        <f>W38*U31</f>
        <v>4.0103519601638993E-2</v>
      </c>
      <c r="Y37" s="19">
        <f>Y38*W31</f>
        <v>4.038424423885046E-2</v>
      </c>
      <c r="AF37" s="11"/>
      <c r="AG37" s="19"/>
      <c r="AH37" s="19"/>
      <c r="AI37" s="19">
        <v>-0.4</v>
      </c>
      <c r="AJ37" s="19">
        <f t="shared" ref="AJ37:AP37" si="24">AJ38*AI31</f>
        <v>7.2499999999999995E-2</v>
      </c>
      <c r="AK37" s="19">
        <f t="shared" si="24"/>
        <v>7.3007500000000003E-2</v>
      </c>
      <c r="AL37" s="19">
        <f t="shared" si="24"/>
        <v>7.3518552500000001E-2</v>
      </c>
      <c r="AM37" s="19">
        <f t="shared" si="24"/>
        <v>7.4033182367499992E-2</v>
      </c>
      <c r="AN37" s="19">
        <f t="shared" si="24"/>
        <v>7.45514146440725E-2</v>
      </c>
      <c r="AO37" s="19">
        <f t="shared" si="24"/>
        <v>7.5073274546581012E-2</v>
      </c>
      <c r="AP37" s="19">
        <f t="shared" si="24"/>
        <v>7.5598787468407078E-2</v>
      </c>
    </row>
    <row r="38" spans="1:42" s="1" customFormat="1" x14ac:dyDescent="0.3">
      <c r="A38" s="20" t="s">
        <v>161</v>
      </c>
      <c r="B38" s="11"/>
      <c r="C38" s="11"/>
      <c r="D38" s="11"/>
      <c r="E38" s="11"/>
      <c r="F38" s="11"/>
      <c r="G38" s="11" t="e">
        <f t="shared" ref="G38:L38" si="25">G37/E31</f>
        <v>#DIV/0!</v>
      </c>
      <c r="H38" s="11" t="e">
        <f t="shared" si="25"/>
        <v>#DIV/0!</v>
      </c>
      <c r="I38" s="11">
        <f t="shared" si="25"/>
        <v>5.6603773584905662E-2</v>
      </c>
      <c r="J38" s="11" t="e">
        <f t="shared" si="25"/>
        <v>#DIV/0!</v>
      </c>
      <c r="K38" s="11">
        <f t="shared" si="25"/>
        <v>-5.3571428571428575E-2</v>
      </c>
      <c r="L38" s="11" t="e">
        <f t="shared" si="25"/>
        <v>#DIV/0!</v>
      </c>
      <c r="M38" s="11">
        <f>M37/K31</f>
        <v>7.1428571428571438E-2</v>
      </c>
      <c r="O38" s="31">
        <v>5.0000000000000001E-3</v>
      </c>
      <c r="Q38" s="31">
        <v>5.0000000000000001E-3</v>
      </c>
      <c r="S38" s="31">
        <v>5.0000000000000001E-3</v>
      </c>
      <c r="U38" s="31">
        <v>5.0000000000000001E-3</v>
      </c>
      <c r="W38" s="31">
        <v>5.0000000000000001E-3</v>
      </c>
      <c r="Y38" s="31">
        <v>5.0000000000000001E-3</v>
      </c>
      <c r="AF38" s="11"/>
      <c r="AG38" s="11"/>
      <c r="AH38" s="11"/>
      <c r="AI38" s="11">
        <f>AI37/AH31</f>
        <v>-3.4782608695652174E-2</v>
      </c>
      <c r="AJ38" s="31">
        <v>5.0000000000000001E-3</v>
      </c>
      <c r="AK38" s="31">
        <v>5.0000000000000001E-3</v>
      </c>
      <c r="AL38" s="31">
        <v>5.0000000000000001E-3</v>
      </c>
      <c r="AM38" s="31">
        <v>5.0000000000000001E-3</v>
      </c>
      <c r="AN38" s="31">
        <v>5.0000000000000001E-3</v>
      </c>
      <c r="AO38" s="31">
        <v>5.0000000000000001E-3</v>
      </c>
      <c r="AP38" s="31">
        <v>5.0000000000000001E-3</v>
      </c>
    </row>
    <row r="39" spans="1:42" s="1" customFormat="1" x14ac:dyDescent="0.3">
      <c r="A39" s="20"/>
      <c r="B39" s="11"/>
      <c r="C39" s="11"/>
      <c r="D39" s="11"/>
      <c r="E39" s="11"/>
      <c r="F39" s="11"/>
      <c r="G39" s="11"/>
      <c r="H39" s="11"/>
      <c r="I39" s="11"/>
      <c r="J39" s="11"/>
      <c r="K39" s="19"/>
      <c r="L39" s="11"/>
      <c r="M39" s="19"/>
      <c r="AF39" s="11"/>
      <c r="AG39" s="11"/>
      <c r="AH39" s="11"/>
      <c r="AI39" s="11"/>
    </row>
    <row r="40" spans="1:42" s="1" customFormat="1" x14ac:dyDescent="0.3">
      <c r="A40" s="20"/>
      <c r="B40" s="11"/>
      <c r="C40" s="11"/>
      <c r="D40" s="11"/>
      <c r="E40" s="11"/>
      <c r="F40" s="11"/>
      <c r="G40" s="11"/>
      <c r="H40" s="11"/>
      <c r="I40" s="11"/>
      <c r="J40" s="11"/>
      <c r="K40" s="19"/>
      <c r="L40" s="11"/>
      <c r="M40" s="19"/>
      <c r="AF40" s="11"/>
      <c r="AG40" s="11"/>
      <c r="AH40" s="11"/>
      <c r="AI40" s="11"/>
    </row>
    <row r="41" spans="1:42" s="1" customFormat="1" x14ac:dyDescent="0.3">
      <c r="A41" s="20" t="s">
        <v>166</v>
      </c>
      <c r="B41" s="11"/>
      <c r="C41" s="11"/>
      <c r="D41" s="11"/>
      <c r="E41" s="11"/>
      <c r="F41" s="11"/>
      <c r="G41" s="11"/>
      <c r="H41" s="11"/>
      <c r="I41" s="19">
        <v>0</v>
      </c>
      <c r="J41" s="11"/>
      <c r="K41" s="19">
        <v>0</v>
      </c>
      <c r="L41" s="11"/>
      <c r="M41" s="19">
        <v>0.1</v>
      </c>
      <c r="O41" s="19">
        <f>M41+O43+O45+O47</f>
        <v>0.10100000000000001</v>
      </c>
      <c r="Q41" s="19">
        <f>O41+Q43+Q45+Q47</f>
        <v>0.10201000000000002</v>
      </c>
      <c r="S41" s="19">
        <f>Q41+S43+S45+S47</f>
        <v>0.10303010000000001</v>
      </c>
      <c r="U41" s="19">
        <f>S41+U43+U45+U47</f>
        <v>0.10406040100000002</v>
      </c>
      <c r="W41" s="19">
        <f>U41+W43+W45+W47</f>
        <v>0.10510100501000003</v>
      </c>
      <c r="Y41" s="19">
        <f>W41+Y43+Y45+Y47</f>
        <v>0.10615201506010002</v>
      </c>
      <c r="AF41" s="11"/>
      <c r="AG41" s="19"/>
      <c r="AH41" s="19">
        <v>0.1</v>
      </c>
      <c r="AI41" s="19">
        <v>0.2</v>
      </c>
      <c r="AJ41" s="19">
        <f t="shared" ref="AJ41:AP41" si="26">AI41+AJ43+AJ45+AJ47</f>
        <v>0.20200000000000001</v>
      </c>
      <c r="AK41" s="19">
        <f t="shared" si="26"/>
        <v>0.20402000000000003</v>
      </c>
      <c r="AL41" s="19">
        <f t="shared" si="26"/>
        <v>0.20606020000000003</v>
      </c>
      <c r="AM41" s="19">
        <f t="shared" si="26"/>
        <v>0.20812080200000005</v>
      </c>
      <c r="AN41" s="19">
        <f t="shared" si="26"/>
        <v>0.21020201002000005</v>
      </c>
      <c r="AO41" s="19">
        <f t="shared" si="26"/>
        <v>0.21230403012020005</v>
      </c>
      <c r="AP41" s="19">
        <f t="shared" si="26"/>
        <v>0.21442707042140208</v>
      </c>
    </row>
    <row r="42" spans="1:42" s="1" customFormat="1" x14ac:dyDescent="0.3">
      <c r="A42" s="20"/>
      <c r="B42" s="11"/>
      <c r="C42" s="11"/>
      <c r="D42" s="11"/>
      <c r="E42" s="11"/>
      <c r="F42" s="11"/>
      <c r="G42" s="15" t="str">
        <f t="shared" ref="G42:L42" si="27">IFERROR(G41/E41-1, "-")</f>
        <v>-</v>
      </c>
      <c r="H42" s="15" t="str">
        <f t="shared" si="27"/>
        <v>-</v>
      </c>
      <c r="I42" s="15" t="str">
        <f t="shared" si="27"/>
        <v>-</v>
      </c>
      <c r="J42" s="15" t="str">
        <f t="shared" si="27"/>
        <v>-</v>
      </c>
      <c r="K42" s="15" t="str">
        <f t="shared" si="27"/>
        <v>-</v>
      </c>
      <c r="L42" s="15" t="str">
        <f t="shared" si="27"/>
        <v>-</v>
      </c>
      <c r="M42" s="15" t="str">
        <f>IFERROR(M41/K41-1, "-")</f>
        <v>-</v>
      </c>
      <c r="AF42" s="11"/>
      <c r="AG42" s="11"/>
      <c r="AH42" s="11"/>
      <c r="AI42" s="11"/>
    </row>
    <row r="43" spans="1:42" s="1" customFormat="1" x14ac:dyDescent="0.3">
      <c r="A43" s="27" t="s">
        <v>138</v>
      </c>
      <c r="B43" s="11"/>
      <c r="C43" s="11"/>
      <c r="D43" s="11"/>
      <c r="E43" s="11"/>
      <c r="F43" s="11"/>
      <c r="G43" s="11"/>
      <c r="H43" s="11"/>
      <c r="I43" s="11"/>
      <c r="J43" s="11"/>
      <c r="K43" s="19"/>
      <c r="L43" s="11"/>
      <c r="M43" s="19">
        <v>0</v>
      </c>
      <c r="O43">
        <f>O44*M41</f>
        <v>0</v>
      </c>
      <c r="Q43">
        <f>Q44*O41</f>
        <v>0</v>
      </c>
      <c r="S43">
        <f>S44*Q41</f>
        <v>0</v>
      </c>
      <c r="U43">
        <f>U44*S41</f>
        <v>0</v>
      </c>
      <c r="W43">
        <f>W44*U41</f>
        <v>0</v>
      </c>
      <c r="Y43">
        <f>Y44*W41</f>
        <v>0</v>
      </c>
      <c r="AF43" s="11"/>
      <c r="AG43" s="19"/>
      <c r="AH43" s="19"/>
      <c r="AI43" s="19">
        <v>0</v>
      </c>
      <c r="AJ43">
        <f t="shared" ref="AJ43:AP43" si="28">AJ44*AI41</f>
        <v>0</v>
      </c>
      <c r="AK43">
        <f t="shared" si="28"/>
        <v>0</v>
      </c>
      <c r="AL43">
        <f t="shared" si="28"/>
        <v>0</v>
      </c>
      <c r="AM43">
        <f t="shared" si="28"/>
        <v>0</v>
      </c>
      <c r="AN43">
        <f t="shared" si="28"/>
        <v>0</v>
      </c>
      <c r="AO43">
        <f t="shared" si="28"/>
        <v>0</v>
      </c>
      <c r="AP43">
        <f t="shared" si="28"/>
        <v>0</v>
      </c>
    </row>
    <row r="44" spans="1:42" s="1" customFormat="1" x14ac:dyDescent="0.3">
      <c r="A44" s="20" t="s">
        <v>159</v>
      </c>
      <c r="B44" s="11"/>
      <c r="C44" s="11"/>
      <c r="D44" s="11"/>
      <c r="E44" s="11"/>
      <c r="F44" s="11"/>
      <c r="G44" s="15" t="str">
        <f t="shared" ref="G44:L44" si="29">IFERROR(G43/E41,"-")</f>
        <v>-</v>
      </c>
      <c r="H44" s="15" t="str">
        <f t="shared" si="29"/>
        <v>-</v>
      </c>
      <c r="I44" s="15" t="str">
        <f t="shared" si="29"/>
        <v>-</v>
      </c>
      <c r="J44" s="15" t="str">
        <f t="shared" si="29"/>
        <v>-</v>
      </c>
      <c r="K44" s="15" t="str">
        <f t="shared" si="29"/>
        <v>-</v>
      </c>
      <c r="L44" s="15" t="str">
        <f t="shared" si="29"/>
        <v>-</v>
      </c>
      <c r="M44" s="15" t="str">
        <f>IFERROR(M43/K41,"-")</f>
        <v>-</v>
      </c>
      <c r="O44" s="30">
        <v>0</v>
      </c>
      <c r="Q44" s="30">
        <v>0</v>
      </c>
      <c r="S44" s="30">
        <v>0</v>
      </c>
      <c r="U44" s="30">
        <v>0</v>
      </c>
      <c r="W44" s="30">
        <v>0</v>
      </c>
      <c r="Y44" s="30">
        <v>0</v>
      </c>
      <c r="AF44" s="11"/>
      <c r="AG44" s="11"/>
      <c r="AH44" s="11"/>
      <c r="AI44" s="11">
        <f>AI43/AH41</f>
        <v>0</v>
      </c>
      <c r="AJ44" s="30">
        <v>0</v>
      </c>
      <c r="AK44" s="30">
        <v>0</v>
      </c>
      <c r="AL44" s="30">
        <v>0</v>
      </c>
      <c r="AM44" s="30">
        <v>0</v>
      </c>
      <c r="AN44" s="30">
        <v>0</v>
      </c>
      <c r="AO44" s="30">
        <v>0</v>
      </c>
      <c r="AP44" s="30">
        <v>0</v>
      </c>
    </row>
    <row r="45" spans="1:42" s="1" customFormat="1" x14ac:dyDescent="0.3">
      <c r="A45" t="s">
        <v>139</v>
      </c>
      <c r="B45" s="11"/>
      <c r="C45" s="11"/>
      <c r="D45" s="11"/>
      <c r="E45" s="11"/>
      <c r="F45" s="11"/>
      <c r="G45" s="11"/>
      <c r="H45" s="11"/>
      <c r="I45" s="11"/>
      <c r="J45" s="11"/>
      <c r="K45" s="19"/>
      <c r="L45" s="11"/>
      <c r="M45" s="19">
        <v>1.8</v>
      </c>
      <c r="O45" s="19">
        <f>O46*M41</f>
        <v>5.0000000000000001E-4</v>
      </c>
      <c r="Q45" s="19">
        <f>Q46*O41</f>
        <v>5.0500000000000002E-4</v>
      </c>
      <c r="S45" s="19">
        <f>S46*Q41</f>
        <v>5.1005000000000006E-4</v>
      </c>
      <c r="U45" s="19">
        <f>U46*S41</f>
        <v>5.1515050000000009E-4</v>
      </c>
      <c r="W45" s="19">
        <f>W46*U41</f>
        <v>5.2030200500000014E-4</v>
      </c>
      <c r="Y45" s="19">
        <f>Y46*W41</f>
        <v>5.2550502505000016E-4</v>
      </c>
      <c r="AF45" s="11"/>
      <c r="AG45" s="19"/>
      <c r="AH45" s="19"/>
      <c r="AI45" s="19">
        <v>0.1</v>
      </c>
      <c r="AJ45" s="19">
        <f t="shared" ref="AJ45:AP45" si="30">AJ46*AI41</f>
        <v>1E-3</v>
      </c>
      <c r="AK45" s="19">
        <f t="shared" si="30"/>
        <v>1.01E-3</v>
      </c>
      <c r="AL45" s="19">
        <f t="shared" si="30"/>
        <v>1.0201000000000001E-3</v>
      </c>
      <c r="AM45" s="19">
        <f t="shared" si="30"/>
        <v>1.0303010000000002E-3</v>
      </c>
      <c r="AN45" s="19">
        <f t="shared" si="30"/>
        <v>1.0406040100000003E-3</v>
      </c>
      <c r="AO45" s="19">
        <f t="shared" si="30"/>
        <v>1.0510100501000003E-3</v>
      </c>
      <c r="AP45" s="19">
        <f t="shared" si="30"/>
        <v>1.0615201506010002E-3</v>
      </c>
    </row>
    <row r="46" spans="1:42" s="1" customFormat="1" x14ac:dyDescent="0.3">
      <c r="A46" s="20" t="s">
        <v>160</v>
      </c>
      <c r="B46" s="11"/>
      <c r="C46" s="11"/>
      <c r="D46" s="11"/>
      <c r="E46" s="11"/>
      <c r="F46" s="11"/>
      <c r="G46" s="15" t="str">
        <f t="shared" ref="G46:L46" si="31">IFERROR(G45/E41,"-")</f>
        <v>-</v>
      </c>
      <c r="H46" s="15" t="str">
        <f t="shared" si="31"/>
        <v>-</v>
      </c>
      <c r="I46" s="15" t="str">
        <f t="shared" si="31"/>
        <v>-</v>
      </c>
      <c r="J46" s="15" t="str">
        <f t="shared" si="31"/>
        <v>-</v>
      </c>
      <c r="K46" s="15" t="str">
        <f t="shared" si="31"/>
        <v>-</v>
      </c>
      <c r="L46" s="15" t="str">
        <f t="shared" si="31"/>
        <v>-</v>
      </c>
      <c r="M46" s="15" t="str">
        <f>IFERROR(M45/K41,"-")</f>
        <v>-</v>
      </c>
      <c r="O46" s="31">
        <v>5.0000000000000001E-3</v>
      </c>
      <c r="Q46" s="31">
        <v>5.0000000000000001E-3</v>
      </c>
      <c r="S46" s="31">
        <v>5.0000000000000001E-3</v>
      </c>
      <c r="U46" s="31">
        <v>5.0000000000000001E-3</v>
      </c>
      <c r="W46" s="31">
        <v>5.0000000000000001E-3</v>
      </c>
      <c r="Y46" s="31">
        <v>5.0000000000000001E-3</v>
      </c>
      <c r="AF46" s="11"/>
      <c r="AG46" s="11"/>
      <c r="AH46" s="11"/>
      <c r="AI46" s="11">
        <f>AI45/AH41</f>
        <v>1</v>
      </c>
      <c r="AJ46" s="31">
        <v>5.0000000000000001E-3</v>
      </c>
      <c r="AK46" s="31">
        <v>5.0000000000000001E-3</v>
      </c>
      <c r="AL46" s="31">
        <v>5.0000000000000001E-3</v>
      </c>
      <c r="AM46" s="31">
        <v>5.0000000000000001E-3</v>
      </c>
      <c r="AN46" s="31">
        <v>5.0000000000000001E-3</v>
      </c>
      <c r="AO46" s="31">
        <v>5.0000000000000001E-3</v>
      </c>
      <c r="AP46" s="31">
        <v>5.0000000000000001E-3</v>
      </c>
    </row>
    <row r="47" spans="1:42" s="1" customFormat="1" x14ac:dyDescent="0.3">
      <c r="A47" t="s">
        <v>158</v>
      </c>
      <c r="B47" s="11"/>
      <c r="C47" s="11"/>
      <c r="D47" s="11"/>
      <c r="E47" s="11"/>
      <c r="F47" s="11"/>
      <c r="G47" s="11"/>
      <c r="H47" s="11"/>
      <c r="I47" s="11"/>
      <c r="J47" s="11"/>
      <c r="K47" s="19"/>
      <c r="L47" s="11"/>
      <c r="M47" s="19">
        <v>0.4</v>
      </c>
      <c r="O47" s="19">
        <f>O48*M41</f>
        <v>5.0000000000000001E-4</v>
      </c>
      <c r="Q47" s="19">
        <f>Q48*O41</f>
        <v>5.0500000000000002E-4</v>
      </c>
      <c r="S47" s="19">
        <f>S48*Q41</f>
        <v>5.1005000000000006E-4</v>
      </c>
      <c r="U47" s="19">
        <f>U48*S41</f>
        <v>5.1515050000000009E-4</v>
      </c>
      <c r="W47" s="19">
        <f>W48*U41</f>
        <v>5.2030200500000014E-4</v>
      </c>
      <c r="Y47" s="19">
        <f>Y48*W41</f>
        <v>5.2550502505000016E-4</v>
      </c>
      <c r="AF47" s="11"/>
      <c r="AG47" s="19"/>
      <c r="AH47" s="19"/>
      <c r="AI47" s="19">
        <v>0</v>
      </c>
      <c r="AJ47" s="19">
        <f t="shared" ref="AJ47:AP47" si="32">AJ48*AI41</f>
        <v>1E-3</v>
      </c>
      <c r="AK47" s="19">
        <f t="shared" si="32"/>
        <v>1.01E-3</v>
      </c>
      <c r="AL47" s="19">
        <f t="shared" si="32"/>
        <v>1.0201000000000001E-3</v>
      </c>
      <c r="AM47" s="19">
        <f t="shared" si="32"/>
        <v>1.0303010000000002E-3</v>
      </c>
      <c r="AN47" s="19">
        <f t="shared" si="32"/>
        <v>1.0406040100000003E-3</v>
      </c>
      <c r="AO47" s="19">
        <f t="shared" si="32"/>
        <v>1.0510100501000003E-3</v>
      </c>
      <c r="AP47" s="19">
        <f t="shared" si="32"/>
        <v>1.0615201506010002E-3</v>
      </c>
    </row>
    <row r="48" spans="1:42" s="1" customFormat="1" x14ac:dyDescent="0.3">
      <c r="A48" s="20" t="s">
        <v>161</v>
      </c>
      <c r="B48" s="11"/>
      <c r="C48" s="11"/>
      <c r="D48" s="11"/>
      <c r="E48" s="11"/>
      <c r="F48" s="11"/>
      <c r="G48" s="15" t="str">
        <f t="shared" ref="G48:L48" si="33">IFERROR(G47/E41,"-")</f>
        <v>-</v>
      </c>
      <c r="H48" s="15" t="str">
        <f t="shared" si="33"/>
        <v>-</v>
      </c>
      <c r="I48" s="15" t="str">
        <f t="shared" si="33"/>
        <v>-</v>
      </c>
      <c r="J48" s="15" t="str">
        <f t="shared" si="33"/>
        <v>-</v>
      </c>
      <c r="K48" s="15" t="str">
        <f t="shared" si="33"/>
        <v>-</v>
      </c>
      <c r="L48" s="15" t="str">
        <f t="shared" si="33"/>
        <v>-</v>
      </c>
      <c r="M48" s="15" t="str">
        <f>IFERROR(M47/K41,"-")</f>
        <v>-</v>
      </c>
      <c r="O48" s="31">
        <v>5.0000000000000001E-3</v>
      </c>
      <c r="Q48" s="31">
        <v>5.0000000000000001E-3</v>
      </c>
      <c r="S48" s="31">
        <v>5.0000000000000001E-3</v>
      </c>
      <c r="U48" s="31">
        <v>5.0000000000000001E-3</v>
      </c>
      <c r="W48" s="31">
        <v>5.0000000000000001E-3</v>
      </c>
      <c r="Y48" s="31">
        <v>5.0000000000000001E-3</v>
      </c>
      <c r="AF48" s="11"/>
      <c r="AG48" s="11"/>
      <c r="AH48" s="11"/>
      <c r="AI48" s="11">
        <v>0.624</v>
      </c>
      <c r="AJ48" s="31">
        <v>5.0000000000000001E-3</v>
      </c>
      <c r="AK48" s="31">
        <v>5.0000000000000001E-3</v>
      </c>
      <c r="AL48" s="31">
        <v>5.0000000000000001E-3</v>
      </c>
      <c r="AM48" s="31">
        <v>5.0000000000000001E-3</v>
      </c>
      <c r="AN48" s="31">
        <v>5.0000000000000001E-3</v>
      </c>
      <c r="AO48" s="31">
        <v>5.0000000000000001E-3</v>
      </c>
      <c r="AP48" s="31">
        <v>5.0000000000000001E-3</v>
      </c>
    </row>
    <row r="49" spans="1:42" s="1" customFormat="1" x14ac:dyDescent="0.3">
      <c r="A49" s="20"/>
      <c r="B49" s="11"/>
      <c r="C49" s="11"/>
      <c r="D49" s="11"/>
      <c r="E49" s="11"/>
      <c r="F49" s="11"/>
      <c r="G49" s="11"/>
      <c r="H49" s="11"/>
      <c r="I49" s="11"/>
      <c r="J49" s="11"/>
      <c r="K49" s="19"/>
      <c r="L49" s="11"/>
      <c r="M49" s="19"/>
      <c r="AF49" s="11"/>
      <c r="AG49" s="11"/>
      <c r="AH49" s="11"/>
      <c r="AI49" s="11"/>
    </row>
    <row r="50" spans="1:42" s="1" customFormat="1" x14ac:dyDescent="0.3">
      <c r="A50" s="20"/>
      <c r="B50" s="11"/>
      <c r="C50" s="11"/>
      <c r="D50" s="11"/>
      <c r="E50" s="11"/>
      <c r="F50" s="11"/>
      <c r="G50" s="11"/>
      <c r="H50" s="11"/>
      <c r="I50" s="11"/>
      <c r="J50" s="11"/>
      <c r="K50" s="19"/>
      <c r="L50" s="11"/>
      <c r="M50" s="19"/>
      <c r="AF50" s="11"/>
      <c r="AG50" s="11"/>
      <c r="AH50" s="11"/>
      <c r="AI50" s="11"/>
    </row>
    <row r="51" spans="1:42" s="1" customFormat="1" x14ac:dyDescent="0.3">
      <c r="A51" s="20" t="s">
        <v>169</v>
      </c>
      <c r="B51" s="11"/>
      <c r="C51" s="11"/>
      <c r="D51" s="11"/>
      <c r="E51" s="19"/>
      <c r="F51" s="19"/>
      <c r="G51" s="19">
        <v>24.5</v>
      </c>
      <c r="H51" s="11"/>
      <c r="I51" s="19">
        <v>25.3</v>
      </c>
      <c r="J51" s="11"/>
      <c r="K51" s="21">
        <f>K22+K31+K41</f>
        <v>24.200000000000003</v>
      </c>
      <c r="L51" s="11"/>
      <c r="M51" s="21">
        <f>M22+M31+M41</f>
        <v>22.400000000000002</v>
      </c>
      <c r="O51" s="19">
        <f>O22+O31+O41</f>
        <v>22.557099999999998</v>
      </c>
      <c r="Q51" s="19">
        <f>Q22+Q31+Q41</f>
        <v>22.715302699999999</v>
      </c>
      <c r="S51" s="19">
        <f>S22+S31+S41</f>
        <v>22.8746158489</v>
      </c>
      <c r="U51" s="19">
        <f>U22+U31+U41</f>
        <v>23.035047250142302</v>
      </c>
      <c r="W51" s="19">
        <f>W22+W31+W41</f>
        <v>23.196604762096293</v>
      </c>
      <c r="Y51" s="19">
        <f>Y22+Y31+Y41</f>
        <v>23.359296298445997</v>
      </c>
      <c r="AF51" s="11"/>
      <c r="AG51" s="19"/>
      <c r="AH51" s="19">
        <v>50.8</v>
      </c>
      <c r="AI51" s="19">
        <v>49.4</v>
      </c>
      <c r="AJ51" s="19">
        <f t="shared" ref="AJ51:AP51" si="34">AJ22+AJ31+AJ41</f>
        <v>49.847099999999998</v>
      </c>
      <c r="AK51" s="19">
        <f t="shared" si="34"/>
        <v>50.196635700000002</v>
      </c>
      <c r="AL51" s="19">
        <f t="shared" si="34"/>
        <v>50.548624209900005</v>
      </c>
      <c r="AM51" s="19">
        <f t="shared" si="34"/>
        <v>50.903082759969301</v>
      </c>
      <c r="AN51" s="19">
        <f t="shared" si="34"/>
        <v>51.260028701695084</v>
      </c>
      <c r="AO51" s="19">
        <f t="shared" si="34"/>
        <v>51.619479508637014</v>
      </c>
      <c r="AP51" s="19">
        <f t="shared" si="34"/>
        <v>51.981452777287828</v>
      </c>
    </row>
    <row r="52" spans="1:42" s="1" customFormat="1" x14ac:dyDescent="0.3">
      <c r="A52" s="20"/>
      <c r="B52" s="11"/>
      <c r="C52" s="11"/>
      <c r="D52" s="11"/>
      <c r="E52" s="11"/>
      <c r="F52" s="11"/>
      <c r="G52" s="15" t="str">
        <f t="shared" ref="G52:L52" si="35">IFERROR(G51/E51-1, "-")</f>
        <v>-</v>
      </c>
      <c r="H52" s="15" t="str">
        <f t="shared" si="35"/>
        <v>-</v>
      </c>
      <c r="I52" s="15">
        <f t="shared" si="35"/>
        <v>3.2653061224489743E-2</v>
      </c>
      <c r="J52" s="15" t="str">
        <f t="shared" si="35"/>
        <v>-</v>
      </c>
      <c r="K52" s="15">
        <f t="shared" si="35"/>
        <v>-4.3478260869565077E-2</v>
      </c>
      <c r="L52" s="15" t="str">
        <f t="shared" si="35"/>
        <v>-</v>
      </c>
      <c r="M52" s="15">
        <f>IFERROR(M51/K51-1, "-")</f>
        <v>-7.4380165289256173E-2</v>
      </c>
      <c r="AF52" s="11"/>
      <c r="AG52" s="11"/>
      <c r="AH52" s="11"/>
      <c r="AI52" s="11"/>
    </row>
    <row r="53" spans="1:42" s="1" customFormat="1" x14ac:dyDescent="0.3">
      <c r="A53" s="27" t="s">
        <v>138</v>
      </c>
      <c r="B53" s="11"/>
      <c r="C53" s="11"/>
      <c r="D53" s="11"/>
      <c r="E53" s="19"/>
      <c r="F53" s="19"/>
      <c r="G53" s="19"/>
      <c r="H53" s="19"/>
      <c r="I53" s="19">
        <v>0</v>
      </c>
      <c r="J53" s="11"/>
      <c r="K53" s="19">
        <v>0</v>
      </c>
      <c r="L53" s="11"/>
      <c r="M53" s="19">
        <v>0</v>
      </c>
      <c r="O53" s="19">
        <f>O24+O33+O43</f>
        <v>0</v>
      </c>
      <c r="Q53" s="19">
        <f>Q24+Q33+Q43</f>
        <v>0</v>
      </c>
      <c r="S53" s="19">
        <f>S24+S33+S43</f>
        <v>0</v>
      </c>
      <c r="U53" s="19">
        <f>U24+U33+U43</f>
        <v>0</v>
      </c>
      <c r="W53" s="19">
        <f>W24+W33+W43</f>
        <v>0</v>
      </c>
      <c r="Y53" s="19">
        <f>Y24+Y33+Y43</f>
        <v>0</v>
      </c>
      <c r="AF53" s="11"/>
      <c r="AG53" s="19"/>
      <c r="AH53" s="19"/>
      <c r="AI53" s="19">
        <v>0</v>
      </c>
      <c r="AJ53" s="19">
        <f t="shared" ref="AJ53:AP53" si="36">AJ24+AJ33+AJ43</f>
        <v>0</v>
      </c>
      <c r="AK53" s="19">
        <f t="shared" si="36"/>
        <v>0</v>
      </c>
      <c r="AL53" s="19">
        <f t="shared" si="36"/>
        <v>0</v>
      </c>
      <c r="AM53" s="19">
        <f t="shared" si="36"/>
        <v>0</v>
      </c>
      <c r="AN53" s="19">
        <f t="shared" si="36"/>
        <v>0</v>
      </c>
      <c r="AO53" s="19">
        <f t="shared" si="36"/>
        <v>0</v>
      </c>
      <c r="AP53" s="19">
        <f t="shared" si="36"/>
        <v>0</v>
      </c>
    </row>
    <row r="54" spans="1:42" s="1" customFormat="1" x14ac:dyDescent="0.3">
      <c r="A54" s="20" t="s">
        <v>159</v>
      </c>
      <c r="B54" s="11"/>
      <c r="C54" s="11"/>
      <c r="D54" s="11"/>
      <c r="E54" s="11"/>
      <c r="F54" s="11"/>
      <c r="G54" s="15" t="str">
        <f t="shared" ref="G54:L54" si="37">IFERROR(G53/E51,"-")</f>
        <v>-</v>
      </c>
      <c r="H54" s="15" t="str">
        <f t="shared" si="37"/>
        <v>-</v>
      </c>
      <c r="I54" s="15">
        <f t="shared" si="37"/>
        <v>0</v>
      </c>
      <c r="J54" s="15" t="str">
        <f t="shared" si="37"/>
        <v>-</v>
      </c>
      <c r="K54" s="15">
        <f t="shared" si="37"/>
        <v>0</v>
      </c>
      <c r="L54" s="15" t="str">
        <f t="shared" si="37"/>
        <v>-</v>
      </c>
      <c r="M54" s="15">
        <f>IFERROR(M53/K51,"-")</f>
        <v>0</v>
      </c>
      <c r="O54" s="11">
        <f>O53/M51</f>
        <v>0</v>
      </c>
      <c r="Q54" s="11">
        <f>Q53/O51</f>
        <v>0</v>
      </c>
      <c r="S54" s="11">
        <f>S53/Q51</f>
        <v>0</v>
      </c>
      <c r="U54" s="11">
        <f>U53/S51</f>
        <v>0</v>
      </c>
      <c r="W54" s="11">
        <f>W53/U51</f>
        <v>0</v>
      </c>
      <c r="Y54" s="11">
        <f>Y53/W51</f>
        <v>0</v>
      </c>
      <c r="AF54" s="11"/>
      <c r="AG54" s="11"/>
      <c r="AH54" s="11"/>
      <c r="AI54" s="11">
        <f t="shared" ref="AI54:AP54" si="38">AI53/AH51</f>
        <v>0</v>
      </c>
      <c r="AJ54" s="11">
        <f t="shared" si="38"/>
        <v>0</v>
      </c>
      <c r="AK54" s="11">
        <f t="shared" si="38"/>
        <v>0</v>
      </c>
      <c r="AL54" s="11">
        <f t="shared" si="38"/>
        <v>0</v>
      </c>
      <c r="AM54" s="11">
        <f t="shared" si="38"/>
        <v>0</v>
      </c>
      <c r="AN54" s="11">
        <f t="shared" si="38"/>
        <v>0</v>
      </c>
      <c r="AO54" s="11">
        <f t="shared" si="38"/>
        <v>0</v>
      </c>
      <c r="AP54" s="11">
        <f t="shared" si="38"/>
        <v>0</v>
      </c>
    </row>
    <row r="55" spans="1:42" s="1" customFormat="1" x14ac:dyDescent="0.3">
      <c r="A55" t="s">
        <v>139</v>
      </c>
      <c r="B55" s="11"/>
      <c r="C55" s="11"/>
      <c r="D55" s="11"/>
      <c r="E55" s="19"/>
      <c r="F55" s="19"/>
      <c r="G55" s="19"/>
      <c r="H55" s="19"/>
      <c r="I55" s="19">
        <v>-0.2</v>
      </c>
      <c r="J55" s="11"/>
      <c r="K55" s="19">
        <v>0.5</v>
      </c>
      <c r="L55" s="11"/>
      <c r="M55" s="19">
        <v>-2.6</v>
      </c>
      <c r="O55" s="19">
        <f>O26+O35+O45</f>
        <v>8.8599999999999998E-2</v>
      </c>
      <c r="Q55" s="19">
        <f>Q26+Q35+Q45</f>
        <v>8.9221700000000015E-2</v>
      </c>
      <c r="S55" s="19">
        <f>S26+S35+S45</f>
        <v>8.9847766900000001E-2</v>
      </c>
      <c r="U55" s="19">
        <f>U26+U35+U45</f>
        <v>9.0478231418299998E-2</v>
      </c>
      <c r="W55" s="19">
        <f>W26+W35+W45</f>
        <v>9.1113124489728095E-2</v>
      </c>
      <c r="Y55" s="19">
        <f>Y26+Y35+Y45</f>
        <v>9.1752477267171201E-2</v>
      </c>
      <c r="AF55" s="11"/>
      <c r="AG55" s="19"/>
      <c r="AH55" s="19"/>
      <c r="AI55" s="19">
        <v>1.5</v>
      </c>
      <c r="AJ55" s="19">
        <f t="shared" ref="AJ55:AP55" si="39">AJ26+AJ35+AJ45</f>
        <v>0.20399999999999999</v>
      </c>
      <c r="AK55" s="19">
        <f t="shared" si="39"/>
        <v>0.205431</v>
      </c>
      <c r="AL55" s="19">
        <f t="shared" si="39"/>
        <v>0.206872047</v>
      </c>
      <c r="AM55" s="19">
        <f t="shared" si="39"/>
        <v>0.20832321162900003</v>
      </c>
      <c r="AN55" s="19">
        <f t="shared" si="39"/>
        <v>0.20978456501340301</v>
      </c>
      <c r="AO55" s="19">
        <f t="shared" si="39"/>
        <v>0.21125617878052683</v>
      </c>
      <c r="AP55" s="19">
        <f t="shared" si="39"/>
        <v>0.21273812506214085</v>
      </c>
    </row>
    <row r="56" spans="1:42" s="1" customFormat="1" x14ac:dyDescent="0.3">
      <c r="A56" s="20" t="s">
        <v>160</v>
      </c>
      <c r="B56" s="11"/>
      <c r="C56" s="11"/>
      <c r="D56" s="11"/>
      <c r="E56" s="11"/>
      <c r="F56" s="11"/>
      <c r="G56" s="15" t="str">
        <f t="shared" ref="G56:L56" si="40">IFERROR(G55/E51,"-")</f>
        <v>-</v>
      </c>
      <c r="H56" s="15" t="str">
        <f t="shared" si="40"/>
        <v>-</v>
      </c>
      <c r="I56" s="15">
        <f t="shared" si="40"/>
        <v>-8.1632653061224497E-3</v>
      </c>
      <c r="J56" s="15" t="str">
        <f t="shared" si="40"/>
        <v>-</v>
      </c>
      <c r="K56" s="15">
        <f t="shared" si="40"/>
        <v>1.9762845849802372E-2</v>
      </c>
      <c r="L56" s="15" t="str">
        <f t="shared" si="40"/>
        <v>-</v>
      </c>
      <c r="M56" s="15">
        <f>IFERROR(M55/K51,"-")</f>
        <v>-0.10743801652892561</v>
      </c>
      <c r="O56" s="11">
        <f>O55/M51</f>
        <v>3.9553571428571424E-3</v>
      </c>
      <c r="Q56" s="11">
        <f>Q55/O51</f>
        <v>3.9553710361704304E-3</v>
      </c>
      <c r="S56" s="11">
        <f>S55/Q51</f>
        <v>3.955384970502727E-3</v>
      </c>
      <c r="U56" s="11">
        <f>U55/S51</f>
        <v>3.9553989459740341E-3</v>
      </c>
      <c r="W56" s="11">
        <f>W55/U51</f>
        <v>3.9554129627046991E-3</v>
      </c>
      <c r="Y56" s="11">
        <f>Y55/W51</f>
        <v>3.9554270208154146E-3</v>
      </c>
      <c r="AF56" s="11"/>
      <c r="AG56" s="11"/>
      <c r="AH56" s="11"/>
      <c r="AI56" s="11">
        <f t="shared" ref="AI56:AP56" si="41">AI55/AH51</f>
        <v>2.9527559055118113E-2</v>
      </c>
      <c r="AJ56" s="11">
        <f t="shared" si="41"/>
        <v>4.1295546558704453E-3</v>
      </c>
      <c r="AK56" s="11">
        <f t="shared" si="41"/>
        <v>4.1212226990135839E-3</v>
      </c>
      <c r="AL56" s="11">
        <f t="shared" si="41"/>
        <v>4.1212333080720785E-3</v>
      </c>
      <c r="AM56" s="11">
        <f t="shared" si="41"/>
        <v>4.1212439484792085E-3</v>
      </c>
      <c r="AN56" s="11">
        <f t="shared" si="41"/>
        <v>4.1212546203268398E-3</v>
      </c>
      <c r="AO56" s="11">
        <f t="shared" si="41"/>
        <v>4.1212653237071035E-3</v>
      </c>
      <c r="AP56" s="11">
        <f t="shared" si="41"/>
        <v>4.1212760587123962E-3</v>
      </c>
    </row>
    <row r="57" spans="1:42" s="1" customFormat="1" x14ac:dyDescent="0.3">
      <c r="A57" t="s">
        <v>158</v>
      </c>
      <c r="B57" s="11"/>
      <c r="C57" s="11"/>
      <c r="D57" s="11"/>
      <c r="E57" s="19"/>
      <c r="F57" s="19"/>
      <c r="G57" s="19"/>
      <c r="H57" s="19"/>
      <c r="I57" s="19">
        <v>1</v>
      </c>
      <c r="J57" s="11"/>
      <c r="K57" s="19">
        <v>-1.6</v>
      </c>
      <c r="L57" s="11"/>
      <c r="M57" s="19">
        <v>0.7</v>
      </c>
      <c r="O57" s="19">
        <f>O28+O37+O47</f>
        <v>6.8500000000000005E-2</v>
      </c>
      <c r="Q57" s="19">
        <f>Q28+Q37+Q47</f>
        <v>6.8981000000000001E-2</v>
      </c>
      <c r="S57" s="19">
        <f>S28+S37+S47</f>
        <v>6.9465381999999992E-2</v>
      </c>
      <c r="U57" s="19">
        <f>U28+U37+U47</f>
        <v>6.9953169824000003E-2</v>
      </c>
      <c r="W57" s="19">
        <f>W28+W37+W47</f>
        <v>7.0444387464267996E-2</v>
      </c>
      <c r="Y57" s="19">
        <f>Y28+Y37+Y47</f>
        <v>7.0939059082532868E-2</v>
      </c>
      <c r="AF57" s="11"/>
      <c r="AG57" s="19"/>
      <c r="AH57" s="19"/>
      <c r="AI57" s="19">
        <v>-2.8</v>
      </c>
      <c r="AJ57" s="19">
        <f t="shared" ref="AJ57:AP57" si="42">AJ28+AJ37+AJ47</f>
        <v>0.1431</v>
      </c>
      <c r="AK57" s="19">
        <f t="shared" si="42"/>
        <v>0.14410470000000003</v>
      </c>
      <c r="AL57" s="19">
        <f t="shared" si="42"/>
        <v>0.14511646289999999</v>
      </c>
      <c r="AM57" s="19">
        <f t="shared" si="42"/>
        <v>0.14613533844030002</v>
      </c>
      <c r="AN57" s="19">
        <f t="shared" si="42"/>
        <v>0.14716137671238211</v>
      </c>
      <c r="AO57" s="19">
        <f t="shared" si="42"/>
        <v>0.14819462816139878</v>
      </c>
      <c r="AP57" s="19">
        <f t="shared" si="42"/>
        <v>0.1492351435886789</v>
      </c>
    </row>
    <row r="58" spans="1:42" s="1" customFormat="1" x14ac:dyDescent="0.3">
      <c r="A58" s="20" t="s">
        <v>161</v>
      </c>
      <c r="B58" s="11"/>
      <c r="C58" s="11"/>
      <c r="D58" s="11"/>
      <c r="E58" s="11"/>
      <c r="F58" s="11"/>
      <c r="G58" s="15" t="str">
        <f t="shared" ref="G58:L58" si="43">IFERROR(G57/E51,"-")</f>
        <v>-</v>
      </c>
      <c r="H58" s="15" t="str">
        <f t="shared" si="43"/>
        <v>-</v>
      </c>
      <c r="I58" s="15">
        <f t="shared" si="43"/>
        <v>4.0816326530612242E-2</v>
      </c>
      <c r="J58" s="15" t="str">
        <f t="shared" si="43"/>
        <v>-</v>
      </c>
      <c r="K58" s="15">
        <f t="shared" si="43"/>
        <v>-6.3241106719367585E-2</v>
      </c>
      <c r="L58" s="15" t="str">
        <f t="shared" si="43"/>
        <v>-</v>
      </c>
      <c r="M58" s="15">
        <f>IFERROR(M57/K51,"-")</f>
        <v>2.8925619834710738E-2</v>
      </c>
      <c r="O58" s="11">
        <f>O57/M51</f>
        <v>3.0580357142857141E-3</v>
      </c>
      <c r="Q58" s="11">
        <f>Q57/O51</f>
        <v>3.0580615415988759E-3</v>
      </c>
      <c r="S58" s="11">
        <f>S57/Q51</f>
        <v>3.0580874451653244E-3</v>
      </c>
      <c r="U58" s="11">
        <f>U57/S51</f>
        <v>3.0581134252081407E-3</v>
      </c>
      <c r="W58" s="11">
        <f>W57/U51</f>
        <v>3.0581394819510438E-3</v>
      </c>
      <c r="Y58" s="11">
        <f>Y57/W51</f>
        <v>3.0581656156183977E-3</v>
      </c>
      <c r="AF58" s="11"/>
      <c r="AG58" s="11"/>
      <c r="AH58" s="11"/>
      <c r="AI58" s="11">
        <f t="shared" ref="AI58:AP58" si="44">AI57/AH51</f>
        <v>-5.5118110236220472E-2</v>
      </c>
      <c r="AJ58" s="11">
        <f t="shared" si="44"/>
        <v>2.896761133603239E-3</v>
      </c>
      <c r="AK58" s="11">
        <f t="shared" si="44"/>
        <v>2.8909344776326014E-3</v>
      </c>
      <c r="AL58" s="11">
        <f t="shared" si="44"/>
        <v>2.8909599393729885E-3</v>
      </c>
      <c r="AM58" s="11">
        <f t="shared" si="44"/>
        <v>2.8909854763501013E-3</v>
      </c>
      <c r="AN58" s="11">
        <f t="shared" si="44"/>
        <v>2.8910110887844166E-3</v>
      </c>
      <c r="AO58" s="11">
        <f t="shared" si="44"/>
        <v>2.8910367768970489E-3</v>
      </c>
      <c r="AP58" s="11">
        <f t="shared" si="44"/>
        <v>2.8910625409097499E-3</v>
      </c>
    </row>
    <row r="59" spans="1:42" s="1" customFormat="1" x14ac:dyDescent="0.3">
      <c r="A59" s="20"/>
      <c r="B59" s="11"/>
      <c r="C59" s="11"/>
      <c r="D59" s="11"/>
      <c r="E59" s="11"/>
      <c r="F59" s="11"/>
      <c r="G59" s="11"/>
      <c r="H59" s="11"/>
      <c r="I59" s="11"/>
      <c r="J59" s="11"/>
      <c r="K59" s="19"/>
      <c r="L59" s="11"/>
      <c r="M59" s="19"/>
      <c r="AF59" s="11"/>
      <c r="AG59" s="11"/>
      <c r="AH59" s="11"/>
      <c r="AI59" s="11"/>
    </row>
    <row r="60" spans="1:42" s="1" customFormat="1" x14ac:dyDescent="0.3">
      <c r="A60" s="20" t="s">
        <v>167</v>
      </c>
      <c r="B60" s="11"/>
      <c r="C60" s="11"/>
      <c r="D60" s="11"/>
      <c r="E60" s="21"/>
      <c r="F60" s="21"/>
      <c r="G60" s="21">
        <v>1.1000000000000001</v>
      </c>
      <c r="H60" s="11"/>
      <c r="I60" s="21">
        <v>1.1000000000000001</v>
      </c>
      <c r="J60" s="11"/>
      <c r="K60" s="21">
        <v>1.2</v>
      </c>
      <c r="L60" s="11"/>
      <c r="M60" s="21">
        <v>0.7</v>
      </c>
      <c r="AF60" s="11"/>
      <c r="AG60" s="21"/>
      <c r="AH60" s="21">
        <v>2.5</v>
      </c>
      <c r="AI60" s="21">
        <v>2.4</v>
      </c>
    </row>
    <row r="61" spans="1:42" s="1" customFormat="1" x14ac:dyDescent="0.3">
      <c r="A61" s="20"/>
      <c r="B61" s="11"/>
      <c r="C61" s="11"/>
      <c r="D61" s="11"/>
      <c r="E61" s="11"/>
      <c r="F61" s="11"/>
      <c r="G61" s="11"/>
      <c r="H61" s="11"/>
      <c r="I61" s="21"/>
      <c r="J61" s="11"/>
      <c r="K61" s="21"/>
      <c r="L61" s="11"/>
      <c r="M61" s="21"/>
      <c r="AF61" s="11"/>
      <c r="AG61" s="11"/>
      <c r="AH61" s="11"/>
      <c r="AI61" s="11"/>
    </row>
    <row r="62" spans="1:42" s="1" customFormat="1" x14ac:dyDescent="0.3">
      <c r="A62" s="20" t="s">
        <v>168</v>
      </c>
      <c r="B62" s="11"/>
      <c r="C62" s="11"/>
      <c r="D62" s="11"/>
      <c r="E62" s="21"/>
      <c r="F62" s="21"/>
      <c r="G62" s="21">
        <v>20.399999999999999</v>
      </c>
      <c r="H62" s="11"/>
      <c r="I62" s="21">
        <v>21</v>
      </c>
      <c r="J62" s="11"/>
      <c r="K62" s="21">
        <v>19.899999999999999</v>
      </c>
      <c r="L62" s="11"/>
      <c r="M62" s="21">
        <v>15.4</v>
      </c>
      <c r="AF62" s="11"/>
      <c r="AG62" s="21"/>
      <c r="AH62" s="21">
        <v>42.2</v>
      </c>
      <c r="AI62" s="21">
        <v>37.700000000000003</v>
      </c>
    </row>
    <row r="63" spans="1:42" s="1" customFormat="1" x14ac:dyDescent="0.3">
      <c r="A63" s="20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AF63" s="11"/>
      <c r="AG63" s="11"/>
      <c r="AH63" s="11"/>
      <c r="AI63" s="11"/>
    </row>
    <row r="65" spans="1:35" x14ac:dyDescent="0.3">
      <c r="A65" s="3"/>
    </row>
    <row r="66" spans="1:35" x14ac:dyDescent="0.3">
      <c r="A66" s="3"/>
      <c r="M66" s="22">
        <f>M8+M10+M12-M18</f>
        <v>-2.6650406504069579E-4</v>
      </c>
    </row>
    <row r="67" spans="1:35" x14ac:dyDescent="0.3">
      <c r="A67" s="3"/>
    </row>
    <row r="68" spans="1:35" x14ac:dyDescent="0.3">
      <c r="M68" s="12"/>
    </row>
    <row r="69" spans="1:35" x14ac:dyDescent="0.3">
      <c r="A69" s="3"/>
    </row>
    <row r="70" spans="1:35" s="1" customFormat="1" x14ac:dyDescent="0.3"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AF70" s="11"/>
      <c r="AG70" s="11"/>
      <c r="AH70" s="11"/>
      <c r="AI70" s="11"/>
    </row>
    <row r="72" spans="1:35" x14ac:dyDescent="0.3">
      <c r="A72" s="3"/>
    </row>
    <row r="73" spans="1:35" s="1" customFormat="1" x14ac:dyDescent="0.3"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AF73" s="11"/>
      <c r="AG73" s="11"/>
      <c r="AH73" s="11"/>
      <c r="AI73" s="11"/>
    </row>
    <row r="75" spans="1:35" x14ac:dyDescent="0.3">
      <c r="A75" s="3"/>
    </row>
    <row r="77" spans="1:35" x14ac:dyDescent="0.3">
      <c r="A77" s="3"/>
    </row>
    <row r="78" spans="1:35" x14ac:dyDescent="0.3">
      <c r="A78" s="3"/>
      <c r="M78" s="10"/>
    </row>
    <row r="79" spans="1:35" x14ac:dyDescent="0.3">
      <c r="A79" s="3"/>
    </row>
    <row r="81" spans="1:35" x14ac:dyDescent="0.3">
      <c r="A81" s="3"/>
    </row>
    <row r="82" spans="1:35" s="1" customFormat="1" x14ac:dyDescent="0.3"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AF82" s="11"/>
      <c r="AG82" s="11"/>
      <c r="AH82" s="11"/>
      <c r="AI82" s="11"/>
    </row>
    <row r="84" spans="1:35" x14ac:dyDescent="0.3">
      <c r="A84" s="3"/>
    </row>
    <row r="85" spans="1:35" s="1" customFormat="1" x14ac:dyDescent="0.3"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AF85" s="11"/>
      <c r="AG85" s="11"/>
      <c r="AH85" s="11"/>
      <c r="AI85" s="11"/>
    </row>
    <row r="87" spans="1:35" x14ac:dyDescent="0.3">
      <c r="A87" s="3"/>
    </row>
    <row r="89" spans="1:35" x14ac:dyDescent="0.3">
      <c r="A89" s="3"/>
    </row>
    <row r="90" spans="1:35" x14ac:dyDescent="0.3">
      <c r="A90" s="3"/>
      <c r="M90" s="10"/>
    </row>
    <row r="91" spans="1:35" x14ac:dyDescent="0.3">
      <c r="A91" s="3"/>
    </row>
    <row r="93" spans="1:35" x14ac:dyDescent="0.3">
      <c r="A93" s="3"/>
    </row>
    <row r="94" spans="1:35" s="1" customFormat="1" x14ac:dyDescent="0.3"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AF94" s="11"/>
      <c r="AG94" s="11"/>
      <c r="AH94" s="11"/>
      <c r="AI94" s="11"/>
    </row>
    <row r="96" spans="1:35" x14ac:dyDescent="0.3">
      <c r="A96" s="3"/>
    </row>
    <row r="97" spans="1:35" s="1" customFormat="1" x14ac:dyDescent="0.3"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AF97" s="11"/>
      <c r="AG97" s="11"/>
      <c r="AH97" s="11"/>
      <c r="AI97" s="11"/>
    </row>
    <row r="99" spans="1:35" x14ac:dyDescent="0.3">
      <c r="A99" s="3"/>
    </row>
    <row r="101" spans="1:35" x14ac:dyDescent="0.3">
      <c r="A101" s="3"/>
    </row>
    <row r="102" spans="1:35" x14ac:dyDescent="0.3">
      <c r="A102" s="3"/>
    </row>
    <row r="104" spans="1:35" x14ac:dyDescent="0.3">
      <c r="A104" s="3"/>
    </row>
    <row r="105" spans="1:35" x14ac:dyDescent="0.3">
      <c r="A105" s="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AF105" s="11"/>
      <c r="AG105" s="11"/>
      <c r="AH105" s="11"/>
      <c r="AI105" s="11"/>
    </row>
    <row r="107" spans="1:35" x14ac:dyDescent="0.3">
      <c r="A107" s="3"/>
    </row>
    <row r="108" spans="1:35" x14ac:dyDescent="0.3">
      <c r="A108" s="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AF108" s="11"/>
      <c r="AG108" s="11"/>
      <c r="AH108" s="11"/>
      <c r="AI108" s="11"/>
    </row>
    <row r="110" spans="1:35" x14ac:dyDescent="0.3">
      <c r="A110" s="3"/>
    </row>
    <row r="111" spans="1:35" x14ac:dyDescent="0.3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AF111" s="12"/>
      <c r="AG111" s="12"/>
      <c r="AH111" s="12"/>
      <c r="AI111" s="12"/>
    </row>
    <row r="112" spans="1:35" x14ac:dyDescent="0.3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AF112" s="12"/>
      <c r="AG112" s="12"/>
      <c r="AH112" s="12"/>
      <c r="AI112" s="12"/>
    </row>
    <row r="113" spans="2:42" x14ac:dyDescent="0.3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F113" s="12"/>
      <c r="AG113" s="12"/>
      <c r="AH113" s="12"/>
      <c r="AI113" s="12"/>
      <c r="AJ113" s="14"/>
      <c r="AK113" s="14"/>
      <c r="AL113" s="14"/>
      <c r="AM113" s="14"/>
      <c r="AN113" s="14"/>
      <c r="AO113" s="14"/>
      <c r="AP113" s="14"/>
    </row>
    <row r="114" spans="2:42" x14ac:dyDescent="0.3">
      <c r="K114" s="14"/>
      <c r="M114" s="14"/>
      <c r="AH114" s="14"/>
      <c r="AI114" s="14"/>
    </row>
    <row r="115" spans="2:42" x14ac:dyDescent="0.3">
      <c r="P115" s="10"/>
      <c r="R115" s="10"/>
      <c r="T115" s="10"/>
      <c r="V115" s="10"/>
      <c r="X115" s="10"/>
      <c r="Z115" s="10"/>
    </row>
    <row r="116" spans="2:42" x14ac:dyDescent="0.3">
      <c r="M116" s="11"/>
      <c r="P116" s="10"/>
      <c r="R116" s="10"/>
      <c r="T116" s="10"/>
      <c r="V116" s="10"/>
      <c r="X116" s="10"/>
      <c r="Z116" s="10"/>
      <c r="AI116" s="11"/>
    </row>
    <row r="117" spans="2:42" x14ac:dyDescent="0.3">
      <c r="P117" s="10"/>
      <c r="R117" s="10"/>
      <c r="T117" s="10"/>
      <c r="V117" s="10"/>
      <c r="X117" s="10"/>
      <c r="Z117" s="10"/>
    </row>
    <row r="118" spans="2:42" x14ac:dyDescent="0.3">
      <c r="M118" s="11"/>
      <c r="P118" s="10"/>
      <c r="R118" s="10"/>
      <c r="T118" s="10"/>
      <c r="V118" s="10"/>
      <c r="X118" s="10"/>
      <c r="Z118" s="10"/>
      <c r="AI118" s="11"/>
    </row>
    <row r="120" spans="2:42" x14ac:dyDescent="0.3">
      <c r="M120" s="11"/>
      <c r="AI120" s="11"/>
    </row>
    <row r="121" spans="2:42" x14ac:dyDescent="0.3">
      <c r="M121" s="13"/>
      <c r="AI121" s="13"/>
    </row>
    <row r="122" spans="2:42" x14ac:dyDescent="0.3">
      <c r="M122" s="11"/>
      <c r="O122" s="10"/>
      <c r="Q122" s="10"/>
      <c r="S122" s="10"/>
      <c r="U122" s="10"/>
      <c r="W122" s="10"/>
      <c r="Y122" s="10"/>
      <c r="AI122" s="11"/>
      <c r="AJ122" s="10"/>
      <c r="AK122" s="10"/>
      <c r="AL122" s="10"/>
      <c r="AM122" s="10"/>
      <c r="AN122" s="10"/>
      <c r="AO122" s="10"/>
      <c r="AP122" s="10"/>
    </row>
    <row r="123" spans="2:42" x14ac:dyDescent="0.3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AF123" s="12"/>
      <c r="AG123" s="12"/>
      <c r="AH123" s="12"/>
      <c r="AI123" s="12"/>
    </row>
    <row r="127" spans="2:42" x14ac:dyDescent="0.3">
      <c r="M127" s="10"/>
    </row>
    <row r="128" spans="2:42" x14ac:dyDescent="0.3">
      <c r="M128" s="10"/>
    </row>
    <row r="129" spans="13:13" x14ac:dyDescent="0.3">
      <c r="M129" s="10"/>
    </row>
    <row r="130" spans="13:13" x14ac:dyDescent="0.3">
      <c r="M130" s="10"/>
    </row>
    <row r="131" spans="13:13" x14ac:dyDescent="0.3">
      <c r="M131" s="10"/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A5575-E70B-4507-A77A-552290C6F3A4}">
  <dimension ref="A1:AO131"/>
  <sheetViews>
    <sheetView zoomScale="94" workbookViewId="0">
      <pane xSplit="1" ySplit="1" topLeftCell="I2" activePane="bottomRight" state="frozen"/>
      <selection pane="topRight" activeCell="B1" sqref="B1"/>
      <selection pane="bottomLeft" activeCell="A2" sqref="A2"/>
      <selection pane="bottomRight" activeCell="O1" sqref="O1:Y1048576"/>
    </sheetView>
  </sheetViews>
  <sheetFormatPr defaultRowHeight="14.4" x14ac:dyDescent="0.3"/>
  <cols>
    <col min="1" max="1" width="19" bestFit="1" customWidth="1"/>
    <col min="2" max="4" width="10.5546875" hidden="1" customWidth="1"/>
    <col min="5" max="5" width="9.5546875" hidden="1" customWidth="1"/>
    <col min="6" max="8" width="10.5546875" hidden="1" customWidth="1"/>
    <col min="9" max="9" width="10.5546875" bestFit="1" customWidth="1"/>
    <col min="10" max="10" width="10.5546875" hidden="1" customWidth="1"/>
    <col min="11" max="11" width="9.88671875" bestFit="1" customWidth="1"/>
    <col min="12" max="12" width="10.5546875" hidden="1" customWidth="1"/>
    <col min="13" max="13" width="11.109375" customWidth="1"/>
    <col min="14" max="14" width="9" customWidth="1"/>
    <col min="15" max="15" width="9.88671875" bestFit="1" customWidth="1"/>
    <col min="16" max="16" width="9.88671875" customWidth="1"/>
    <col min="17" max="17" width="9.88671875" bestFit="1" customWidth="1"/>
    <col min="18" max="18" width="9.88671875" customWidth="1"/>
    <col min="19" max="19" width="9.88671875" bestFit="1" customWidth="1"/>
    <col min="20" max="20" width="9.88671875" customWidth="1"/>
    <col min="21" max="21" width="9.88671875" bestFit="1" customWidth="1"/>
    <col min="22" max="22" width="9.88671875" customWidth="1"/>
    <col min="23" max="23" width="9.88671875" bestFit="1" customWidth="1"/>
    <col min="24" max="24" width="9.88671875" customWidth="1"/>
    <col min="25" max="26" width="9.88671875" bestFit="1" customWidth="1"/>
    <col min="31" max="34" width="10.5546875" bestFit="1" customWidth="1"/>
    <col min="35" max="41" width="9.88671875" bestFit="1" customWidth="1"/>
  </cols>
  <sheetData>
    <row r="1" spans="1:41" x14ac:dyDescent="0.3">
      <c r="B1" t="str">
        <f>'Cash Flow Statement'!B1</f>
        <v>H1'19</v>
      </c>
      <c r="C1" t="str">
        <f>'Cash Flow Statement'!C1</f>
        <v>H2'19</v>
      </c>
      <c r="D1" t="str">
        <f>'Cash Flow Statement'!D1</f>
        <v>FY'19</v>
      </c>
      <c r="E1" t="str">
        <f>'Cash Flow Statement'!E1</f>
        <v>H1'20</v>
      </c>
      <c r="F1" t="str">
        <f>'Cash Flow Statement'!F1</f>
        <v>H2'20</v>
      </c>
      <c r="G1" t="str">
        <f>'Cash Flow Statement'!G1</f>
        <v>H1'21</v>
      </c>
      <c r="H1" t="str">
        <f>'Cash Flow Statement'!H1</f>
        <v>H2'21</v>
      </c>
      <c r="I1" t="str">
        <f>'Cash Flow Statement'!I1</f>
        <v>H1'22</v>
      </c>
      <c r="J1" t="str">
        <f>'Cash Flow Statement'!J1</f>
        <v>H2'22</v>
      </c>
      <c r="K1" t="str">
        <f>'Cash Flow Statement'!K1</f>
        <v>H1'23</v>
      </c>
      <c r="L1" t="str">
        <f>'Cash Flow Statement'!L1</f>
        <v>H2'23</v>
      </c>
      <c r="M1" t="str">
        <f>'Cash Flow Statement'!M1</f>
        <v>H1'24</v>
      </c>
      <c r="N1" t="str">
        <f>'Cash Flow Statement'!N1</f>
        <v>H2'24</v>
      </c>
      <c r="O1" t="str">
        <f>'Cash Flow Statement'!O1</f>
        <v>H1'25</v>
      </c>
      <c r="P1" t="str">
        <f>'Cash Flow Statement'!P1</f>
        <v>H2'25</v>
      </c>
      <c r="Q1" t="str">
        <f>'Cash Flow Statement'!Q1</f>
        <v>H1'26</v>
      </c>
      <c r="R1" t="str">
        <f>'Cash Flow Statement'!R1</f>
        <v>H2'26</v>
      </c>
      <c r="S1" t="str">
        <f>'Cash Flow Statement'!S1</f>
        <v>H1'27</v>
      </c>
      <c r="T1" t="str">
        <f>'Cash Flow Statement'!T1</f>
        <v>H2'27</v>
      </c>
      <c r="U1" t="str">
        <f>'Cash Flow Statement'!U1</f>
        <v>H1'28</v>
      </c>
      <c r="V1" t="str">
        <f>'Cash Flow Statement'!V1</f>
        <v>H2'28</v>
      </c>
      <c r="W1" t="str">
        <f>'Cash Flow Statement'!W1</f>
        <v>H1'29</v>
      </c>
      <c r="X1" t="str">
        <f>'Cash Flow Statement'!X1</f>
        <v>H2'29</v>
      </c>
      <c r="Y1" t="str">
        <f>'Cash Flow Statement'!Y1</f>
        <v>H1'30</v>
      </c>
      <c r="Z1" t="str">
        <f>'Cash Flow Statement'!Z1</f>
        <v>H2'30</v>
      </c>
      <c r="AE1" t="str">
        <f>'Cash Flow Statement'!AE1</f>
        <v>FY'20</v>
      </c>
      <c r="AF1" t="str">
        <f>'Cash Flow Statement'!AF1</f>
        <v>FY'21</v>
      </c>
      <c r="AG1" t="str">
        <f>'Cash Flow Statement'!AG1</f>
        <v>FY'22</v>
      </c>
      <c r="AH1" t="str">
        <f>'Cash Flow Statement'!AH1</f>
        <v>FY'23</v>
      </c>
      <c r="AI1" t="str">
        <f>'Cash Flow Statement'!AI1</f>
        <v>FY'24</v>
      </c>
      <c r="AJ1" t="str">
        <f>'Cash Flow Statement'!AJ1</f>
        <v>FY'25</v>
      </c>
      <c r="AK1" t="str">
        <f>'Cash Flow Statement'!AK1</f>
        <v>FY'26</v>
      </c>
      <c r="AL1" t="str">
        <f>'Cash Flow Statement'!AL1</f>
        <v>FY'27</v>
      </c>
      <c r="AM1" t="str">
        <f>'Cash Flow Statement'!AM1</f>
        <v>FY'28</v>
      </c>
      <c r="AN1" t="str">
        <f>'Cash Flow Statement'!AN1</f>
        <v>FY'29</v>
      </c>
      <c r="AO1" t="str">
        <f>'Cash Flow Statement'!AO1</f>
        <v>FY'30</v>
      </c>
    </row>
    <row r="3" spans="1:41" x14ac:dyDescent="0.3">
      <c r="A3" s="3"/>
    </row>
    <row r="4" spans="1:41" x14ac:dyDescent="0.3">
      <c r="A4" s="3" t="s">
        <v>173</v>
      </c>
    </row>
    <row r="5" spans="1:41" x14ac:dyDescent="0.3">
      <c r="A5" s="3"/>
    </row>
    <row r="6" spans="1:41" x14ac:dyDescent="0.3">
      <c r="A6" s="3" t="s">
        <v>157</v>
      </c>
      <c r="I6" s="4">
        <f>G17</f>
        <v>3344</v>
      </c>
      <c r="K6" s="4">
        <f>I17</f>
        <v>4288</v>
      </c>
      <c r="M6" s="4">
        <f>K17</f>
        <v>4893</v>
      </c>
      <c r="O6" s="4">
        <f>M17</f>
        <v>5247</v>
      </c>
      <c r="Q6" s="4">
        <f>O17</f>
        <v>5594.2899137614677</v>
      </c>
      <c r="S6" s="4">
        <f>Q17</f>
        <v>5957.026924724164</v>
      </c>
      <c r="U6" s="4">
        <f>S17</f>
        <v>6354.7997398027173</v>
      </c>
      <c r="W6" s="4">
        <f>U17</f>
        <v>6806.2249613892527</v>
      </c>
      <c r="Y6" s="4">
        <f>W17</f>
        <v>7330.2317573338059</v>
      </c>
      <c r="AH6">
        <f>AG17</f>
        <v>9421</v>
      </c>
      <c r="AI6">
        <f>AH17</f>
        <v>10469</v>
      </c>
      <c r="AJ6">
        <f t="shared" ref="AJ6:AO6" si="0">AI17</f>
        <v>11552.823687168142</v>
      </c>
      <c r="AK6">
        <f t="shared" si="0"/>
        <v>12732.637104144978</v>
      </c>
      <c r="AL6">
        <f t="shared" si="0"/>
        <v>14064.913344301436</v>
      </c>
      <c r="AM6">
        <f t="shared" si="0"/>
        <v>15606.448691799029</v>
      </c>
      <c r="AN6">
        <f t="shared" si="0"/>
        <v>17417.761435300185</v>
      </c>
      <c r="AO6">
        <f t="shared" si="0"/>
        <v>19566.178847283889</v>
      </c>
    </row>
    <row r="7" spans="1:41" x14ac:dyDescent="0.3">
      <c r="A7" t="s">
        <v>123</v>
      </c>
      <c r="I7">
        <v>414</v>
      </c>
      <c r="K7">
        <v>238</v>
      </c>
      <c r="M7">
        <v>156</v>
      </c>
      <c r="O7" s="32">
        <f>M7*(1+O8)</f>
        <v>109.19999999999999</v>
      </c>
      <c r="Q7" s="32">
        <f>O7*(1+Q8)</f>
        <v>76.439999999999984</v>
      </c>
      <c r="S7" s="32">
        <f>Q7*(1+S8)</f>
        <v>53.507999999999988</v>
      </c>
      <c r="U7" s="32">
        <f>S7*(1+U8)</f>
        <v>37.45559999999999</v>
      </c>
      <c r="W7" s="32">
        <f>U7*(1+W8)</f>
        <v>26.21891999999999</v>
      </c>
      <c r="Y7" s="32">
        <f>W7*(1+Y8)</f>
        <v>18.353243999999993</v>
      </c>
      <c r="AH7">
        <v>351</v>
      </c>
      <c r="AI7" s="32">
        <f>AH7*(1+AI8)</f>
        <v>245.7</v>
      </c>
      <c r="AJ7" s="32">
        <f t="shared" ref="AJ7:AO7" si="1">AI7*(1+AJ8)</f>
        <v>171.98999999999998</v>
      </c>
      <c r="AK7" s="32">
        <f t="shared" si="1"/>
        <v>120.39299999999997</v>
      </c>
      <c r="AL7" s="32">
        <f t="shared" si="1"/>
        <v>84.275099999999981</v>
      </c>
      <c r="AM7" s="32">
        <f t="shared" si="1"/>
        <v>58.992569999999979</v>
      </c>
      <c r="AN7" s="32">
        <f t="shared" si="1"/>
        <v>41.294798999999983</v>
      </c>
      <c r="AO7" s="32">
        <f t="shared" si="1"/>
        <v>28.906359299999988</v>
      </c>
    </row>
    <row r="8" spans="1:41" x14ac:dyDescent="0.3">
      <c r="A8" s="1" t="s">
        <v>159</v>
      </c>
      <c r="G8" s="15" t="e">
        <f t="shared" ref="G8:L8" si="2">G7/E17</f>
        <v>#DIV/0!</v>
      </c>
      <c r="H8" s="15" t="e">
        <f t="shared" si="2"/>
        <v>#DIV/0!</v>
      </c>
      <c r="I8" s="15">
        <f t="shared" si="2"/>
        <v>0.12380382775119617</v>
      </c>
      <c r="J8" s="15" t="e">
        <f t="shared" si="2"/>
        <v>#DIV/0!</v>
      </c>
      <c r="K8" s="15">
        <f t="shared" si="2"/>
        <v>5.5503731343283583E-2</v>
      </c>
      <c r="L8" s="15" t="e">
        <f t="shared" si="2"/>
        <v>#DIV/0!</v>
      </c>
      <c r="M8" s="15">
        <f>M7/K17</f>
        <v>3.1882280809319437E-2</v>
      </c>
      <c r="O8" s="33">
        <v>-0.3</v>
      </c>
      <c r="Q8" s="33">
        <v>-0.3</v>
      </c>
      <c r="S8" s="33">
        <v>-0.3</v>
      </c>
      <c r="U8" s="33">
        <v>-0.3</v>
      </c>
      <c r="W8" s="33">
        <v>-0.3</v>
      </c>
      <c r="Y8" s="33">
        <v>-0.3</v>
      </c>
      <c r="AF8" s="15"/>
      <c r="AG8" s="15"/>
      <c r="AH8" s="15">
        <f>AH7/AG17</f>
        <v>3.7257191380957434E-2</v>
      </c>
      <c r="AI8" s="33">
        <v>-0.3</v>
      </c>
      <c r="AJ8" s="33">
        <v>-0.3</v>
      </c>
      <c r="AK8" s="33">
        <v>-0.3</v>
      </c>
      <c r="AL8" s="33">
        <v>-0.3</v>
      </c>
      <c r="AM8" s="33">
        <v>-0.3</v>
      </c>
      <c r="AN8" s="33">
        <v>-0.3</v>
      </c>
      <c r="AO8" s="33">
        <v>-0.3</v>
      </c>
    </row>
    <row r="9" spans="1:41" x14ac:dyDescent="0.3">
      <c r="A9" t="s">
        <v>139</v>
      </c>
      <c r="I9">
        <v>0</v>
      </c>
      <c r="M9">
        <v>0</v>
      </c>
      <c r="O9" s="32">
        <f>M9*(1+O10)</f>
        <v>0</v>
      </c>
      <c r="Q9" s="32">
        <f>O9*(1+Q10)</f>
        <v>0</v>
      </c>
      <c r="S9" s="32">
        <f>Q9*(1+S10)</f>
        <v>0</v>
      </c>
      <c r="U9" s="32">
        <f>S9*(1+U10)</f>
        <v>0</v>
      </c>
      <c r="W9" s="32">
        <f>U9*(1+W10)</f>
        <v>0</v>
      </c>
      <c r="Y9" s="32">
        <f>W9*(1+Y10)</f>
        <v>0</v>
      </c>
      <c r="AH9">
        <v>0</v>
      </c>
      <c r="AI9" s="32">
        <f>AH9*(1+AI10)</f>
        <v>0</v>
      </c>
      <c r="AJ9" s="32">
        <f t="shared" ref="AJ9:AO9" si="3">AI9*(1+AJ10)</f>
        <v>0</v>
      </c>
      <c r="AK9" s="32">
        <f t="shared" si="3"/>
        <v>0</v>
      </c>
      <c r="AL9" s="32">
        <f t="shared" si="3"/>
        <v>0</v>
      </c>
      <c r="AM9" s="32">
        <f t="shared" si="3"/>
        <v>0</v>
      </c>
      <c r="AN9" s="32">
        <f t="shared" si="3"/>
        <v>0</v>
      </c>
      <c r="AO9" s="32">
        <f t="shared" si="3"/>
        <v>0</v>
      </c>
    </row>
    <row r="10" spans="1:41" x14ac:dyDescent="0.3">
      <c r="A10" s="1" t="s">
        <v>160</v>
      </c>
      <c r="G10" s="15" t="e">
        <f t="shared" ref="G10:L10" si="4">G9/E17</f>
        <v>#DIV/0!</v>
      </c>
      <c r="H10" s="15" t="e">
        <f t="shared" si="4"/>
        <v>#DIV/0!</v>
      </c>
      <c r="I10" s="15">
        <f t="shared" si="4"/>
        <v>0</v>
      </c>
      <c r="J10" s="15" t="e">
        <f t="shared" si="4"/>
        <v>#DIV/0!</v>
      </c>
      <c r="K10" s="15">
        <f t="shared" si="4"/>
        <v>0</v>
      </c>
      <c r="L10" s="15" t="e">
        <f t="shared" si="4"/>
        <v>#DIV/0!</v>
      </c>
      <c r="M10" s="15">
        <f>M9/K17</f>
        <v>0</v>
      </c>
      <c r="O10" s="31">
        <v>7.0000000000000001E-3</v>
      </c>
      <c r="Q10" s="31">
        <v>7.0000000000000001E-3</v>
      </c>
      <c r="S10" s="31">
        <v>7.0000000000000001E-3</v>
      </c>
      <c r="U10" s="31">
        <v>7.0000000000000001E-3</v>
      </c>
      <c r="W10" s="31">
        <v>7.0000000000000001E-3</v>
      </c>
      <c r="Y10" s="31">
        <v>7.0000000000000001E-3</v>
      </c>
      <c r="AF10" s="15"/>
      <c r="AG10" s="15"/>
      <c r="AH10" s="15">
        <f>AH9/AG17</f>
        <v>0</v>
      </c>
      <c r="AI10" s="31">
        <v>7.0000000000000001E-3</v>
      </c>
      <c r="AJ10" s="31">
        <v>7.0000000000000001E-3</v>
      </c>
      <c r="AK10" s="31">
        <v>7.0000000000000001E-3</v>
      </c>
      <c r="AL10" s="31">
        <v>7.0000000000000001E-3</v>
      </c>
      <c r="AM10" s="31">
        <v>7.0000000000000001E-3</v>
      </c>
      <c r="AN10" s="31">
        <v>7.0000000000000001E-3</v>
      </c>
      <c r="AO10" s="31">
        <v>7.0000000000000001E-3</v>
      </c>
    </row>
    <row r="11" spans="1:41" x14ac:dyDescent="0.3">
      <c r="A11" t="s">
        <v>158</v>
      </c>
      <c r="I11">
        <v>529</v>
      </c>
      <c r="K11">
        <v>367</v>
      </c>
      <c r="M11">
        <v>198</v>
      </c>
      <c r="O11" s="32">
        <f>M11*(1+O12)</f>
        <v>238.0899137614679</v>
      </c>
      <c r="Q11" s="32">
        <f>O11*(1+Q12)</f>
        <v>286.29701096269633</v>
      </c>
      <c r="S11" s="32">
        <f>Q11*(1+S12)</f>
        <v>344.26481507855374</v>
      </c>
      <c r="U11" s="32">
        <f>S11*(1+U12)</f>
        <v>413.96962158653537</v>
      </c>
      <c r="W11" s="32">
        <f>U11*(1+W12)</f>
        <v>497.78787594455343</v>
      </c>
      <c r="Y11" s="32">
        <f>W11*(1+Y12)</f>
        <v>598.57719392834611</v>
      </c>
      <c r="AH11">
        <v>697</v>
      </c>
      <c r="AI11" s="32">
        <f>AH11*(1+AI12)</f>
        <v>838.12368716814149</v>
      </c>
      <c r="AJ11" s="32">
        <f t="shared" ref="AJ11:AO11" si="5">AI11*(1+AJ12)</f>
        <v>1007.8234169768359</v>
      </c>
      <c r="AK11" s="32">
        <f t="shared" si="5"/>
        <v>1211.8832401564582</v>
      </c>
      <c r="AL11" s="32">
        <f t="shared" si="5"/>
        <v>1457.2602474975913</v>
      </c>
      <c r="AM11" s="32">
        <f t="shared" si="5"/>
        <v>1752.3201735011571</v>
      </c>
      <c r="AN11" s="32">
        <f t="shared" si="5"/>
        <v>2107.1226129837064</v>
      </c>
      <c r="AO11" s="32">
        <f t="shared" si="5"/>
        <v>2533.7639872336949</v>
      </c>
    </row>
    <row r="12" spans="1:41" s="1" customFormat="1" x14ac:dyDescent="0.3">
      <c r="A12" s="1" t="s">
        <v>161</v>
      </c>
      <c r="B12" s="11"/>
      <c r="C12" s="11"/>
      <c r="D12" s="11"/>
      <c r="E12" s="11"/>
      <c r="F12" s="11"/>
      <c r="G12" s="11" t="e">
        <f t="shared" ref="G12:L12" si="6">G11/E17</f>
        <v>#DIV/0!</v>
      </c>
      <c r="H12" s="11" t="e">
        <f t="shared" si="6"/>
        <v>#DIV/0!</v>
      </c>
      <c r="I12" s="11">
        <f t="shared" si="6"/>
        <v>0.15819377990430622</v>
      </c>
      <c r="J12" s="11" t="e">
        <f t="shared" si="6"/>
        <v>#DIV/0!</v>
      </c>
      <c r="K12" s="11">
        <f t="shared" si="6"/>
        <v>8.5587686567164173E-2</v>
      </c>
      <c r="L12" s="11" t="e">
        <f t="shared" si="6"/>
        <v>#DIV/0!</v>
      </c>
      <c r="M12" s="11">
        <f>M11/K17</f>
        <v>4.04659717964439E-2</v>
      </c>
      <c r="O12" s="15">
        <f>(1+O15)*(1+O13)-1</f>
        <v>0.20247431192660548</v>
      </c>
      <c r="Q12" s="15">
        <f>(1+Q15)*(1+Q13)-1</f>
        <v>0.20247433601712772</v>
      </c>
      <c r="S12" s="15">
        <f>(1+S15)*(1+S13)-1</f>
        <v>0.20247436017908838</v>
      </c>
      <c r="U12" s="15">
        <f>(1+U15)*(1+U13)-1</f>
        <v>0.20247438441269838</v>
      </c>
      <c r="W12" s="15">
        <f>(1+W15)*(1+W13)-1</f>
        <v>0.20247440871816935</v>
      </c>
      <c r="Y12" s="15">
        <f>(1+Y15)*(1+Y13)-1</f>
        <v>0.20247443309571311</v>
      </c>
      <c r="AE12" s="11"/>
      <c r="AF12" s="11"/>
      <c r="AG12" s="11"/>
      <c r="AH12" s="11">
        <f>AH11/AG17</f>
        <v>7.3983653539963917E-2</v>
      </c>
      <c r="AI12" s="15">
        <f>(1+AI15)*(1+AI13)-1</f>
        <v>0.20247300884955743</v>
      </c>
      <c r="AJ12" s="15">
        <f t="shared" ref="AJ12:AO12" si="7">(1+AJ15)*(1+AJ13)-1</f>
        <v>0.20247575913535765</v>
      </c>
      <c r="AK12" s="15">
        <f t="shared" si="7"/>
        <v>0.20247577079697132</v>
      </c>
      <c r="AL12" s="15">
        <f t="shared" si="7"/>
        <v>0.20247578249324927</v>
      </c>
      <c r="AM12" s="15">
        <f t="shared" si="7"/>
        <v>0.20247579422429385</v>
      </c>
      <c r="AN12" s="15">
        <f t="shared" si="7"/>
        <v>0.20247580599020876</v>
      </c>
      <c r="AO12" s="15">
        <f t="shared" si="7"/>
        <v>0.2024758177910968</v>
      </c>
    </row>
    <row r="13" spans="1:41" x14ac:dyDescent="0.3">
      <c r="A13" s="20" t="s">
        <v>162</v>
      </c>
      <c r="I13" s="28">
        <v>0.14299999999999999</v>
      </c>
      <c r="K13" s="11">
        <v>0.113</v>
      </c>
      <c r="M13" s="11">
        <v>3.7999999999999999E-2</v>
      </c>
      <c r="O13" s="30">
        <v>0.2</v>
      </c>
      <c r="Q13" s="30">
        <v>0.2</v>
      </c>
      <c r="S13" s="30">
        <v>0.2</v>
      </c>
      <c r="U13" s="30">
        <v>0.2</v>
      </c>
      <c r="W13" s="30">
        <v>0.2</v>
      </c>
      <c r="Y13" s="30">
        <v>0.2</v>
      </c>
      <c r="AH13" s="28">
        <v>8.4000000000000005E-2</v>
      </c>
      <c r="AI13" s="30">
        <v>0.2</v>
      </c>
      <c r="AJ13" s="30">
        <v>0.2</v>
      </c>
      <c r="AK13" s="30">
        <v>0.2</v>
      </c>
      <c r="AL13" s="30">
        <v>0.2</v>
      </c>
      <c r="AM13" s="30">
        <v>0.2</v>
      </c>
      <c r="AN13" s="30">
        <v>0.2</v>
      </c>
      <c r="AO13" s="30">
        <v>0.2</v>
      </c>
    </row>
    <row r="14" spans="1:41" x14ac:dyDescent="0.3">
      <c r="A14" s="20"/>
    </row>
    <row r="15" spans="1:41" s="1" customFormat="1" x14ac:dyDescent="0.3">
      <c r="A15" s="20" t="s">
        <v>163</v>
      </c>
      <c r="B15" s="11"/>
      <c r="C15" s="11"/>
      <c r="D15" s="11"/>
      <c r="E15" s="11"/>
      <c r="F15" s="11"/>
      <c r="G15" s="11"/>
      <c r="H15" s="11"/>
      <c r="I15" s="11">
        <v>3.1E-2</v>
      </c>
      <c r="J15" s="11"/>
      <c r="K15" s="11">
        <v>-1.7000000000000001E-2</v>
      </c>
      <c r="L15" s="11"/>
      <c r="M15" s="11">
        <v>8.0000000000000002E-3</v>
      </c>
      <c r="O15" s="11">
        <f>O58</f>
        <v>2.0619266055045874E-3</v>
      </c>
      <c r="Q15" s="11">
        <f>Q58</f>
        <v>2.0619466809397458E-3</v>
      </c>
      <c r="S15" s="11">
        <f>S58</f>
        <v>2.0619668159069853E-3</v>
      </c>
      <c r="U15" s="11">
        <f>U58</f>
        <v>2.061987010582023E-3</v>
      </c>
      <c r="W15" s="11">
        <f>W58</f>
        <v>2.0620072651410877E-3</v>
      </c>
      <c r="Y15" s="11">
        <f>Y58</f>
        <v>2.0620275797609252E-3</v>
      </c>
      <c r="AE15" s="11"/>
      <c r="AF15" s="11"/>
      <c r="AG15" s="11"/>
      <c r="AH15" s="11">
        <v>-2E-3</v>
      </c>
      <c r="AI15" s="11">
        <f>AI58</f>
        <v>2.0608407079646019E-3</v>
      </c>
      <c r="AJ15" s="11">
        <f t="shared" ref="AJ15:AO15" si="8">AJ58</f>
        <v>2.0631326127980784E-3</v>
      </c>
      <c r="AK15" s="11">
        <f t="shared" si="8"/>
        <v>2.0631423308094701E-3</v>
      </c>
      <c r="AL15" s="11">
        <f t="shared" si="8"/>
        <v>2.0631520777076359E-3</v>
      </c>
      <c r="AM15" s="11">
        <f t="shared" si="8"/>
        <v>2.0631618535782484E-3</v>
      </c>
      <c r="AN15" s="11">
        <f t="shared" si="8"/>
        <v>2.0631716585072335E-3</v>
      </c>
      <c r="AO15" s="11">
        <f t="shared" si="8"/>
        <v>2.0631814925807716E-3</v>
      </c>
    </row>
    <row r="16" spans="1:41" s="1" customFormat="1" x14ac:dyDescent="0.3">
      <c r="A16" s="20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AE16" s="11"/>
      <c r="AF16" s="11"/>
      <c r="AG16" s="11"/>
      <c r="AH16" s="11"/>
    </row>
    <row r="17" spans="1:41" x14ac:dyDescent="0.3">
      <c r="A17" s="3"/>
      <c r="G17">
        <v>3344</v>
      </c>
      <c r="I17">
        <v>4288</v>
      </c>
      <c r="K17">
        <v>4893</v>
      </c>
      <c r="M17" s="4">
        <v>5247</v>
      </c>
      <c r="O17" s="32">
        <f>O6+O7+O11</f>
        <v>5594.2899137614677</v>
      </c>
      <c r="Q17" s="32">
        <f>Q6+Q7+Q11</f>
        <v>5957.026924724164</v>
      </c>
      <c r="S17" s="32">
        <f>S6+S7+S11</f>
        <v>6354.7997398027173</v>
      </c>
      <c r="U17" s="32">
        <f>U6+U7+U11</f>
        <v>6806.2249613892527</v>
      </c>
      <c r="W17" s="32">
        <f>W6+W7+W11</f>
        <v>7330.2317573338059</v>
      </c>
      <c r="Y17" s="32">
        <f>Y6+Y7+Y11</f>
        <v>7947.1621952621517</v>
      </c>
      <c r="AG17">
        <v>9421</v>
      </c>
      <c r="AH17">
        <f>AH6+AH7+AH9+AH11</f>
        <v>10469</v>
      </c>
      <c r="AI17" s="32">
        <f>AI6+AI7+AI11</f>
        <v>11552.823687168142</v>
      </c>
      <c r="AJ17" s="32">
        <f t="shared" ref="AJ17:AO17" si="9">AJ6+AJ7+AJ11</f>
        <v>12732.637104144978</v>
      </c>
      <c r="AK17" s="32">
        <f t="shared" si="9"/>
        <v>14064.913344301436</v>
      </c>
      <c r="AL17" s="32">
        <f t="shared" si="9"/>
        <v>15606.448691799029</v>
      </c>
      <c r="AM17" s="32">
        <f t="shared" si="9"/>
        <v>17417.761435300185</v>
      </c>
      <c r="AN17" s="32">
        <f t="shared" si="9"/>
        <v>19566.178847283889</v>
      </c>
      <c r="AO17" s="32">
        <f t="shared" si="9"/>
        <v>22128.849193817583</v>
      </c>
    </row>
    <row r="18" spans="1:41" x14ac:dyDescent="0.3">
      <c r="G18" s="15" t="e">
        <f t="shared" ref="G18:L18" si="10">G17/E17-1</f>
        <v>#DIV/0!</v>
      </c>
      <c r="H18" s="15" t="e">
        <f t="shared" si="10"/>
        <v>#DIV/0!</v>
      </c>
      <c r="I18" s="15">
        <f t="shared" si="10"/>
        <v>0.28229665071770338</v>
      </c>
      <c r="J18" s="15" t="e">
        <f t="shared" si="10"/>
        <v>#DIV/0!</v>
      </c>
      <c r="K18" s="15">
        <f t="shared" si="10"/>
        <v>0.14109141791044766</v>
      </c>
      <c r="L18" s="15" t="e">
        <f t="shared" si="10"/>
        <v>#DIV/0!</v>
      </c>
      <c r="M18" s="15">
        <f>M17/K17-1</f>
        <v>7.2348252605763275E-2</v>
      </c>
    </row>
    <row r="19" spans="1:41" x14ac:dyDescent="0.3">
      <c r="M19" s="15"/>
    </row>
    <row r="20" spans="1:41" s="26" customFormat="1" x14ac:dyDescent="0.3">
      <c r="A20" s="20" t="s">
        <v>171</v>
      </c>
      <c r="B20" s="24"/>
      <c r="C20" s="24"/>
      <c r="D20" s="24"/>
      <c r="E20" s="24"/>
      <c r="F20" s="24"/>
      <c r="G20" s="24"/>
      <c r="H20" s="24"/>
      <c r="I20" s="24"/>
      <c r="J20" s="24"/>
      <c r="K20" s="25">
        <f>M20/(1+M21)</f>
        <v>116.49955149781967</v>
      </c>
      <c r="L20" s="24"/>
      <c r="M20" s="25">
        <f>M17/M51</f>
        <v>120.3440366972477</v>
      </c>
      <c r="AE20" s="24"/>
      <c r="AF20" s="24"/>
      <c r="AG20" s="24"/>
      <c r="AH20" s="24"/>
    </row>
    <row r="21" spans="1:41" s="26" customFormat="1" x14ac:dyDescent="0.3">
      <c r="A21" s="23"/>
      <c r="B21" s="24"/>
      <c r="C21" s="24"/>
      <c r="D21" s="24"/>
      <c r="E21" s="24"/>
      <c r="F21" s="24"/>
      <c r="G21" s="24"/>
      <c r="H21" s="24"/>
      <c r="I21" s="24">
        <v>0.128</v>
      </c>
      <c r="J21" s="24"/>
      <c r="K21" s="24">
        <v>0.11</v>
      </c>
      <c r="L21" s="24"/>
      <c r="M21" s="24">
        <v>3.3000000000000002E-2</v>
      </c>
      <c r="AE21" s="24"/>
      <c r="AF21" s="24"/>
      <c r="AG21" s="24"/>
      <c r="AH21" s="24"/>
    </row>
    <row r="22" spans="1:41" s="1" customFormat="1" x14ac:dyDescent="0.3">
      <c r="A22" s="20" t="s">
        <v>164</v>
      </c>
      <c r="B22" s="11"/>
      <c r="C22" s="11"/>
      <c r="D22" s="11"/>
      <c r="E22" s="19"/>
      <c r="F22" s="19"/>
      <c r="G22" s="19">
        <v>40.299999999999997</v>
      </c>
      <c r="H22" s="11"/>
      <c r="I22" s="19">
        <v>42.8</v>
      </c>
      <c r="J22" s="11"/>
      <c r="K22" s="19">
        <f>I22+K24+K26+K28</f>
        <v>42.199999999999996</v>
      </c>
      <c r="L22" s="11"/>
      <c r="M22" s="19">
        <v>42.7</v>
      </c>
      <c r="O22" s="19">
        <f>M22+O24+O26+O28</f>
        <v>42.998900000000006</v>
      </c>
      <c r="Q22" s="19">
        <f>O22+Q24+Q26+Q28</f>
        <v>43.29989230000001</v>
      </c>
      <c r="S22" s="19">
        <f>Q22+S24+S26+S28</f>
        <v>43.602991546100007</v>
      </c>
      <c r="U22" s="19">
        <f>S22+U24+U26+U28</f>
        <v>43.908212486922707</v>
      </c>
      <c r="W22" s="19">
        <f>U22+W24+W26+W28</f>
        <v>44.215569974331167</v>
      </c>
      <c r="Y22" s="19">
        <f>W22+Y24+Y26+Y28</f>
        <v>44.525078964151483</v>
      </c>
      <c r="AE22" s="11"/>
      <c r="AF22" s="19"/>
      <c r="AG22" s="19">
        <v>88.5</v>
      </c>
      <c r="AH22" s="19">
        <v>88.4</v>
      </c>
      <c r="AI22" s="19">
        <f>AH22+AI24+AI26+AI28</f>
        <v>89.018799999999999</v>
      </c>
      <c r="AJ22" s="19">
        <f t="shared" ref="AJ22:AO22" si="11">AI22+AJ24+AJ26+AJ28</f>
        <v>89.641931599999992</v>
      </c>
      <c r="AK22" s="19">
        <f t="shared" si="11"/>
        <v>90.269425121199987</v>
      </c>
      <c r="AL22" s="19">
        <f t="shared" si="11"/>
        <v>90.901311097048392</v>
      </c>
      <c r="AM22" s="19">
        <f t="shared" si="11"/>
        <v>91.537620274727729</v>
      </c>
      <c r="AN22" s="19">
        <f t="shared" si="11"/>
        <v>92.178383616650819</v>
      </c>
      <c r="AO22" s="19">
        <f t="shared" si="11"/>
        <v>92.823632301967365</v>
      </c>
    </row>
    <row r="23" spans="1:41" s="1" customFormat="1" x14ac:dyDescent="0.3">
      <c r="A23" s="20"/>
      <c r="B23" s="11"/>
      <c r="C23" s="11"/>
      <c r="D23" s="11"/>
      <c r="E23" s="11"/>
      <c r="F23" s="11"/>
      <c r="G23" s="11" t="e">
        <f t="shared" ref="G23:L23" si="12">G22/E22-1</f>
        <v>#DIV/0!</v>
      </c>
      <c r="H23" s="11" t="e">
        <f t="shared" si="12"/>
        <v>#DIV/0!</v>
      </c>
      <c r="I23" s="11">
        <f t="shared" si="12"/>
        <v>6.2034739454094323E-2</v>
      </c>
      <c r="J23" s="11" t="e">
        <f t="shared" si="12"/>
        <v>#DIV/0!</v>
      </c>
      <c r="K23" s="11">
        <f t="shared" si="12"/>
        <v>-1.4018691588785104E-2</v>
      </c>
      <c r="L23" s="11" t="e">
        <f t="shared" si="12"/>
        <v>#DIV/0!</v>
      </c>
      <c r="M23" s="11">
        <f>M22/K22-1</f>
        <v>1.1848341232227666E-2</v>
      </c>
      <c r="AE23" s="11"/>
      <c r="AF23" s="11"/>
      <c r="AG23" s="11"/>
      <c r="AH23" s="11"/>
    </row>
    <row r="24" spans="1:41" s="1" customFormat="1" x14ac:dyDescent="0.3">
      <c r="A24" s="27" t="s">
        <v>138</v>
      </c>
      <c r="B24" s="11"/>
      <c r="C24" s="11"/>
      <c r="D24" s="11"/>
      <c r="E24" s="19"/>
      <c r="F24" s="19"/>
      <c r="G24" s="19"/>
      <c r="H24" s="21"/>
      <c r="I24" s="21">
        <v>0</v>
      </c>
      <c r="J24" s="11"/>
      <c r="K24" s="19">
        <v>0</v>
      </c>
      <c r="L24" s="11"/>
      <c r="M24" s="19">
        <v>0</v>
      </c>
      <c r="O24">
        <f>O25*M22</f>
        <v>0</v>
      </c>
      <c r="Q24">
        <f>Q25*O22</f>
        <v>0</v>
      </c>
      <c r="S24">
        <f>S25*Q22</f>
        <v>0</v>
      </c>
      <c r="U24">
        <f>U25*S22</f>
        <v>0</v>
      </c>
      <c r="W24">
        <f>W25*U22</f>
        <v>0</v>
      </c>
      <c r="Y24">
        <f>Y25*W22</f>
        <v>0</v>
      </c>
      <c r="AE24" s="11"/>
      <c r="AF24" s="19"/>
      <c r="AG24" s="19"/>
      <c r="AH24" s="19">
        <v>0</v>
      </c>
      <c r="AI24">
        <f>AI25*AH22</f>
        <v>0</v>
      </c>
      <c r="AJ24">
        <f t="shared" ref="AJ24:AO24" si="13">AJ25*AI22</f>
        <v>0</v>
      </c>
      <c r="AK24">
        <f t="shared" si="13"/>
        <v>0</v>
      </c>
      <c r="AL24">
        <f t="shared" si="13"/>
        <v>0</v>
      </c>
      <c r="AM24">
        <f t="shared" si="13"/>
        <v>0</v>
      </c>
      <c r="AN24">
        <f t="shared" si="13"/>
        <v>0</v>
      </c>
      <c r="AO24">
        <f t="shared" si="13"/>
        <v>0</v>
      </c>
    </row>
    <row r="25" spans="1:41" s="1" customFormat="1" x14ac:dyDescent="0.3">
      <c r="A25" s="20" t="s">
        <v>159</v>
      </c>
      <c r="B25" s="11"/>
      <c r="C25" s="11"/>
      <c r="D25" s="11"/>
      <c r="E25" s="11"/>
      <c r="F25" s="11"/>
      <c r="G25" s="15" t="e">
        <f t="shared" ref="G25:L25" si="14">G24/E22</f>
        <v>#DIV/0!</v>
      </c>
      <c r="H25" s="15" t="e">
        <f t="shared" si="14"/>
        <v>#DIV/0!</v>
      </c>
      <c r="I25" s="15">
        <f t="shared" si="14"/>
        <v>0</v>
      </c>
      <c r="J25" s="15" t="e">
        <f t="shared" si="14"/>
        <v>#DIV/0!</v>
      </c>
      <c r="K25" s="15">
        <f t="shared" si="14"/>
        <v>0</v>
      </c>
      <c r="L25" s="15" t="e">
        <f t="shared" si="14"/>
        <v>#DIV/0!</v>
      </c>
      <c r="M25" s="15">
        <f>M24/K22</f>
        <v>0</v>
      </c>
      <c r="O25" s="30">
        <v>0</v>
      </c>
      <c r="Q25" s="30">
        <v>0</v>
      </c>
      <c r="S25" s="30">
        <v>0</v>
      </c>
      <c r="U25" s="30">
        <v>0</v>
      </c>
      <c r="W25" s="30">
        <v>0</v>
      </c>
      <c r="Y25" s="30">
        <v>0</v>
      </c>
      <c r="AE25" s="11"/>
      <c r="AF25" s="11"/>
      <c r="AG25" s="11"/>
      <c r="AH25" s="11">
        <f>AH24/AG22</f>
        <v>0</v>
      </c>
      <c r="AI25" s="30">
        <v>0</v>
      </c>
      <c r="AJ25" s="30">
        <v>0</v>
      </c>
      <c r="AK25" s="30">
        <v>0</v>
      </c>
      <c r="AL25" s="30">
        <v>0</v>
      </c>
      <c r="AM25" s="30">
        <v>0</v>
      </c>
      <c r="AN25" s="30">
        <v>0</v>
      </c>
      <c r="AO25" s="30">
        <v>0</v>
      </c>
    </row>
    <row r="26" spans="1:41" s="1" customFormat="1" x14ac:dyDescent="0.3">
      <c r="A26" t="s">
        <v>139</v>
      </c>
      <c r="B26" s="11"/>
      <c r="C26" s="11"/>
      <c r="D26" s="11"/>
      <c r="E26" s="19"/>
      <c r="F26" s="19"/>
      <c r="G26" s="19"/>
      <c r="H26" s="21"/>
      <c r="I26" s="21">
        <v>0</v>
      </c>
      <c r="J26" s="11"/>
      <c r="K26" s="19">
        <v>0</v>
      </c>
      <c r="L26" s="11"/>
      <c r="M26" s="19">
        <v>0.1</v>
      </c>
      <c r="O26" s="19">
        <f>O27*M22</f>
        <v>0.21350000000000002</v>
      </c>
      <c r="Q26" s="19">
        <f>Q27*O22</f>
        <v>0.21499450000000003</v>
      </c>
      <c r="S26" s="19">
        <f>S27*Q22</f>
        <v>0.21649946150000005</v>
      </c>
      <c r="U26" s="19">
        <f>U27*S22</f>
        <v>0.21801495773050003</v>
      </c>
      <c r="W26" s="19">
        <f>W27*U22</f>
        <v>0.21954106243461355</v>
      </c>
      <c r="Y26" s="19">
        <f>Y27*W22</f>
        <v>0.22107784987165585</v>
      </c>
      <c r="AE26" s="11"/>
      <c r="AF26" s="19"/>
      <c r="AG26" s="19"/>
      <c r="AH26" s="19">
        <v>0</v>
      </c>
      <c r="AI26" s="19">
        <f>AI27*AH22</f>
        <v>0.44200000000000006</v>
      </c>
      <c r="AJ26" s="19">
        <f t="shared" ref="AJ26:AO26" si="15">AJ27*AI22</f>
        <v>0.44509399999999999</v>
      </c>
      <c r="AK26" s="19">
        <f t="shared" si="15"/>
        <v>0.44820965799999996</v>
      </c>
      <c r="AL26" s="19">
        <f t="shared" si="15"/>
        <v>0.45134712560599993</v>
      </c>
      <c r="AM26" s="19">
        <f t="shared" si="15"/>
        <v>0.45450655548524199</v>
      </c>
      <c r="AN26" s="19">
        <f t="shared" si="15"/>
        <v>0.45768810137363863</v>
      </c>
      <c r="AO26" s="19">
        <f t="shared" si="15"/>
        <v>0.46089191808325408</v>
      </c>
    </row>
    <row r="27" spans="1:41" s="1" customFormat="1" x14ac:dyDescent="0.3">
      <c r="A27" s="20" t="s">
        <v>160</v>
      </c>
      <c r="B27" s="11"/>
      <c r="C27" s="11"/>
      <c r="D27" s="11"/>
      <c r="E27" s="11"/>
      <c r="F27" s="11"/>
      <c r="G27" s="15" t="e">
        <f t="shared" ref="G27:L27" si="16">G26/E22</f>
        <v>#DIV/0!</v>
      </c>
      <c r="H27" s="15" t="e">
        <f t="shared" si="16"/>
        <v>#DIV/0!</v>
      </c>
      <c r="I27" s="15">
        <f t="shared" si="16"/>
        <v>0</v>
      </c>
      <c r="J27" s="15" t="e">
        <f t="shared" si="16"/>
        <v>#DIV/0!</v>
      </c>
      <c r="K27" s="15">
        <f t="shared" si="16"/>
        <v>0</v>
      </c>
      <c r="L27" s="15" t="e">
        <f t="shared" si="16"/>
        <v>#DIV/0!</v>
      </c>
      <c r="M27" s="15">
        <f>M26/K22</f>
        <v>2.3696682464454978E-3</v>
      </c>
      <c r="O27" s="31">
        <v>5.0000000000000001E-3</v>
      </c>
      <c r="Q27" s="31">
        <v>5.0000000000000001E-3</v>
      </c>
      <c r="S27" s="31">
        <v>5.0000000000000001E-3</v>
      </c>
      <c r="U27" s="31">
        <v>5.0000000000000001E-3</v>
      </c>
      <c r="W27" s="31">
        <v>5.0000000000000001E-3</v>
      </c>
      <c r="Y27" s="31">
        <v>5.0000000000000001E-3</v>
      </c>
      <c r="AE27" s="11"/>
      <c r="AF27" s="11"/>
      <c r="AG27" s="11"/>
      <c r="AH27" s="11">
        <f>AH26/AG22</f>
        <v>0</v>
      </c>
      <c r="AI27" s="31">
        <v>5.0000000000000001E-3</v>
      </c>
      <c r="AJ27" s="31">
        <v>5.0000000000000001E-3</v>
      </c>
      <c r="AK27" s="31">
        <v>5.0000000000000001E-3</v>
      </c>
      <c r="AL27" s="31">
        <v>5.0000000000000001E-3</v>
      </c>
      <c r="AM27" s="31">
        <v>5.0000000000000001E-3</v>
      </c>
      <c r="AN27" s="31">
        <v>5.0000000000000001E-3</v>
      </c>
      <c r="AO27" s="31">
        <v>5.0000000000000001E-3</v>
      </c>
    </row>
    <row r="28" spans="1:41" s="1" customFormat="1" x14ac:dyDescent="0.3">
      <c r="A28" t="s">
        <v>158</v>
      </c>
      <c r="B28" s="11"/>
      <c r="C28" s="11"/>
      <c r="D28" s="11"/>
      <c r="E28" s="21"/>
      <c r="F28" s="21"/>
      <c r="G28" s="21"/>
      <c r="H28" s="21"/>
      <c r="I28" s="21">
        <v>2.5</v>
      </c>
      <c r="J28" s="11"/>
      <c r="K28" s="19">
        <v>-0.6</v>
      </c>
      <c r="L28" s="11"/>
      <c r="M28" s="19">
        <v>0.5</v>
      </c>
      <c r="O28" s="19">
        <f>O29*M22</f>
        <v>8.5400000000000004E-2</v>
      </c>
      <c r="Q28" s="19">
        <f>Q29*O22</f>
        <v>8.5997800000000013E-2</v>
      </c>
      <c r="S28" s="19">
        <f>S29*Q22</f>
        <v>8.6599784600000021E-2</v>
      </c>
      <c r="U28" s="19">
        <f>U29*S22</f>
        <v>8.7205983092200012E-2</v>
      </c>
      <c r="W28" s="19">
        <f>W29*U22</f>
        <v>8.7816424973845411E-2</v>
      </c>
      <c r="Y28" s="19">
        <f>Y29*W22</f>
        <v>8.8431139948662335E-2</v>
      </c>
      <c r="AE28" s="11"/>
      <c r="AF28" s="19"/>
      <c r="AG28" s="19"/>
      <c r="AH28" s="19">
        <v>-0.1</v>
      </c>
      <c r="AI28" s="19">
        <f>AI29*AH22</f>
        <v>0.17680000000000001</v>
      </c>
      <c r="AJ28" s="19">
        <f t="shared" ref="AJ28:AO28" si="17">AJ29*AI22</f>
        <v>0.17803759999999999</v>
      </c>
      <c r="AK28" s="19">
        <f t="shared" si="17"/>
        <v>0.17928386319999998</v>
      </c>
      <c r="AL28" s="19">
        <f t="shared" si="17"/>
        <v>0.18053885024239999</v>
      </c>
      <c r="AM28" s="19">
        <f t="shared" si="17"/>
        <v>0.18180262219409679</v>
      </c>
      <c r="AN28" s="19">
        <f t="shared" si="17"/>
        <v>0.18307524054945545</v>
      </c>
      <c r="AO28" s="19">
        <f t="shared" si="17"/>
        <v>0.18435676723330163</v>
      </c>
    </row>
    <row r="29" spans="1:41" s="1" customFormat="1" x14ac:dyDescent="0.3">
      <c r="A29" s="20" t="s">
        <v>161</v>
      </c>
      <c r="B29" s="11"/>
      <c r="C29" s="11"/>
      <c r="D29" s="11"/>
      <c r="E29" s="11"/>
      <c r="F29" s="11"/>
      <c r="G29" s="11" t="e">
        <f t="shared" ref="G29:L29" si="18">G28/E22</f>
        <v>#DIV/0!</v>
      </c>
      <c r="H29" s="11" t="e">
        <f t="shared" si="18"/>
        <v>#DIV/0!</v>
      </c>
      <c r="I29" s="11">
        <f t="shared" si="18"/>
        <v>6.2034739454094295E-2</v>
      </c>
      <c r="J29" s="11" t="e">
        <f t="shared" si="18"/>
        <v>#DIV/0!</v>
      </c>
      <c r="K29" s="11">
        <f t="shared" si="18"/>
        <v>-1.4018691588785047E-2</v>
      </c>
      <c r="L29" s="11" t="e">
        <f t="shared" si="18"/>
        <v>#DIV/0!</v>
      </c>
      <c r="M29" s="11">
        <f>M28/K22</f>
        <v>1.1848341232227489E-2</v>
      </c>
      <c r="O29" s="31">
        <v>2E-3</v>
      </c>
      <c r="Q29" s="31">
        <v>2E-3</v>
      </c>
      <c r="S29" s="31">
        <v>2E-3</v>
      </c>
      <c r="U29" s="31">
        <v>2E-3</v>
      </c>
      <c r="W29" s="31">
        <v>2E-3</v>
      </c>
      <c r="Y29" s="31">
        <v>2E-3</v>
      </c>
      <c r="AE29" s="11"/>
      <c r="AF29" s="11"/>
      <c r="AG29" s="11"/>
      <c r="AH29" s="11">
        <f>AH28/AG22</f>
        <v>-1.1299435028248588E-3</v>
      </c>
      <c r="AI29" s="31">
        <v>2E-3</v>
      </c>
      <c r="AJ29" s="31">
        <v>2E-3</v>
      </c>
      <c r="AK29" s="31">
        <v>2E-3</v>
      </c>
      <c r="AL29" s="31">
        <v>2E-3</v>
      </c>
      <c r="AM29" s="31">
        <v>2E-3</v>
      </c>
      <c r="AN29" s="31">
        <v>2E-3</v>
      </c>
      <c r="AO29" s="31">
        <v>2E-3</v>
      </c>
    </row>
    <row r="30" spans="1:41" s="1" customFormat="1" x14ac:dyDescent="0.3">
      <c r="A30" s="20"/>
      <c r="B30" s="11"/>
      <c r="C30" s="11"/>
      <c r="D30" s="11"/>
      <c r="E30" s="11"/>
      <c r="F30" s="11"/>
      <c r="G30" s="11"/>
      <c r="H30" s="11"/>
      <c r="I30" s="11"/>
      <c r="J30" s="11"/>
      <c r="K30" s="19"/>
      <c r="L30" s="11"/>
      <c r="M30" s="19"/>
      <c r="AE30" s="11"/>
      <c r="AF30" s="11"/>
      <c r="AG30" s="11"/>
      <c r="AH30" s="11"/>
    </row>
    <row r="31" spans="1:41" s="1" customFormat="1" x14ac:dyDescent="0.3">
      <c r="A31" s="20" t="s">
        <v>165</v>
      </c>
      <c r="B31" s="11"/>
      <c r="C31" s="11"/>
      <c r="D31" s="11"/>
      <c r="E31" s="19"/>
      <c r="F31" s="19"/>
      <c r="G31" s="19">
        <v>2.2000000000000002</v>
      </c>
      <c r="H31" s="11"/>
      <c r="I31" s="19">
        <v>1</v>
      </c>
      <c r="J31" s="11"/>
      <c r="K31" s="19">
        <f>I31+K33+K35+K37</f>
        <v>0.9</v>
      </c>
      <c r="L31" s="11"/>
      <c r="M31" s="19">
        <v>0.8</v>
      </c>
      <c r="O31" s="19">
        <f>M31+O33+O35+O37</f>
        <v>0.80560000000000009</v>
      </c>
      <c r="Q31" s="19">
        <f>O31+Q33+Q35+Q37</f>
        <v>0.81123920000000016</v>
      </c>
      <c r="S31" s="19">
        <f>Q31+S33+S35+S37</f>
        <v>0.81691787440000008</v>
      </c>
      <c r="U31" s="19">
        <f>S31+U33+U35+U37</f>
        <v>0.82263629952080009</v>
      </c>
      <c r="W31" s="19">
        <f>U31+W33+W35+W37</f>
        <v>0.82839475361744563</v>
      </c>
      <c r="Y31" s="19">
        <f>W31+Y33+Y35+Y37</f>
        <v>0.83419351689276777</v>
      </c>
      <c r="AE31" s="11"/>
      <c r="AF31" s="11"/>
      <c r="AG31" s="19">
        <v>1.9</v>
      </c>
      <c r="AH31" s="19">
        <v>1.8</v>
      </c>
      <c r="AI31" s="19">
        <f>AH31+AI33+AI35+AI37</f>
        <v>1.8126</v>
      </c>
      <c r="AJ31" s="19">
        <f t="shared" ref="AJ31:AO31" si="19">AI31+AJ33+AJ35+AJ37</f>
        <v>1.8252882000000001</v>
      </c>
      <c r="AK31" s="19">
        <f t="shared" si="19"/>
        <v>1.8380652174000003</v>
      </c>
      <c r="AL31" s="19">
        <f t="shared" si="19"/>
        <v>1.8509316739218005</v>
      </c>
      <c r="AM31" s="19">
        <f t="shared" si="19"/>
        <v>1.863888195639253</v>
      </c>
      <c r="AN31" s="19">
        <f t="shared" si="19"/>
        <v>1.8769354130087277</v>
      </c>
      <c r="AO31" s="19">
        <f t="shared" si="19"/>
        <v>1.8900739608997887</v>
      </c>
    </row>
    <row r="32" spans="1:41" s="1" customFormat="1" x14ac:dyDescent="0.3">
      <c r="A32" s="20"/>
      <c r="B32" s="11"/>
      <c r="C32" s="11"/>
      <c r="D32" s="11"/>
      <c r="E32" s="11"/>
      <c r="F32" s="11"/>
      <c r="G32" s="15" t="e">
        <f t="shared" ref="G32:L32" si="20">G31/E31-1</f>
        <v>#DIV/0!</v>
      </c>
      <c r="H32" s="15" t="e">
        <f t="shared" si="20"/>
        <v>#DIV/0!</v>
      </c>
      <c r="I32" s="15">
        <f t="shared" si="20"/>
        <v>-0.54545454545454541</v>
      </c>
      <c r="J32" s="15" t="e">
        <f t="shared" si="20"/>
        <v>#DIV/0!</v>
      </c>
      <c r="K32" s="15">
        <f t="shared" si="20"/>
        <v>-9.9999999999999978E-2</v>
      </c>
      <c r="L32" s="15" t="e">
        <f t="shared" si="20"/>
        <v>#DIV/0!</v>
      </c>
      <c r="M32" s="15">
        <f>M31/K31-1</f>
        <v>-0.11111111111111105</v>
      </c>
      <c r="AE32" s="11"/>
      <c r="AF32" s="11"/>
      <c r="AG32" s="11"/>
      <c r="AH32" s="11"/>
    </row>
    <row r="33" spans="1:41" s="1" customFormat="1" x14ac:dyDescent="0.3">
      <c r="A33" s="27" t="s">
        <v>138</v>
      </c>
      <c r="B33" s="11"/>
      <c r="C33" s="11"/>
      <c r="D33" s="11"/>
      <c r="E33" s="19"/>
      <c r="F33" s="19"/>
      <c r="G33" s="19"/>
      <c r="H33" s="19"/>
      <c r="I33" s="19">
        <v>0</v>
      </c>
      <c r="J33" s="11"/>
      <c r="K33" s="19">
        <v>0</v>
      </c>
      <c r="L33" s="11"/>
      <c r="M33" s="19">
        <v>0</v>
      </c>
      <c r="O33">
        <f>O34*M31</f>
        <v>0</v>
      </c>
      <c r="Q33">
        <f>Q34*O31</f>
        <v>0</v>
      </c>
      <c r="S33">
        <f>S34*Q31</f>
        <v>0</v>
      </c>
      <c r="U33">
        <f>U34*S31</f>
        <v>0</v>
      </c>
      <c r="W33">
        <f>W34*U31</f>
        <v>0</v>
      </c>
      <c r="Y33">
        <f>Y34*W31</f>
        <v>0</v>
      </c>
      <c r="AE33" s="11"/>
      <c r="AF33" s="19"/>
      <c r="AG33" s="19"/>
      <c r="AH33" s="19">
        <v>0</v>
      </c>
      <c r="AI33">
        <f>AI34*AH31</f>
        <v>0</v>
      </c>
      <c r="AJ33">
        <f t="shared" ref="AJ33:AO33" si="21">AJ34*AI31</f>
        <v>0</v>
      </c>
      <c r="AK33">
        <f t="shared" si="21"/>
        <v>0</v>
      </c>
      <c r="AL33">
        <f t="shared" si="21"/>
        <v>0</v>
      </c>
      <c r="AM33">
        <f t="shared" si="21"/>
        <v>0</v>
      </c>
      <c r="AN33">
        <f t="shared" si="21"/>
        <v>0</v>
      </c>
      <c r="AO33">
        <f t="shared" si="21"/>
        <v>0</v>
      </c>
    </row>
    <row r="34" spans="1:41" s="1" customFormat="1" x14ac:dyDescent="0.3">
      <c r="A34" s="20" t="s">
        <v>159</v>
      </c>
      <c r="B34" s="11"/>
      <c r="C34" s="11"/>
      <c r="D34" s="11"/>
      <c r="E34" s="11"/>
      <c r="F34" s="11"/>
      <c r="G34" s="15" t="e">
        <f t="shared" ref="G34:L34" si="22">G33/E31</f>
        <v>#DIV/0!</v>
      </c>
      <c r="H34" s="15" t="e">
        <f t="shared" si="22"/>
        <v>#DIV/0!</v>
      </c>
      <c r="I34" s="15">
        <f t="shared" si="22"/>
        <v>0</v>
      </c>
      <c r="J34" s="15" t="e">
        <f t="shared" si="22"/>
        <v>#DIV/0!</v>
      </c>
      <c r="K34" s="15">
        <f t="shared" si="22"/>
        <v>0</v>
      </c>
      <c r="L34" s="15" t="e">
        <f t="shared" si="22"/>
        <v>#DIV/0!</v>
      </c>
      <c r="M34" s="15">
        <f>M33/K31</f>
        <v>0</v>
      </c>
      <c r="O34" s="30">
        <v>0</v>
      </c>
      <c r="Q34" s="30">
        <v>0</v>
      </c>
      <c r="S34" s="30">
        <v>0</v>
      </c>
      <c r="U34" s="30">
        <v>0</v>
      </c>
      <c r="W34" s="30">
        <v>0</v>
      </c>
      <c r="Y34" s="30">
        <v>0</v>
      </c>
      <c r="AE34" s="11"/>
      <c r="AF34" s="11"/>
      <c r="AG34" s="11"/>
      <c r="AH34" s="11">
        <f>AH33/AG31</f>
        <v>0</v>
      </c>
      <c r="AI34" s="30">
        <v>0</v>
      </c>
      <c r="AJ34" s="30">
        <v>0</v>
      </c>
      <c r="AK34" s="30">
        <v>0</v>
      </c>
      <c r="AL34" s="30">
        <v>0</v>
      </c>
      <c r="AM34" s="30">
        <v>0</v>
      </c>
      <c r="AN34" s="30">
        <v>0</v>
      </c>
      <c r="AO34" s="30">
        <v>0</v>
      </c>
    </row>
    <row r="35" spans="1:41" s="1" customFormat="1" x14ac:dyDescent="0.3">
      <c r="A35" t="s">
        <v>139</v>
      </c>
      <c r="B35" s="11"/>
      <c r="C35" s="11"/>
      <c r="D35" s="11"/>
      <c r="E35" s="19"/>
      <c r="F35" s="19"/>
      <c r="G35" s="19"/>
      <c r="H35" s="19"/>
      <c r="I35" s="19">
        <v>0</v>
      </c>
      <c r="J35" s="11"/>
      <c r="K35" s="19">
        <v>0</v>
      </c>
      <c r="L35" s="11"/>
      <c r="M35" s="19">
        <v>0</v>
      </c>
      <c r="O35" s="19">
        <f>O36*M31</f>
        <v>1.6000000000000001E-3</v>
      </c>
      <c r="Q35" s="19">
        <f>Q36*O31</f>
        <v>1.6112000000000001E-3</v>
      </c>
      <c r="S35" s="19">
        <f>S36*Q31</f>
        <v>1.6224784000000003E-3</v>
      </c>
      <c r="U35" s="19">
        <f>U36*S31</f>
        <v>1.6338357488000002E-3</v>
      </c>
      <c r="W35" s="19">
        <f>W36*U31</f>
        <v>1.6452725990416001E-3</v>
      </c>
      <c r="Y35" s="19">
        <f>Y36*W31</f>
        <v>1.6567895072348913E-3</v>
      </c>
      <c r="AE35" s="11"/>
      <c r="AF35" s="19"/>
      <c r="AG35" s="19"/>
      <c r="AH35" s="19">
        <v>0</v>
      </c>
      <c r="AI35" s="19">
        <f>AI36*AH31</f>
        <v>3.6000000000000003E-3</v>
      </c>
      <c r="AJ35" s="19">
        <f t="shared" ref="AJ35:AO35" si="23">AJ36*AI31</f>
        <v>3.6251999999999999E-3</v>
      </c>
      <c r="AK35" s="19">
        <f t="shared" si="23"/>
        <v>3.6505764000000006E-3</v>
      </c>
      <c r="AL35" s="19">
        <f t="shared" si="23"/>
        <v>3.6761304348000008E-3</v>
      </c>
      <c r="AM35" s="19">
        <f t="shared" si="23"/>
        <v>3.7018633478436008E-3</v>
      </c>
      <c r="AN35" s="19">
        <f t="shared" si="23"/>
        <v>3.727776391278506E-3</v>
      </c>
      <c r="AO35" s="19">
        <f t="shared" si="23"/>
        <v>3.7538708260174553E-3</v>
      </c>
    </row>
    <row r="36" spans="1:41" s="1" customFormat="1" x14ac:dyDescent="0.3">
      <c r="A36" s="20" t="s">
        <v>160</v>
      </c>
      <c r="B36" s="11"/>
      <c r="C36" s="11"/>
      <c r="D36" s="11"/>
      <c r="E36" s="11"/>
      <c r="F36" s="11"/>
      <c r="G36" s="15" t="e">
        <f t="shared" ref="G36:L36" si="24">G35/E31</f>
        <v>#DIV/0!</v>
      </c>
      <c r="H36" s="15" t="e">
        <f t="shared" si="24"/>
        <v>#DIV/0!</v>
      </c>
      <c r="I36" s="15">
        <f t="shared" si="24"/>
        <v>0</v>
      </c>
      <c r="J36" s="15" t="e">
        <f t="shared" si="24"/>
        <v>#DIV/0!</v>
      </c>
      <c r="K36" s="15">
        <f t="shared" si="24"/>
        <v>0</v>
      </c>
      <c r="L36" s="15" t="e">
        <f t="shared" si="24"/>
        <v>#DIV/0!</v>
      </c>
      <c r="M36" s="15">
        <f>M35/K31</f>
        <v>0</v>
      </c>
      <c r="O36" s="31">
        <v>2E-3</v>
      </c>
      <c r="Q36" s="31">
        <v>2E-3</v>
      </c>
      <c r="S36" s="31">
        <v>2E-3</v>
      </c>
      <c r="U36" s="31">
        <v>2E-3</v>
      </c>
      <c r="W36" s="31">
        <v>2E-3</v>
      </c>
      <c r="Y36" s="31">
        <v>2E-3</v>
      </c>
      <c r="AE36" s="11"/>
      <c r="AF36" s="11"/>
      <c r="AG36" s="11"/>
      <c r="AH36" s="11">
        <f>AH35/AG31</f>
        <v>0</v>
      </c>
      <c r="AI36" s="31">
        <v>2E-3</v>
      </c>
      <c r="AJ36" s="31">
        <v>2E-3</v>
      </c>
      <c r="AK36" s="31">
        <v>2E-3</v>
      </c>
      <c r="AL36" s="31">
        <v>2E-3</v>
      </c>
      <c r="AM36" s="31">
        <v>2E-3</v>
      </c>
      <c r="AN36" s="31">
        <v>2E-3</v>
      </c>
      <c r="AO36" s="31">
        <v>2E-3</v>
      </c>
    </row>
    <row r="37" spans="1:41" s="1" customFormat="1" x14ac:dyDescent="0.3">
      <c r="A37" t="s">
        <v>158</v>
      </c>
      <c r="B37" s="11"/>
      <c r="C37" s="11"/>
      <c r="D37" s="11"/>
      <c r="E37" s="19"/>
      <c r="F37" s="19"/>
      <c r="G37" s="19"/>
      <c r="H37" s="19"/>
      <c r="I37" s="19">
        <v>-1.2</v>
      </c>
      <c r="J37" s="11"/>
      <c r="K37" s="19">
        <v>-0.1</v>
      </c>
      <c r="L37" s="11"/>
      <c r="M37" s="19">
        <v>-0.1</v>
      </c>
      <c r="O37" s="19">
        <f>O38*M31</f>
        <v>4.0000000000000001E-3</v>
      </c>
      <c r="Q37" s="19">
        <f>Q38*O31</f>
        <v>4.0280000000000003E-3</v>
      </c>
      <c r="S37" s="19">
        <f>S38*Q31</f>
        <v>4.0561960000000006E-3</v>
      </c>
      <c r="U37" s="19">
        <f>U38*S31</f>
        <v>4.0845893720000007E-3</v>
      </c>
      <c r="W37" s="19">
        <f>W38*U31</f>
        <v>4.1131814976040001E-3</v>
      </c>
      <c r="Y37" s="19">
        <f>Y38*W31</f>
        <v>4.1419737680872286E-3</v>
      </c>
      <c r="AE37" s="11"/>
      <c r="AF37" s="19"/>
      <c r="AG37" s="19"/>
      <c r="AH37" s="19">
        <v>-0.1</v>
      </c>
      <c r="AI37" s="19">
        <f>AI38*AH31</f>
        <v>9.0000000000000011E-3</v>
      </c>
      <c r="AJ37" s="19">
        <f t="shared" ref="AJ37:AO37" si="25">AJ38*AI31</f>
        <v>9.0629999999999999E-3</v>
      </c>
      <c r="AK37" s="19">
        <f t="shared" si="25"/>
        <v>9.1264410000000008E-3</v>
      </c>
      <c r="AL37" s="19">
        <f t="shared" si="25"/>
        <v>9.1903260870000014E-3</v>
      </c>
      <c r="AM37" s="19">
        <f t="shared" si="25"/>
        <v>9.2546583696090021E-3</v>
      </c>
      <c r="AN37" s="19">
        <f t="shared" si="25"/>
        <v>9.3194409781962653E-3</v>
      </c>
      <c r="AO37" s="19">
        <f t="shared" si="25"/>
        <v>9.3846770650436381E-3</v>
      </c>
    </row>
    <row r="38" spans="1:41" s="1" customFormat="1" x14ac:dyDescent="0.3">
      <c r="A38" s="20" t="s">
        <v>161</v>
      </c>
      <c r="B38" s="11"/>
      <c r="C38" s="11"/>
      <c r="D38" s="11"/>
      <c r="E38" s="11"/>
      <c r="F38" s="11"/>
      <c r="G38" s="11" t="e">
        <f t="shared" ref="G38:L38" si="26">G37/E31</f>
        <v>#DIV/0!</v>
      </c>
      <c r="H38" s="11" t="e">
        <f t="shared" si="26"/>
        <v>#DIV/0!</v>
      </c>
      <c r="I38" s="11">
        <f t="shared" si="26"/>
        <v>-0.54545454545454541</v>
      </c>
      <c r="J38" s="11" t="e">
        <f t="shared" si="26"/>
        <v>#DIV/0!</v>
      </c>
      <c r="K38" s="11">
        <f t="shared" si="26"/>
        <v>-0.1</v>
      </c>
      <c r="L38" s="11" t="e">
        <f t="shared" si="26"/>
        <v>#DIV/0!</v>
      </c>
      <c r="M38" s="11">
        <f>M37/K31</f>
        <v>-0.11111111111111112</v>
      </c>
      <c r="O38" s="31">
        <v>5.0000000000000001E-3</v>
      </c>
      <c r="Q38" s="31">
        <v>5.0000000000000001E-3</v>
      </c>
      <c r="S38" s="31">
        <v>5.0000000000000001E-3</v>
      </c>
      <c r="U38" s="31">
        <v>5.0000000000000001E-3</v>
      </c>
      <c r="W38" s="31">
        <v>5.0000000000000001E-3</v>
      </c>
      <c r="Y38" s="31">
        <v>5.0000000000000001E-3</v>
      </c>
      <c r="AE38" s="11"/>
      <c r="AF38" s="11"/>
      <c r="AG38" s="11"/>
      <c r="AH38" s="11">
        <f>AH37/AG31</f>
        <v>-5.2631578947368425E-2</v>
      </c>
      <c r="AI38" s="31">
        <v>5.0000000000000001E-3</v>
      </c>
      <c r="AJ38" s="31">
        <v>5.0000000000000001E-3</v>
      </c>
      <c r="AK38" s="31">
        <v>5.0000000000000001E-3</v>
      </c>
      <c r="AL38" s="31">
        <v>5.0000000000000001E-3</v>
      </c>
      <c r="AM38" s="31">
        <v>5.0000000000000001E-3</v>
      </c>
      <c r="AN38" s="31">
        <v>5.0000000000000001E-3</v>
      </c>
      <c r="AO38" s="31">
        <v>5.0000000000000001E-3</v>
      </c>
    </row>
    <row r="39" spans="1:41" s="1" customFormat="1" x14ac:dyDescent="0.3">
      <c r="A39" s="20"/>
      <c r="B39" s="11"/>
      <c r="C39" s="11"/>
      <c r="D39" s="11"/>
      <c r="E39" s="11"/>
      <c r="F39" s="11"/>
      <c r="G39" s="11"/>
      <c r="H39" s="11"/>
      <c r="I39" s="11"/>
      <c r="J39" s="11"/>
      <c r="K39" s="19"/>
      <c r="L39" s="11"/>
      <c r="M39" s="19"/>
      <c r="AE39" s="11"/>
      <c r="AF39" s="11"/>
      <c r="AG39" s="11"/>
      <c r="AH39" s="11"/>
    </row>
    <row r="40" spans="1:41" s="1" customFormat="1" x14ac:dyDescent="0.3">
      <c r="A40" s="20"/>
      <c r="B40" s="11"/>
      <c r="C40" s="11"/>
      <c r="D40" s="11"/>
      <c r="E40" s="11"/>
      <c r="F40" s="11"/>
      <c r="G40" s="11"/>
      <c r="H40" s="11"/>
      <c r="I40" s="11"/>
      <c r="J40" s="11"/>
      <c r="K40" s="19"/>
      <c r="L40" s="11"/>
      <c r="M40" s="19"/>
      <c r="AE40" s="11"/>
      <c r="AF40" s="11"/>
      <c r="AG40" s="11"/>
      <c r="AH40" s="11"/>
    </row>
    <row r="41" spans="1:41" s="1" customFormat="1" x14ac:dyDescent="0.3">
      <c r="A41" s="20" t="s">
        <v>166</v>
      </c>
      <c r="B41" s="11"/>
      <c r="C41" s="11"/>
      <c r="D41" s="11"/>
      <c r="E41" s="11"/>
      <c r="F41" s="11"/>
      <c r="G41" s="11"/>
      <c r="H41" s="11"/>
      <c r="I41" s="19">
        <v>0.1</v>
      </c>
      <c r="J41" s="11"/>
      <c r="K41" s="19">
        <v>0.1</v>
      </c>
      <c r="L41" s="11"/>
      <c r="M41" s="19">
        <v>0.1</v>
      </c>
      <c r="O41" s="19">
        <f>M41+O43+O45+O47</f>
        <v>0.10100000000000001</v>
      </c>
      <c r="Q41" s="19">
        <f>O41+Q43+Q45+Q47</f>
        <v>0.10201000000000002</v>
      </c>
      <c r="S41" s="19">
        <f>Q41+S43+S45+S47</f>
        <v>0.10303010000000001</v>
      </c>
      <c r="U41" s="19">
        <f>S41+U43+U45+U47</f>
        <v>0.10406040100000002</v>
      </c>
      <c r="W41" s="19">
        <f>U41+W43+W45+W47</f>
        <v>0.10510100501000003</v>
      </c>
      <c r="Y41" s="19">
        <f>W41+Y43+Y45+Y47</f>
        <v>0.10615201506010002</v>
      </c>
      <c r="AE41" s="11"/>
      <c r="AF41" s="11"/>
      <c r="AG41" s="19">
        <v>0.1</v>
      </c>
      <c r="AH41" s="19">
        <v>0.1</v>
      </c>
      <c r="AI41" s="19">
        <f>AH41+AI43+AI45+AI47</f>
        <v>0.10100000000000001</v>
      </c>
      <c r="AJ41" s="19">
        <f t="shared" ref="AJ41:AO41" si="27">AI41+AJ43+AJ45+AJ47</f>
        <v>0.10201000000000002</v>
      </c>
      <c r="AK41" s="19">
        <f t="shared" si="27"/>
        <v>0.10303010000000001</v>
      </c>
      <c r="AL41" s="19">
        <f t="shared" si="27"/>
        <v>0.10406040100000002</v>
      </c>
      <c r="AM41" s="19">
        <f t="shared" si="27"/>
        <v>0.10510100501000003</v>
      </c>
      <c r="AN41" s="19">
        <f t="shared" si="27"/>
        <v>0.10615201506010002</v>
      </c>
      <c r="AO41" s="19">
        <f t="shared" si="27"/>
        <v>0.10721353521070104</v>
      </c>
    </row>
    <row r="42" spans="1:41" s="1" customFormat="1" x14ac:dyDescent="0.3">
      <c r="A42" s="20"/>
      <c r="B42" s="11"/>
      <c r="C42" s="11"/>
      <c r="D42" s="11"/>
      <c r="E42" s="11"/>
      <c r="F42" s="11"/>
      <c r="G42" s="15" t="str">
        <f t="shared" ref="G42:L42" si="28">IFERROR(G41/E41-1, "-")</f>
        <v>-</v>
      </c>
      <c r="H42" s="15" t="str">
        <f t="shared" si="28"/>
        <v>-</v>
      </c>
      <c r="I42" s="15" t="str">
        <f t="shared" si="28"/>
        <v>-</v>
      </c>
      <c r="J42" s="15" t="str">
        <f t="shared" si="28"/>
        <v>-</v>
      </c>
      <c r="K42" s="15">
        <f t="shared" si="28"/>
        <v>0</v>
      </c>
      <c r="L42" s="15" t="str">
        <f t="shared" si="28"/>
        <v>-</v>
      </c>
      <c r="M42" s="15">
        <f>IFERROR(M41/K41-1, "-")</f>
        <v>0</v>
      </c>
      <c r="AE42" s="11"/>
      <c r="AF42" s="11"/>
      <c r="AG42" s="11"/>
      <c r="AH42" s="11"/>
    </row>
    <row r="43" spans="1:41" s="1" customFormat="1" x14ac:dyDescent="0.3">
      <c r="A43" s="27" t="s">
        <v>138</v>
      </c>
      <c r="B43" s="11"/>
      <c r="C43" s="11"/>
      <c r="D43" s="11"/>
      <c r="E43" s="11"/>
      <c r="F43" s="11"/>
      <c r="G43" s="11"/>
      <c r="H43" s="11"/>
      <c r="I43" s="11"/>
      <c r="J43" s="11"/>
      <c r="K43" s="19"/>
      <c r="L43" s="11"/>
      <c r="M43" s="19">
        <v>0</v>
      </c>
      <c r="O43">
        <f>O44*M41</f>
        <v>0</v>
      </c>
      <c r="Q43">
        <f>Q44*O41</f>
        <v>0</v>
      </c>
      <c r="S43">
        <f>S44*Q41</f>
        <v>0</v>
      </c>
      <c r="U43">
        <f>U44*S41</f>
        <v>0</v>
      </c>
      <c r="W43">
        <f>W44*U41</f>
        <v>0</v>
      </c>
      <c r="Y43">
        <f>Y44*W41</f>
        <v>0</v>
      </c>
      <c r="AE43" s="11"/>
      <c r="AF43" s="19"/>
      <c r="AG43" s="19"/>
      <c r="AH43" s="19">
        <v>0</v>
      </c>
      <c r="AI43">
        <f>AI44*AH41</f>
        <v>0</v>
      </c>
      <c r="AJ43">
        <f t="shared" ref="AJ43:AO43" si="29">AJ44*AI41</f>
        <v>0</v>
      </c>
      <c r="AK43">
        <f t="shared" si="29"/>
        <v>0</v>
      </c>
      <c r="AL43">
        <f t="shared" si="29"/>
        <v>0</v>
      </c>
      <c r="AM43">
        <f t="shared" si="29"/>
        <v>0</v>
      </c>
      <c r="AN43">
        <f t="shared" si="29"/>
        <v>0</v>
      </c>
      <c r="AO43">
        <f t="shared" si="29"/>
        <v>0</v>
      </c>
    </row>
    <row r="44" spans="1:41" s="1" customFormat="1" x14ac:dyDescent="0.3">
      <c r="A44" s="20" t="s">
        <v>159</v>
      </c>
      <c r="B44" s="11"/>
      <c r="C44" s="11"/>
      <c r="D44" s="11"/>
      <c r="E44" s="11"/>
      <c r="F44" s="11"/>
      <c r="G44" s="15" t="str">
        <f t="shared" ref="G44:L44" si="30">IFERROR(G43/E41,"-")</f>
        <v>-</v>
      </c>
      <c r="H44" s="15" t="str">
        <f t="shared" si="30"/>
        <v>-</v>
      </c>
      <c r="I44" s="15" t="str">
        <f t="shared" si="30"/>
        <v>-</v>
      </c>
      <c r="J44" s="15" t="str">
        <f t="shared" si="30"/>
        <v>-</v>
      </c>
      <c r="K44" s="15">
        <f t="shared" si="30"/>
        <v>0</v>
      </c>
      <c r="L44" s="15" t="str">
        <f t="shared" si="30"/>
        <v>-</v>
      </c>
      <c r="M44" s="15">
        <f>IFERROR(M43/K41,"-")</f>
        <v>0</v>
      </c>
      <c r="O44" s="30">
        <v>0</v>
      </c>
      <c r="Q44" s="30">
        <v>0</v>
      </c>
      <c r="S44" s="30">
        <v>0</v>
      </c>
      <c r="U44" s="30">
        <v>0</v>
      </c>
      <c r="W44" s="30">
        <v>0</v>
      </c>
      <c r="Y44" s="30">
        <v>0</v>
      </c>
      <c r="AE44" s="11"/>
      <c r="AF44" s="11"/>
      <c r="AG44" s="11"/>
      <c r="AH44" s="11">
        <f>AH43/AG41</f>
        <v>0</v>
      </c>
      <c r="AI44" s="30">
        <v>0</v>
      </c>
      <c r="AJ44" s="30">
        <v>0</v>
      </c>
      <c r="AK44" s="30">
        <v>0</v>
      </c>
      <c r="AL44" s="30">
        <v>0</v>
      </c>
      <c r="AM44" s="30">
        <v>0</v>
      </c>
      <c r="AN44" s="30">
        <v>0</v>
      </c>
      <c r="AO44" s="30">
        <v>0</v>
      </c>
    </row>
    <row r="45" spans="1:41" s="1" customFormat="1" x14ac:dyDescent="0.3">
      <c r="A45" t="s">
        <v>139</v>
      </c>
      <c r="B45" s="11"/>
      <c r="C45" s="11"/>
      <c r="D45" s="11"/>
      <c r="E45" s="11"/>
      <c r="F45" s="11"/>
      <c r="G45" s="11"/>
      <c r="H45" s="11"/>
      <c r="I45" s="11"/>
      <c r="J45" s="11"/>
      <c r="K45" s="19"/>
      <c r="L45" s="11"/>
      <c r="M45" s="19">
        <v>0</v>
      </c>
      <c r="O45" s="19">
        <f>O46*M41</f>
        <v>5.0000000000000001E-4</v>
      </c>
      <c r="Q45" s="19">
        <f>Q46*O41</f>
        <v>5.0500000000000002E-4</v>
      </c>
      <c r="S45" s="19">
        <f>S46*Q41</f>
        <v>5.1005000000000006E-4</v>
      </c>
      <c r="U45" s="19">
        <f>U46*S41</f>
        <v>5.1515050000000009E-4</v>
      </c>
      <c r="W45" s="19">
        <f>W46*U41</f>
        <v>5.2030200500000014E-4</v>
      </c>
      <c r="Y45" s="19">
        <f>Y46*W41</f>
        <v>5.2550502505000016E-4</v>
      </c>
      <c r="AE45" s="11"/>
      <c r="AF45" s="19"/>
      <c r="AG45" s="19"/>
      <c r="AH45" s="19">
        <v>0</v>
      </c>
      <c r="AI45" s="19">
        <f>AI46*AH41</f>
        <v>5.0000000000000001E-4</v>
      </c>
      <c r="AJ45" s="19">
        <f t="shared" ref="AJ45:AO45" si="31">AJ46*AI41</f>
        <v>5.0500000000000002E-4</v>
      </c>
      <c r="AK45" s="19">
        <f t="shared" si="31"/>
        <v>5.1005000000000006E-4</v>
      </c>
      <c r="AL45" s="19">
        <f t="shared" si="31"/>
        <v>5.1515050000000009E-4</v>
      </c>
      <c r="AM45" s="19">
        <f t="shared" si="31"/>
        <v>5.2030200500000014E-4</v>
      </c>
      <c r="AN45" s="19">
        <f t="shared" si="31"/>
        <v>5.2550502505000016E-4</v>
      </c>
      <c r="AO45" s="19">
        <f t="shared" si="31"/>
        <v>5.3076007530050012E-4</v>
      </c>
    </row>
    <row r="46" spans="1:41" s="1" customFormat="1" x14ac:dyDescent="0.3">
      <c r="A46" s="20" t="s">
        <v>160</v>
      </c>
      <c r="B46" s="11"/>
      <c r="C46" s="11"/>
      <c r="D46" s="11"/>
      <c r="E46" s="11"/>
      <c r="F46" s="11"/>
      <c r="G46" s="15" t="str">
        <f t="shared" ref="G46:L46" si="32">IFERROR(G45/E41,"-")</f>
        <v>-</v>
      </c>
      <c r="H46" s="15" t="str">
        <f t="shared" si="32"/>
        <v>-</v>
      </c>
      <c r="I46" s="15" t="str">
        <f t="shared" si="32"/>
        <v>-</v>
      </c>
      <c r="J46" s="15" t="str">
        <f t="shared" si="32"/>
        <v>-</v>
      </c>
      <c r="K46" s="15">
        <f t="shared" si="32"/>
        <v>0</v>
      </c>
      <c r="L46" s="15" t="str">
        <f t="shared" si="32"/>
        <v>-</v>
      </c>
      <c r="M46" s="15">
        <f>IFERROR(M45/K41,"-")</f>
        <v>0</v>
      </c>
      <c r="O46" s="31">
        <v>5.0000000000000001E-3</v>
      </c>
      <c r="Q46" s="31">
        <v>5.0000000000000001E-3</v>
      </c>
      <c r="S46" s="31">
        <v>5.0000000000000001E-3</v>
      </c>
      <c r="U46" s="31">
        <v>5.0000000000000001E-3</v>
      </c>
      <c r="W46" s="31">
        <v>5.0000000000000001E-3</v>
      </c>
      <c r="Y46" s="31">
        <v>5.0000000000000001E-3</v>
      </c>
      <c r="AE46" s="11"/>
      <c r="AF46" s="11"/>
      <c r="AG46" s="11"/>
      <c r="AH46" s="11">
        <f>AH45/AG41</f>
        <v>0</v>
      </c>
      <c r="AI46" s="31">
        <v>5.0000000000000001E-3</v>
      </c>
      <c r="AJ46" s="31">
        <v>5.0000000000000001E-3</v>
      </c>
      <c r="AK46" s="31">
        <v>5.0000000000000001E-3</v>
      </c>
      <c r="AL46" s="31">
        <v>5.0000000000000001E-3</v>
      </c>
      <c r="AM46" s="31">
        <v>5.0000000000000001E-3</v>
      </c>
      <c r="AN46" s="31">
        <v>5.0000000000000001E-3</v>
      </c>
      <c r="AO46" s="31">
        <v>5.0000000000000001E-3</v>
      </c>
    </row>
    <row r="47" spans="1:41" s="1" customFormat="1" x14ac:dyDescent="0.3">
      <c r="A47" t="s">
        <v>158</v>
      </c>
      <c r="B47" s="11"/>
      <c r="C47" s="11"/>
      <c r="D47" s="11"/>
      <c r="E47" s="19"/>
      <c r="F47" s="19"/>
      <c r="G47" s="19"/>
      <c r="H47" s="19"/>
      <c r="I47" s="19">
        <v>1</v>
      </c>
      <c r="J47" s="11"/>
      <c r="K47" s="19"/>
      <c r="L47" s="11"/>
      <c r="M47" s="19">
        <v>0</v>
      </c>
      <c r="O47" s="19">
        <f>O48*M41</f>
        <v>5.0000000000000001E-4</v>
      </c>
      <c r="Q47" s="19">
        <f>Q48*O41</f>
        <v>5.0500000000000002E-4</v>
      </c>
      <c r="S47" s="19">
        <f>S48*Q41</f>
        <v>5.1005000000000006E-4</v>
      </c>
      <c r="U47" s="19">
        <f>U48*S41</f>
        <v>5.1515050000000009E-4</v>
      </c>
      <c r="W47" s="19">
        <f>W48*U41</f>
        <v>5.2030200500000014E-4</v>
      </c>
      <c r="Y47" s="19">
        <f>Y48*W41</f>
        <v>5.2550502505000016E-4</v>
      </c>
      <c r="AE47" s="11"/>
      <c r="AF47" s="19"/>
      <c r="AG47" s="19"/>
      <c r="AH47" s="19">
        <v>0</v>
      </c>
      <c r="AI47" s="19">
        <f>AI48*AH41</f>
        <v>5.0000000000000001E-4</v>
      </c>
      <c r="AJ47" s="19">
        <f t="shared" ref="AJ47:AO47" si="33">AJ48*AI41</f>
        <v>5.0500000000000002E-4</v>
      </c>
      <c r="AK47" s="19">
        <f t="shared" si="33"/>
        <v>5.1005000000000006E-4</v>
      </c>
      <c r="AL47" s="19">
        <f t="shared" si="33"/>
        <v>5.1515050000000009E-4</v>
      </c>
      <c r="AM47" s="19">
        <f t="shared" si="33"/>
        <v>5.2030200500000014E-4</v>
      </c>
      <c r="AN47" s="19">
        <f t="shared" si="33"/>
        <v>5.2550502505000016E-4</v>
      </c>
      <c r="AO47" s="19">
        <f t="shared" si="33"/>
        <v>5.3076007530050012E-4</v>
      </c>
    </row>
    <row r="48" spans="1:41" s="1" customFormat="1" x14ac:dyDescent="0.3">
      <c r="A48" s="20" t="s">
        <v>161</v>
      </c>
      <c r="B48" s="11"/>
      <c r="C48" s="11"/>
      <c r="D48" s="11"/>
      <c r="E48" s="11"/>
      <c r="F48" s="11"/>
      <c r="G48" s="11"/>
      <c r="H48" s="11"/>
      <c r="I48" s="11">
        <v>0.73899999999999999</v>
      </c>
      <c r="J48" s="11"/>
      <c r="K48" s="15">
        <v>-0.39200000000000002</v>
      </c>
      <c r="L48" s="11"/>
      <c r="M48" s="15">
        <v>0.56799999999999995</v>
      </c>
      <c r="O48" s="31">
        <v>5.0000000000000001E-3</v>
      </c>
      <c r="Q48" s="31">
        <v>5.0000000000000001E-3</v>
      </c>
      <c r="S48" s="31">
        <v>5.0000000000000001E-3</v>
      </c>
      <c r="U48" s="31">
        <v>5.0000000000000001E-3</v>
      </c>
      <c r="W48" s="31">
        <v>5.0000000000000001E-3</v>
      </c>
      <c r="Y48" s="31">
        <v>5.0000000000000001E-3</v>
      </c>
      <c r="AE48" s="11"/>
      <c r="AF48" s="11"/>
      <c r="AG48" s="11"/>
      <c r="AH48" s="11">
        <f>AH47/AG41</f>
        <v>0</v>
      </c>
      <c r="AI48" s="31">
        <v>5.0000000000000001E-3</v>
      </c>
      <c r="AJ48" s="31">
        <v>5.0000000000000001E-3</v>
      </c>
      <c r="AK48" s="31">
        <v>5.0000000000000001E-3</v>
      </c>
      <c r="AL48" s="31">
        <v>5.0000000000000001E-3</v>
      </c>
      <c r="AM48" s="31">
        <v>5.0000000000000001E-3</v>
      </c>
      <c r="AN48" s="31">
        <v>5.0000000000000001E-3</v>
      </c>
      <c r="AO48" s="31">
        <v>5.0000000000000001E-3</v>
      </c>
    </row>
    <row r="49" spans="1:41" s="1" customFormat="1" x14ac:dyDescent="0.3">
      <c r="A49" s="20"/>
      <c r="B49" s="11"/>
      <c r="C49" s="11"/>
      <c r="D49" s="11"/>
      <c r="E49" s="11"/>
      <c r="F49" s="11"/>
      <c r="G49" s="11"/>
      <c r="H49" s="11"/>
      <c r="I49" s="11"/>
      <c r="J49" s="11"/>
      <c r="K49" s="19"/>
      <c r="L49" s="11"/>
      <c r="M49" s="19"/>
      <c r="AE49" s="11"/>
      <c r="AF49" s="11"/>
      <c r="AG49" s="11"/>
      <c r="AH49" s="11"/>
    </row>
    <row r="50" spans="1:41" s="1" customFormat="1" x14ac:dyDescent="0.3">
      <c r="A50" s="20"/>
      <c r="B50" s="11"/>
      <c r="C50" s="11"/>
      <c r="D50" s="11"/>
      <c r="E50" s="11"/>
      <c r="F50" s="11"/>
      <c r="G50" s="11"/>
      <c r="H50" s="11"/>
      <c r="I50" s="11"/>
      <c r="J50" s="11"/>
      <c r="K50" s="19"/>
      <c r="L50" s="11"/>
      <c r="M50" s="19"/>
      <c r="AE50" s="11"/>
      <c r="AF50" s="11"/>
      <c r="AG50" s="11"/>
      <c r="AH50" s="11"/>
    </row>
    <row r="51" spans="1:41" s="1" customFormat="1" x14ac:dyDescent="0.3">
      <c r="A51" s="20" t="s">
        <v>169</v>
      </c>
      <c r="B51" s="11"/>
      <c r="C51" s="11"/>
      <c r="D51" s="11"/>
      <c r="E51" s="19"/>
      <c r="F51" s="19"/>
      <c r="G51" s="19">
        <v>42.6</v>
      </c>
      <c r="H51" s="11"/>
      <c r="I51" s="19">
        <v>43.9</v>
      </c>
      <c r="J51" s="11"/>
      <c r="K51" s="19">
        <f>K22+K31+K41</f>
        <v>43.199999999999996</v>
      </c>
      <c r="L51" s="11"/>
      <c r="M51" s="19">
        <f>M22+M31+M41</f>
        <v>43.6</v>
      </c>
      <c r="O51" s="19">
        <f>O22+O31+O41</f>
        <v>43.905500000000004</v>
      </c>
      <c r="Q51" s="19">
        <f>Q22+Q31+Q41</f>
        <v>44.213141500000013</v>
      </c>
      <c r="S51" s="19">
        <f>S22+S31+S41</f>
        <v>44.522939520500003</v>
      </c>
      <c r="U51" s="19">
        <f>U22+U31+U41</f>
        <v>44.834909187443508</v>
      </c>
      <c r="W51" s="19">
        <f>W22+W31+W41</f>
        <v>45.149065732958611</v>
      </c>
      <c r="Y51" s="19">
        <f>Y22+Y31+Y41</f>
        <v>45.465424496104347</v>
      </c>
      <c r="AE51" s="11"/>
      <c r="AF51" s="11"/>
      <c r="AG51" s="19">
        <v>90.6</v>
      </c>
      <c r="AH51" s="19">
        <v>90.4</v>
      </c>
      <c r="AI51" s="19">
        <f>AI22+AI31+AI41</f>
        <v>90.932400000000001</v>
      </c>
      <c r="AJ51" s="19">
        <f t="shared" ref="AJ51:AO51" si="34">AJ22+AJ31+AJ41</f>
        <v>91.569229800000002</v>
      </c>
      <c r="AK51" s="19">
        <f t="shared" si="34"/>
        <v>92.210520438599985</v>
      </c>
      <c r="AL51" s="19">
        <f t="shared" si="34"/>
        <v>92.856303171970197</v>
      </c>
      <c r="AM51" s="19">
        <f t="shared" si="34"/>
        <v>93.506609475376976</v>
      </c>
      <c r="AN51" s="19">
        <f t="shared" si="34"/>
        <v>94.161471044719647</v>
      </c>
      <c r="AO51" s="19">
        <f t="shared" si="34"/>
        <v>94.820919798077853</v>
      </c>
    </row>
    <row r="52" spans="1:41" s="1" customFormat="1" x14ac:dyDescent="0.3">
      <c r="A52" s="20"/>
      <c r="B52" s="11"/>
      <c r="C52" s="11"/>
      <c r="D52" s="11"/>
      <c r="E52" s="11"/>
      <c r="F52" s="11"/>
      <c r="G52" s="15" t="str">
        <f t="shared" ref="G52:L52" si="35">IFERROR(G51/E51-1, "-")</f>
        <v>-</v>
      </c>
      <c r="H52" s="15" t="str">
        <f t="shared" si="35"/>
        <v>-</v>
      </c>
      <c r="I52" s="15">
        <f t="shared" si="35"/>
        <v>3.0516431924882514E-2</v>
      </c>
      <c r="J52" s="15" t="str">
        <f t="shared" si="35"/>
        <v>-</v>
      </c>
      <c r="K52" s="15">
        <f t="shared" si="35"/>
        <v>-1.5945330296127658E-2</v>
      </c>
      <c r="L52" s="15" t="str">
        <f t="shared" si="35"/>
        <v>-</v>
      </c>
      <c r="M52" s="15">
        <f>IFERROR(M51/K51-1, "-")</f>
        <v>9.2592592592593004E-3</v>
      </c>
      <c r="AE52" s="11"/>
      <c r="AF52" s="11"/>
      <c r="AG52" s="11"/>
      <c r="AH52" s="11"/>
    </row>
    <row r="53" spans="1:41" s="1" customFormat="1" x14ac:dyDescent="0.3">
      <c r="A53" s="27" t="s">
        <v>138</v>
      </c>
      <c r="B53" s="11"/>
      <c r="C53" s="11"/>
      <c r="D53" s="11"/>
      <c r="E53" s="19"/>
      <c r="F53" s="19"/>
      <c r="G53" s="19"/>
      <c r="H53" s="19"/>
      <c r="I53" s="19">
        <v>0</v>
      </c>
      <c r="J53" s="11"/>
      <c r="K53" s="19">
        <v>0</v>
      </c>
      <c r="L53" s="11"/>
      <c r="M53" s="19">
        <v>0</v>
      </c>
      <c r="O53" s="19">
        <f>O24+O33+O43</f>
        <v>0</v>
      </c>
      <c r="Q53" s="19">
        <f>Q24+Q33+Q43</f>
        <v>0</v>
      </c>
      <c r="S53" s="19">
        <f>S24+S33+S43</f>
        <v>0</v>
      </c>
      <c r="U53" s="19">
        <f>U24+U33+U43</f>
        <v>0</v>
      </c>
      <c r="W53" s="19">
        <f>W24+W33+W43</f>
        <v>0</v>
      </c>
      <c r="Y53" s="19">
        <f>Y24+Y33+Y43</f>
        <v>0</v>
      </c>
      <c r="AE53" s="11"/>
      <c r="AF53" s="19"/>
      <c r="AG53" s="19"/>
      <c r="AH53" s="19">
        <v>0</v>
      </c>
      <c r="AI53" s="19">
        <f>AI24+AI33+AI43</f>
        <v>0</v>
      </c>
      <c r="AJ53" s="19">
        <f t="shared" ref="AJ53:AO53" si="36">AJ24+AJ33+AJ43</f>
        <v>0</v>
      </c>
      <c r="AK53" s="19">
        <f t="shared" si="36"/>
        <v>0</v>
      </c>
      <c r="AL53" s="19">
        <f t="shared" si="36"/>
        <v>0</v>
      </c>
      <c r="AM53" s="19">
        <f t="shared" si="36"/>
        <v>0</v>
      </c>
      <c r="AN53" s="19">
        <f t="shared" si="36"/>
        <v>0</v>
      </c>
      <c r="AO53" s="19">
        <f t="shared" si="36"/>
        <v>0</v>
      </c>
    </row>
    <row r="54" spans="1:41" s="1" customFormat="1" x14ac:dyDescent="0.3">
      <c r="A54" s="20" t="s">
        <v>159</v>
      </c>
      <c r="B54" s="11"/>
      <c r="C54" s="11"/>
      <c r="D54" s="11"/>
      <c r="E54" s="11"/>
      <c r="F54" s="11"/>
      <c r="G54" s="15" t="str">
        <f t="shared" ref="G54:L54" si="37">IFERROR(G53/E51,"-")</f>
        <v>-</v>
      </c>
      <c r="H54" s="15" t="str">
        <f t="shared" si="37"/>
        <v>-</v>
      </c>
      <c r="I54" s="15">
        <f t="shared" si="37"/>
        <v>0</v>
      </c>
      <c r="J54" s="15" t="str">
        <f t="shared" si="37"/>
        <v>-</v>
      </c>
      <c r="K54" s="15">
        <f t="shared" si="37"/>
        <v>0</v>
      </c>
      <c r="L54" s="15" t="str">
        <f t="shared" si="37"/>
        <v>-</v>
      </c>
      <c r="M54" s="15">
        <f>IFERROR(M53/K51,"-")</f>
        <v>0</v>
      </c>
      <c r="O54" s="11">
        <f>O53/M51</f>
        <v>0</v>
      </c>
      <c r="Q54" s="11">
        <f>Q53/O51</f>
        <v>0</v>
      </c>
      <c r="S54" s="11">
        <f>S53/Q51</f>
        <v>0</v>
      </c>
      <c r="U54" s="11">
        <f>U53/S51</f>
        <v>0</v>
      </c>
      <c r="W54" s="11">
        <f>W53/U51</f>
        <v>0</v>
      </c>
      <c r="Y54" s="11">
        <f>Y53/W51</f>
        <v>0</v>
      </c>
      <c r="AE54" s="11"/>
      <c r="AF54" s="11"/>
      <c r="AG54" s="11"/>
      <c r="AH54" s="11">
        <f>AH53/AG51</f>
        <v>0</v>
      </c>
      <c r="AI54" s="11">
        <f>AI53/AH51</f>
        <v>0</v>
      </c>
      <c r="AJ54" s="11">
        <f t="shared" ref="AJ54:AO54" si="38">AJ53/AI51</f>
        <v>0</v>
      </c>
      <c r="AK54" s="11">
        <f t="shared" si="38"/>
        <v>0</v>
      </c>
      <c r="AL54" s="11">
        <f t="shared" si="38"/>
        <v>0</v>
      </c>
      <c r="AM54" s="11">
        <f t="shared" si="38"/>
        <v>0</v>
      </c>
      <c r="AN54" s="11">
        <f t="shared" si="38"/>
        <v>0</v>
      </c>
      <c r="AO54" s="11">
        <f t="shared" si="38"/>
        <v>0</v>
      </c>
    </row>
    <row r="55" spans="1:41" s="1" customFormat="1" x14ac:dyDescent="0.3">
      <c r="A55" t="s">
        <v>139</v>
      </c>
      <c r="B55" s="11"/>
      <c r="C55" s="11"/>
      <c r="D55" s="11"/>
      <c r="E55" s="19"/>
      <c r="F55" s="19"/>
      <c r="G55" s="19"/>
      <c r="H55" s="19"/>
      <c r="I55" s="19"/>
      <c r="J55" s="11"/>
      <c r="K55" s="19">
        <v>0</v>
      </c>
      <c r="L55" s="11"/>
      <c r="M55" s="19">
        <v>0.1</v>
      </c>
      <c r="O55" s="19">
        <f>O26+O35+O45</f>
        <v>0.21560000000000001</v>
      </c>
      <c r="Q55" s="19">
        <f>Q26+Q35+Q45</f>
        <v>0.21711070000000005</v>
      </c>
      <c r="S55" s="19">
        <f>S26+S35+S45</f>
        <v>0.21863198990000005</v>
      </c>
      <c r="U55" s="19">
        <f>U26+U35+U45</f>
        <v>0.22016394397930003</v>
      </c>
      <c r="W55" s="19">
        <f>W26+W35+W45</f>
        <v>0.22170663703865515</v>
      </c>
      <c r="Y55" s="19">
        <f>Y26+Y35+Y45</f>
        <v>0.22326014440394074</v>
      </c>
      <c r="AE55" s="11"/>
      <c r="AF55" s="19"/>
      <c r="AG55" s="19"/>
      <c r="AH55" s="19">
        <v>0</v>
      </c>
      <c r="AI55" s="19">
        <f>AI26+AI35+AI45</f>
        <v>0.44610000000000005</v>
      </c>
      <c r="AJ55" s="19">
        <f t="shared" ref="AJ55:AO55" si="39">AJ26+AJ35+AJ45</f>
        <v>0.44922419999999996</v>
      </c>
      <c r="AK55" s="19">
        <f t="shared" si="39"/>
        <v>0.45237028439999993</v>
      </c>
      <c r="AL55" s="19">
        <f t="shared" si="39"/>
        <v>0.45553840654079991</v>
      </c>
      <c r="AM55" s="19">
        <f t="shared" si="39"/>
        <v>0.45872872083808558</v>
      </c>
      <c r="AN55" s="19">
        <f t="shared" si="39"/>
        <v>0.46194138278996716</v>
      </c>
      <c r="AO55" s="19">
        <f t="shared" si="39"/>
        <v>0.46517654898457206</v>
      </c>
    </row>
    <row r="56" spans="1:41" s="1" customFormat="1" x14ac:dyDescent="0.3">
      <c r="A56" s="20" t="s">
        <v>160</v>
      </c>
      <c r="B56" s="11"/>
      <c r="C56" s="11"/>
      <c r="D56" s="11"/>
      <c r="E56" s="11"/>
      <c r="F56" s="11"/>
      <c r="G56" s="15" t="str">
        <f t="shared" ref="G56:L56" si="40">IFERROR(G55/E51,"-")</f>
        <v>-</v>
      </c>
      <c r="H56" s="15" t="str">
        <f t="shared" si="40"/>
        <v>-</v>
      </c>
      <c r="I56" s="15">
        <f t="shared" si="40"/>
        <v>0</v>
      </c>
      <c r="J56" s="15" t="str">
        <f t="shared" si="40"/>
        <v>-</v>
      </c>
      <c r="K56" s="15">
        <f t="shared" si="40"/>
        <v>0</v>
      </c>
      <c r="L56" s="15" t="str">
        <f t="shared" si="40"/>
        <v>-</v>
      </c>
      <c r="M56" s="15">
        <f>IFERROR(M55/K51,"-")</f>
        <v>2.3148148148148151E-3</v>
      </c>
      <c r="O56" s="11">
        <f>O55/M51</f>
        <v>4.9449541284403674E-3</v>
      </c>
      <c r="Q56" s="11">
        <f>Q55/O51</f>
        <v>4.9449545045609326E-3</v>
      </c>
      <c r="S56" s="11">
        <f>S55/Q51</f>
        <v>4.9449548817968514E-3</v>
      </c>
      <c r="U56" s="11">
        <f>U55/S51</f>
        <v>4.9449552601514204E-3</v>
      </c>
      <c r="W56" s="11">
        <f>W55/U51</f>
        <v>4.9449556396279366E-3</v>
      </c>
      <c r="Y56" s="11">
        <f>Y55/W51</f>
        <v>4.9449560202297132E-3</v>
      </c>
      <c r="AE56" s="11"/>
      <c r="AF56" s="11"/>
      <c r="AG56" s="11"/>
      <c r="AH56" s="11">
        <f>AH55/AG51</f>
        <v>0</v>
      </c>
      <c r="AI56" s="11">
        <f>AI55/AH51</f>
        <v>4.9347345132743367E-3</v>
      </c>
      <c r="AJ56" s="11">
        <f t="shared" ref="AJ56:AO56" si="41">AJ55/AI51</f>
        <v>4.9401995328397794E-3</v>
      </c>
      <c r="AK56" s="11">
        <f t="shared" si="41"/>
        <v>4.9401997307178388E-3</v>
      </c>
      <c r="AL56" s="11">
        <f t="shared" si="41"/>
        <v>4.9401999291840918E-3</v>
      </c>
      <c r="AM56" s="11">
        <f t="shared" si="41"/>
        <v>4.9402001282402809E-3</v>
      </c>
      <c r="AN56" s="11">
        <f t="shared" si="41"/>
        <v>4.9402003278881564E-3</v>
      </c>
      <c r="AO56" s="11">
        <f t="shared" si="41"/>
        <v>4.9402005281294729E-3</v>
      </c>
    </row>
    <row r="57" spans="1:41" s="1" customFormat="1" x14ac:dyDescent="0.3">
      <c r="A57" t="s">
        <v>158</v>
      </c>
      <c r="B57" s="11"/>
      <c r="C57" s="11"/>
      <c r="D57" s="11"/>
      <c r="E57" s="19"/>
      <c r="F57" s="19"/>
      <c r="G57" s="19"/>
      <c r="H57" s="19"/>
      <c r="I57" s="19">
        <v>1.3</v>
      </c>
      <c r="J57" s="11"/>
      <c r="K57" s="19">
        <v>-0.7</v>
      </c>
      <c r="L57" s="11"/>
      <c r="M57" s="19">
        <v>0.4</v>
      </c>
      <c r="O57" s="19">
        <f>O28+O37+O47</f>
        <v>8.9900000000000008E-2</v>
      </c>
      <c r="Q57" s="19">
        <f>Q28+Q37+Q47</f>
        <v>9.0530800000000022E-2</v>
      </c>
      <c r="S57" s="19">
        <f>S28+S37+S47</f>
        <v>9.1166030600000017E-2</v>
      </c>
      <c r="U57" s="19">
        <f>U28+U37+U47</f>
        <v>9.1805722964200018E-2</v>
      </c>
      <c r="W57" s="19">
        <f>W28+W37+W47</f>
        <v>9.2449908476449405E-2</v>
      </c>
      <c r="Y57" s="19">
        <f>Y28+Y37+Y47</f>
        <v>9.309861874179956E-2</v>
      </c>
      <c r="AE57" s="11"/>
      <c r="AF57" s="19"/>
      <c r="AG57" s="19"/>
      <c r="AH57" s="19">
        <v>-0.2</v>
      </c>
      <c r="AI57" s="19">
        <f>AI28+AI37+AI47</f>
        <v>0.18630000000000002</v>
      </c>
      <c r="AJ57" s="19">
        <f t="shared" ref="AJ57:AO57" si="42">AJ28+AJ37+AJ47</f>
        <v>0.18760559999999998</v>
      </c>
      <c r="AK57" s="19">
        <f t="shared" si="42"/>
        <v>0.1889203542</v>
      </c>
      <c r="AL57" s="19">
        <f t="shared" si="42"/>
        <v>0.19024432682939998</v>
      </c>
      <c r="AM57" s="19">
        <f t="shared" si="42"/>
        <v>0.1915775825687058</v>
      </c>
      <c r="AN57" s="19">
        <f t="shared" si="42"/>
        <v>0.19292018655270171</v>
      </c>
      <c r="AO57" s="19">
        <f t="shared" si="42"/>
        <v>0.19427220437364578</v>
      </c>
    </row>
    <row r="58" spans="1:41" s="1" customFormat="1" x14ac:dyDescent="0.3">
      <c r="A58" s="20" t="s">
        <v>161</v>
      </c>
      <c r="B58" s="11"/>
      <c r="C58" s="11"/>
      <c r="D58" s="11"/>
      <c r="E58" s="11"/>
      <c r="F58" s="11"/>
      <c r="G58" s="11" t="str">
        <f t="shared" ref="G58:L58" si="43">IFERROR(G57/E51,"-")</f>
        <v>-</v>
      </c>
      <c r="H58" s="11" t="str">
        <f t="shared" si="43"/>
        <v>-</v>
      </c>
      <c r="I58" s="11">
        <f t="shared" si="43"/>
        <v>3.0516431924882629E-2</v>
      </c>
      <c r="J58" s="11" t="str">
        <f t="shared" si="43"/>
        <v>-</v>
      </c>
      <c r="K58" s="11">
        <f t="shared" si="43"/>
        <v>-1.5945330296127561E-2</v>
      </c>
      <c r="L58" s="11" t="str">
        <f t="shared" si="43"/>
        <v>-</v>
      </c>
      <c r="M58" s="11">
        <f>IFERROR(M57/K51,"-")</f>
        <v>9.2592592592592605E-3</v>
      </c>
      <c r="O58" s="11">
        <f>O57/M51</f>
        <v>2.0619266055045874E-3</v>
      </c>
      <c r="Q58" s="11">
        <f>Q57/O51</f>
        <v>2.0619466809397458E-3</v>
      </c>
      <c r="S58" s="11">
        <f>S57/Q51</f>
        <v>2.0619668159069853E-3</v>
      </c>
      <c r="U58" s="11">
        <f>U57/S51</f>
        <v>2.061987010582023E-3</v>
      </c>
      <c r="W58" s="11">
        <f>W57/U51</f>
        <v>2.0620072651410877E-3</v>
      </c>
      <c r="Y58" s="11">
        <f>Y57/W51</f>
        <v>2.0620275797609252E-3</v>
      </c>
      <c r="AE58" s="11"/>
      <c r="AF58" s="11"/>
      <c r="AG58" s="11"/>
      <c r="AH58" s="11">
        <f>AH57/AG51</f>
        <v>-2.2075055187637973E-3</v>
      </c>
      <c r="AI58" s="11">
        <f>AI57/AH51</f>
        <v>2.0608407079646019E-3</v>
      </c>
      <c r="AJ58" s="11">
        <f t="shared" ref="AJ58:AO58" si="44">AJ57/AI51</f>
        <v>2.0631326127980784E-3</v>
      </c>
      <c r="AK58" s="11">
        <f t="shared" si="44"/>
        <v>2.0631423308094701E-3</v>
      </c>
      <c r="AL58" s="11">
        <f t="shared" si="44"/>
        <v>2.0631520777076359E-3</v>
      </c>
      <c r="AM58" s="11">
        <f t="shared" si="44"/>
        <v>2.0631618535782484E-3</v>
      </c>
      <c r="AN58" s="11">
        <f t="shared" si="44"/>
        <v>2.0631716585072335E-3</v>
      </c>
      <c r="AO58" s="11">
        <f t="shared" si="44"/>
        <v>2.0631814925807716E-3</v>
      </c>
    </row>
    <row r="59" spans="1:41" s="1" customFormat="1" x14ac:dyDescent="0.3">
      <c r="A59" s="20"/>
      <c r="B59" s="11"/>
      <c r="C59" s="11"/>
      <c r="D59" s="11"/>
      <c r="E59" s="11"/>
      <c r="F59" s="11"/>
      <c r="G59" s="11"/>
      <c r="H59" s="11"/>
      <c r="I59" s="11"/>
      <c r="J59" s="11"/>
      <c r="K59" s="19"/>
      <c r="L59" s="11"/>
      <c r="M59" s="19"/>
      <c r="AE59" s="11"/>
      <c r="AF59" s="11"/>
      <c r="AG59" s="11"/>
      <c r="AH59" s="11"/>
    </row>
    <row r="60" spans="1:41" s="1" customFormat="1" x14ac:dyDescent="0.3">
      <c r="A60" s="20" t="s">
        <v>167</v>
      </c>
      <c r="B60" s="11"/>
      <c r="C60" s="11"/>
      <c r="D60" s="11"/>
      <c r="E60" s="21"/>
      <c r="F60" s="21"/>
      <c r="G60" s="21">
        <v>1.4</v>
      </c>
      <c r="H60" s="11"/>
      <c r="I60" s="21">
        <v>1.4</v>
      </c>
      <c r="J60" s="11"/>
      <c r="K60" s="21">
        <v>1.6</v>
      </c>
      <c r="L60" s="11"/>
      <c r="M60" s="21">
        <v>1.5</v>
      </c>
      <c r="AE60" s="11"/>
      <c r="AF60" s="19"/>
      <c r="AG60" s="19">
        <v>3.2</v>
      </c>
      <c r="AH60" s="19">
        <v>3.4</v>
      </c>
    </row>
    <row r="61" spans="1:41" s="1" customFormat="1" x14ac:dyDescent="0.3">
      <c r="A61" s="20"/>
      <c r="B61" s="11"/>
      <c r="C61" s="11"/>
      <c r="D61" s="11"/>
      <c r="E61" s="11"/>
      <c r="F61" s="11"/>
      <c r="G61" s="11"/>
      <c r="H61" s="11"/>
      <c r="I61" s="11"/>
      <c r="J61" s="11"/>
      <c r="K61" s="21"/>
      <c r="L61" s="11"/>
      <c r="M61" s="21"/>
      <c r="AE61" s="11"/>
      <c r="AF61" s="11"/>
      <c r="AG61" s="11"/>
      <c r="AH61" s="11"/>
    </row>
    <row r="62" spans="1:41" s="1" customFormat="1" x14ac:dyDescent="0.3">
      <c r="A62" s="20" t="s">
        <v>168</v>
      </c>
      <c r="B62" s="11"/>
      <c r="C62" s="11"/>
      <c r="D62" s="11"/>
      <c r="E62" s="21"/>
      <c r="F62" s="21"/>
      <c r="G62" s="21">
        <v>45.8</v>
      </c>
      <c r="H62" s="11"/>
      <c r="I62" s="21">
        <v>47.9</v>
      </c>
      <c r="J62" s="11"/>
      <c r="K62" s="21">
        <v>47.6</v>
      </c>
      <c r="L62" s="11"/>
      <c r="M62" s="21">
        <v>47.5</v>
      </c>
      <c r="AE62" s="11"/>
      <c r="AF62" s="19"/>
      <c r="AG62" s="19">
        <v>99.6</v>
      </c>
      <c r="AH62" s="19">
        <v>99.7</v>
      </c>
    </row>
    <row r="63" spans="1:41" s="1" customFormat="1" x14ac:dyDescent="0.3">
      <c r="A63" s="20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AE63" s="11"/>
      <c r="AF63" s="11"/>
      <c r="AG63" s="11"/>
      <c r="AH63" s="11"/>
    </row>
    <row r="65" spans="1:34" x14ac:dyDescent="0.3">
      <c r="A65" s="3"/>
    </row>
    <row r="66" spans="1:34" x14ac:dyDescent="0.3">
      <c r="A66" s="3"/>
      <c r="M66" s="22">
        <f>M8+M10+M12-M18</f>
        <v>0</v>
      </c>
    </row>
    <row r="67" spans="1:34" x14ac:dyDescent="0.3">
      <c r="A67" s="3"/>
    </row>
    <row r="68" spans="1:34" x14ac:dyDescent="0.3">
      <c r="M68" s="12"/>
    </row>
    <row r="69" spans="1:34" x14ac:dyDescent="0.3">
      <c r="A69" s="3"/>
    </row>
    <row r="70" spans="1:34" s="1" customFormat="1" x14ac:dyDescent="0.3"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AE70" s="11"/>
      <c r="AF70" s="11"/>
      <c r="AG70" s="11"/>
      <c r="AH70" s="11"/>
    </row>
    <row r="72" spans="1:34" x14ac:dyDescent="0.3">
      <c r="A72" s="3"/>
    </row>
    <row r="73" spans="1:34" s="1" customFormat="1" x14ac:dyDescent="0.3"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AE73" s="11"/>
      <c r="AF73" s="11"/>
      <c r="AG73" s="11"/>
      <c r="AH73" s="11"/>
    </row>
    <row r="75" spans="1:34" x14ac:dyDescent="0.3">
      <c r="A75" s="3"/>
    </row>
    <row r="77" spans="1:34" x14ac:dyDescent="0.3">
      <c r="A77" s="3"/>
    </row>
    <row r="78" spans="1:34" x14ac:dyDescent="0.3">
      <c r="A78" s="3"/>
      <c r="M78" s="10"/>
    </row>
    <row r="79" spans="1:34" x14ac:dyDescent="0.3">
      <c r="A79" s="3"/>
    </row>
    <row r="81" spans="1:34" x14ac:dyDescent="0.3">
      <c r="A81" s="3"/>
    </row>
    <row r="82" spans="1:34" s="1" customFormat="1" x14ac:dyDescent="0.3"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AE82" s="11"/>
      <c r="AF82" s="11"/>
      <c r="AG82" s="11"/>
      <c r="AH82" s="11"/>
    </row>
    <row r="84" spans="1:34" x14ac:dyDescent="0.3">
      <c r="A84" s="3"/>
    </row>
    <row r="85" spans="1:34" s="1" customFormat="1" x14ac:dyDescent="0.3"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AE85" s="11"/>
      <c r="AF85" s="11"/>
      <c r="AG85" s="11"/>
      <c r="AH85" s="11"/>
    </row>
    <row r="87" spans="1:34" x14ac:dyDescent="0.3">
      <c r="A87" s="3"/>
    </row>
    <row r="89" spans="1:34" x14ac:dyDescent="0.3">
      <c r="A89" s="3"/>
    </row>
    <row r="90" spans="1:34" x14ac:dyDescent="0.3">
      <c r="A90" s="3"/>
      <c r="M90" s="10"/>
    </row>
    <row r="91" spans="1:34" x14ac:dyDescent="0.3">
      <c r="A91" s="3"/>
    </row>
    <row r="93" spans="1:34" x14ac:dyDescent="0.3">
      <c r="A93" s="3"/>
    </row>
    <row r="94" spans="1:34" s="1" customFormat="1" x14ac:dyDescent="0.3"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AE94" s="11"/>
      <c r="AF94" s="11"/>
      <c r="AG94" s="11"/>
      <c r="AH94" s="11"/>
    </row>
    <row r="96" spans="1:34" x14ac:dyDescent="0.3">
      <c r="A96" s="3"/>
    </row>
    <row r="97" spans="1:34" s="1" customFormat="1" x14ac:dyDescent="0.3"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AE97" s="11"/>
      <c r="AF97" s="11"/>
      <c r="AG97" s="11"/>
      <c r="AH97" s="11"/>
    </row>
    <row r="99" spans="1:34" x14ac:dyDescent="0.3">
      <c r="A99" s="3"/>
    </row>
    <row r="101" spans="1:34" x14ac:dyDescent="0.3">
      <c r="A101" s="3"/>
    </row>
    <row r="102" spans="1:34" x14ac:dyDescent="0.3">
      <c r="A102" s="3"/>
    </row>
    <row r="104" spans="1:34" x14ac:dyDescent="0.3">
      <c r="A104" s="3"/>
    </row>
    <row r="105" spans="1:34" x14ac:dyDescent="0.3">
      <c r="A105" s="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AE105" s="11"/>
      <c r="AF105" s="11"/>
      <c r="AG105" s="11"/>
      <c r="AH105" s="11"/>
    </row>
    <row r="107" spans="1:34" x14ac:dyDescent="0.3">
      <c r="A107" s="3"/>
    </row>
    <row r="108" spans="1:34" x14ac:dyDescent="0.3">
      <c r="A108" s="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AE108" s="11"/>
      <c r="AF108" s="11"/>
      <c r="AG108" s="11"/>
      <c r="AH108" s="11"/>
    </row>
    <row r="110" spans="1:34" x14ac:dyDescent="0.3">
      <c r="A110" s="3"/>
    </row>
    <row r="111" spans="1:34" x14ac:dyDescent="0.3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AE111" s="12"/>
      <c r="AF111" s="12"/>
      <c r="AG111" s="12"/>
      <c r="AH111" s="12"/>
    </row>
    <row r="112" spans="1:34" x14ac:dyDescent="0.3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AE112" s="12"/>
      <c r="AF112" s="12"/>
      <c r="AG112" s="12"/>
      <c r="AH112" s="12"/>
    </row>
    <row r="113" spans="2:41" x14ac:dyDescent="0.3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E113" s="12"/>
      <c r="AF113" s="12"/>
      <c r="AG113" s="12"/>
      <c r="AH113" s="12"/>
      <c r="AI113" s="14"/>
      <c r="AJ113" s="14"/>
      <c r="AK113" s="14"/>
      <c r="AL113" s="14"/>
      <c r="AM113" s="14"/>
      <c r="AN113" s="14"/>
      <c r="AO113" s="14"/>
    </row>
    <row r="114" spans="2:41" x14ac:dyDescent="0.3">
      <c r="K114" s="14"/>
      <c r="M114" s="14"/>
      <c r="AG114" s="14"/>
      <c r="AH114" s="14"/>
    </row>
    <row r="115" spans="2:41" x14ac:dyDescent="0.3">
      <c r="P115" s="10"/>
      <c r="R115" s="10"/>
      <c r="T115" s="10"/>
      <c r="V115" s="10"/>
      <c r="X115" s="10"/>
    </row>
    <row r="116" spans="2:41" x14ac:dyDescent="0.3">
      <c r="M116" s="11"/>
      <c r="P116" s="10"/>
      <c r="R116" s="10"/>
      <c r="T116" s="10"/>
      <c r="V116" s="10"/>
      <c r="X116" s="10"/>
      <c r="AH116" s="11"/>
    </row>
    <row r="117" spans="2:41" x14ac:dyDescent="0.3">
      <c r="P117" s="10"/>
      <c r="R117" s="10"/>
      <c r="T117" s="10"/>
      <c r="V117" s="10"/>
      <c r="X117" s="10"/>
    </row>
    <row r="118" spans="2:41" x14ac:dyDescent="0.3">
      <c r="M118" s="11"/>
      <c r="P118" s="10"/>
      <c r="R118" s="10"/>
      <c r="T118" s="10"/>
      <c r="V118" s="10"/>
      <c r="X118" s="10"/>
      <c r="AH118" s="11"/>
    </row>
    <row r="120" spans="2:41" x14ac:dyDescent="0.3">
      <c r="M120" s="11"/>
      <c r="AH120" s="11"/>
    </row>
    <row r="121" spans="2:41" x14ac:dyDescent="0.3">
      <c r="M121" s="13"/>
      <c r="AH121" s="13"/>
    </row>
    <row r="122" spans="2:41" x14ac:dyDescent="0.3">
      <c r="M122" s="11"/>
      <c r="O122" s="10"/>
      <c r="Q122" s="10"/>
      <c r="S122" s="10"/>
      <c r="U122" s="10"/>
      <c r="W122" s="10"/>
      <c r="Y122" s="10"/>
      <c r="AH122" s="11"/>
      <c r="AI122" s="10"/>
      <c r="AJ122" s="10"/>
      <c r="AK122" s="10"/>
      <c r="AL122" s="10"/>
      <c r="AM122" s="10"/>
      <c r="AN122" s="10"/>
      <c r="AO122" s="10"/>
    </row>
    <row r="123" spans="2:41" x14ac:dyDescent="0.3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AE123" s="12"/>
      <c r="AF123" s="12"/>
      <c r="AG123" s="12"/>
      <c r="AH123" s="12"/>
    </row>
    <row r="127" spans="2:41" x14ac:dyDescent="0.3">
      <c r="M127" s="10"/>
    </row>
    <row r="128" spans="2:41" x14ac:dyDescent="0.3">
      <c r="M128" s="10"/>
    </row>
    <row r="129" spans="13:13" x14ac:dyDescent="0.3">
      <c r="M129" s="10"/>
    </row>
    <row r="130" spans="13:13" x14ac:dyDescent="0.3">
      <c r="M130" s="10"/>
    </row>
    <row r="131" spans="13:13" x14ac:dyDescent="0.3">
      <c r="M131" s="10"/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612A7-73BE-4E37-8D23-E1613CA0D5EC}">
  <dimension ref="A1:AO131"/>
  <sheetViews>
    <sheetView workbookViewId="0">
      <pane xSplit="1" ySplit="1" topLeftCell="I4" activePane="bottomRight" state="frozen"/>
      <selection pane="topRight" activeCell="B1" sqref="B1"/>
      <selection pane="bottomLeft" activeCell="A2" sqref="A2"/>
      <selection pane="bottomRight" activeCell="O1" sqref="O1:Y1048576"/>
    </sheetView>
  </sheetViews>
  <sheetFormatPr defaultRowHeight="14.4" x14ac:dyDescent="0.3"/>
  <cols>
    <col min="1" max="1" width="19" bestFit="1" customWidth="1"/>
    <col min="2" max="4" width="10.5546875" hidden="1" customWidth="1"/>
    <col min="5" max="5" width="9.5546875" hidden="1" customWidth="1"/>
    <col min="6" max="8" width="10.5546875" hidden="1" customWidth="1"/>
    <col min="9" max="9" width="10.5546875" bestFit="1" customWidth="1"/>
    <col min="10" max="10" width="10.5546875" hidden="1" customWidth="1"/>
    <col min="11" max="11" width="9.88671875" bestFit="1" customWidth="1"/>
    <col min="12" max="12" width="10.5546875" hidden="1" customWidth="1"/>
    <col min="13" max="13" width="11.109375" customWidth="1"/>
    <col min="14" max="14" width="9" customWidth="1"/>
    <col min="15" max="15" width="9.88671875" bestFit="1" customWidth="1"/>
    <col min="16" max="16" width="9.88671875" customWidth="1"/>
    <col min="17" max="17" width="9.88671875" bestFit="1" customWidth="1"/>
    <col min="18" max="18" width="9.88671875" customWidth="1"/>
    <col min="19" max="19" width="9.88671875" bestFit="1" customWidth="1"/>
    <col min="20" max="20" width="9.88671875" customWidth="1"/>
    <col min="21" max="21" width="9.88671875" bestFit="1" customWidth="1"/>
    <col min="22" max="22" width="9.88671875" customWidth="1"/>
    <col min="23" max="23" width="9.88671875" bestFit="1" customWidth="1"/>
    <col min="24" max="24" width="9.88671875" customWidth="1"/>
    <col min="25" max="26" width="9.88671875" bestFit="1" customWidth="1"/>
    <col min="31" max="34" width="10.5546875" bestFit="1" customWidth="1"/>
    <col min="35" max="41" width="9.88671875" bestFit="1" customWidth="1"/>
  </cols>
  <sheetData>
    <row r="1" spans="1:41" x14ac:dyDescent="0.3">
      <c r="B1" t="str">
        <f>'Cash Flow Statement'!B1</f>
        <v>H1'19</v>
      </c>
      <c r="C1" t="str">
        <f>'Cash Flow Statement'!C1</f>
        <v>H2'19</v>
      </c>
      <c r="D1" t="str">
        <f>'Cash Flow Statement'!D1</f>
        <v>FY'19</v>
      </c>
      <c r="E1" t="str">
        <f>'Cash Flow Statement'!E1</f>
        <v>H1'20</v>
      </c>
      <c r="F1" t="str">
        <f>'Cash Flow Statement'!F1</f>
        <v>H2'20</v>
      </c>
      <c r="G1" t="str">
        <f>'Cash Flow Statement'!G1</f>
        <v>H1'21</v>
      </c>
      <c r="H1" t="str">
        <f>'Cash Flow Statement'!H1</f>
        <v>H2'21</v>
      </c>
      <c r="I1" t="str">
        <f>'Cash Flow Statement'!I1</f>
        <v>H1'22</v>
      </c>
      <c r="J1" t="str">
        <f>'Cash Flow Statement'!J1</f>
        <v>H2'22</v>
      </c>
      <c r="K1" t="str">
        <f>'Cash Flow Statement'!K1</f>
        <v>H1'23</v>
      </c>
      <c r="L1" t="str">
        <f>'Cash Flow Statement'!L1</f>
        <v>H2'23</v>
      </c>
      <c r="M1" t="str">
        <f>'Cash Flow Statement'!M1</f>
        <v>H1'24</v>
      </c>
      <c r="N1" t="str">
        <f>'Cash Flow Statement'!N1</f>
        <v>H2'24</v>
      </c>
      <c r="O1" t="str">
        <f>'Cash Flow Statement'!O1</f>
        <v>H1'25</v>
      </c>
      <c r="P1" t="str">
        <f>'Cash Flow Statement'!P1</f>
        <v>H2'25</v>
      </c>
      <c r="Q1" t="str">
        <f>'Cash Flow Statement'!Q1</f>
        <v>H1'26</v>
      </c>
      <c r="R1" t="str">
        <f>'Cash Flow Statement'!R1</f>
        <v>H2'26</v>
      </c>
      <c r="S1" t="str">
        <f>'Cash Flow Statement'!S1</f>
        <v>H1'27</v>
      </c>
      <c r="T1" t="str">
        <f>'Cash Flow Statement'!T1</f>
        <v>H2'27</v>
      </c>
      <c r="U1" t="str">
        <f>'Cash Flow Statement'!U1</f>
        <v>H1'28</v>
      </c>
      <c r="V1" t="str">
        <f>'Cash Flow Statement'!V1</f>
        <v>H2'28</v>
      </c>
      <c r="W1" t="str">
        <f>'Cash Flow Statement'!W1</f>
        <v>H1'29</v>
      </c>
      <c r="X1" t="str">
        <f>'Cash Flow Statement'!X1</f>
        <v>H2'29</v>
      </c>
      <c r="Y1" t="str">
        <f>'Cash Flow Statement'!Y1</f>
        <v>H1'30</v>
      </c>
      <c r="Z1" t="str">
        <f>'Cash Flow Statement'!Z1</f>
        <v>H2'30</v>
      </c>
      <c r="AE1" t="str">
        <f>'Cash Flow Statement'!AE1</f>
        <v>FY'20</v>
      </c>
      <c r="AF1" t="str">
        <f>'Cash Flow Statement'!AF1</f>
        <v>FY'21</v>
      </c>
      <c r="AG1" t="str">
        <f>'Cash Flow Statement'!AG1</f>
        <v>FY'22</v>
      </c>
      <c r="AH1" t="str">
        <f>'Cash Flow Statement'!AH1</f>
        <v>FY'23</v>
      </c>
      <c r="AI1" t="str">
        <f>'Cash Flow Statement'!AI1</f>
        <v>FY'24</v>
      </c>
      <c r="AJ1" t="str">
        <f>'Cash Flow Statement'!AJ1</f>
        <v>FY'25</v>
      </c>
      <c r="AK1" t="str">
        <f>'Cash Flow Statement'!AK1</f>
        <v>FY'26</v>
      </c>
      <c r="AL1" t="str">
        <f>'Cash Flow Statement'!AL1</f>
        <v>FY'27</v>
      </c>
      <c r="AM1" t="str">
        <f>'Cash Flow Statement'!AM1</f>
        <v>FY'28</v>
      </c>
      <c r="AN1" t="str">
        <f>'Cash Flow Statement'!AN1</f>
        <v>FY'29</v>
      </c>
      <c r="AO1" t="str">
        <f>'Cash Flow Statement'!AO1</f>
        <v>FY'30</v>
      </c>
    </row>
    <row r="3" spans="1:41" x14ac:dyDescent="0.3">
      <c r="A3" s="3"/>
    </row>
    <row r="4" spans="1:41" x14ac:dyDescent="0.3">
      <c r="A4" s="3" t="s">
        <v>156</v>
      </c>
    </row>
    <row r="5" spans="1:41" x14ac:dyDescent="0.3">
      <c r="A5" s="3"/>
    </row>
    <row r="6" spans="1:41" x14ac:dyDescent="0.3">
      <c r="A6" s="3" t="s">
        <v>157</v>
      </c>
      <c r="G6">
        <f>E17</f>
        <v>0</v>
      </c>
      <c r="I6">
        <f>G17</f>
        <v>1310</v>
      </c>
      <c r="K6">
        <f>I17</f>
        <v>2232</v>
      </c>
      <c r="M6" s="4">
        <f>K17</f>
        <v>2019</v>
      </c>
      <c r="O6" s="4">
        <f>M17</f>
        <v>2100</v>
      </c>
      <c r="Q6" s="4">
        <f>O17</f>
        <v>2228.6938461538462</v>
      </c>
      <c r="S6" s="4">
        <f>Q17</f>
        <v>2415.4500550576772</v>
      </c>
      <c r="U6" s="4">
        <f>S17</f>
        <v>2662.4219942080217</v>
      </c>
      <c r="W6" s="4">
        <f>U17</f>
        <v>2975.0796218225605</v>
      </c>
      <c r="Y6" s="4">
        <f>W17</f>
        <v>3362.0167866799784</v>
      </c>
      <c r="AH6">
        <f>AG17</f>
        <v>4652</v>
      </c>
      <c r="AI6">
        <f>AH17</f>
        <v>4157</v>
      </c>
      <c r="AJ6">
        <f t="shared" ref="AJ6:AO6" si="0">AI17</f>
        <v>3644.3197038724375</v>
      </c>
      <c r="AK6">
        <f t="shared" si="0"/>
        <v>3119.2853023339753</v>
      </c>
      <c r="AL6">
        <f t="shared" si="0"/>
        <v>2551.9603318164277</v>
      </c>
      <c r="AM6">
        <f t="shared" si="0"/>
        <v>1914.5774957798258</v>
      </c>
      <c r="AN6">
        <f t="shared" si="0"/>
        <v>1179.5087066788219</v>
      </c>
      <c r="AO6">
        <f t="shared" si="0"/>
        <v>317.56486114724078</v>
      </c>
    </row>
    <row r="7" spans="1:41" x14ac:dyDescent="0.3">
      <c r="A7" t="s">
        <v>123</v>
      </c>
      <c r="I7">
        <v>123</v>
      </c>
      <c r="K7">
        <v>-86</v>
      </c>
      <c r="M7">
        <v>-91</v>
      </c>
      <c r="O7" s="32">
        <f>M7*(1+O8)</f>
        <v>-63.699999999999996</v>
      </c>
      <c r="Q7" s="32">
        <f>O7*(1+Q8)</f>
        <v>-44.589999999999996</v>
      </c>
      <c r="S7" s="32">
        <f>Q7*(1+S8)</f>
        <v>-31.212999999999994</v>
      </c>
      <c r="U7" s="32">
        <f>S7*(1+U8)</f>
        <v>-21.849099999999993</v>
      </c>
      <c r="W7" s="32">
        <f>U7*(1+W8)</f>
        <v>-15.294369999999994</v>
      </c>
      <c r="Y7" s="32">
        <f>W7*(1+Y8)</f>
        <v>-10.706058999999994</v>
      </c>
      <c r="AH7">
        <v>-260</v>
      </c>
      <c r="AI7" s="32">
        <f>AH7*(1+AI8)</f>
        <v>-182</v>
      </c>
      <c r="AJ7" s="32">
        <f t="shared" ref="AJ7:AO7" si="1">AI7*(1+AJ8)</f>
        <v>-127.39999999999999</v>
      </c>
      <c r="AK7" s="32">
        <f t="shared" si="1"/>
        <v>-89.179999999999993</v>
      </c>
      <c r="AL7" s="32">
        <f t="shared" si="1"/>
        <v>-62.425999999999988</v>
      </c>
      <c r="AM7" s="32">
        <f t="shared" si="1"/>
        <v>-43.698199999999986</v>
      </c>
      <c r="AN7" s="32">
        <f t="shared" si="1"/>
        <v>-30.588739999999987</v>
      </c>
      <c r="AO7" s="32">
        <f t="shared" si="1"/>
        <v>-21.412117999999989</v>
      </c>
    </row>
    <row r="8" spans="1:41" x14ac:dyDescent="0.3">
      <c r="A8" s="1" t="s">
        <v>159</v>
      </c>
      <c r="G8" s="15" t="e">
        <f t="shared" ref="G8:L8" si="2">G7/E17</f>
        <v>#DIV/0!</v>
      </c>
      <c r="H8" s="15" t="e">
        <f t="shared" si="2"/>
        <v>#DIV/0!</v>
      </c>
      <c r="I8" s="15">
        <f t="shared" si="2"/>
        <v>9.3893129770992373E-2</v>
      </c>
      <c r="J8" s="15" t="e">
        <f t="shared" si="2"/>
        <v>#DIV/0!</v>
      </c>
      <c r="K8" s="15">
        <f t="shared" si="2"/>
        <v>-3.8530465949820791E-2</v>
      </c>
      <c r="L8" s="15" t="e">
        <f t="shared" si="2"/>
        <v>#DIV/0!</v>
      </c>
      <c r="M8" s="15">
        <f>M7/K17</f>
        <v>-4.5071817731550272E-2</v>
      </c>
      <c r="O8" s="33">
        <v>-0.3</v>
      </c>
      <c r="Q8" s="33">
        <v>-0.3</v>
      </c>
      <c r="S8" s="33">
        <v>-0.3</v>
      </c>
      <c r="U8" s="33">
        <v>-0.3</v>
      </c>
      <c r="W8" s="33">
        <v>-0.3</v>
      </c>
      <c r="Y8" s="33">
        <v>-0.3</v>
      </c>
      <c r="AF8" s="15"/>
      <c r="AG8" s="15"/>
      <c r="AH8" s="15">
        <f>AH7/AG17</f>
        <v>-5.5889939810834052E-2</v>
      </c>
      <c r="AI8" s="33">
        <v>-0.3</v>
      </c>
      <c r="AJ8" s="33">
        <v>-0.3</v>
      </c>
      <c r="AK8" s="33">
        <v>-0.3</v>
      </c>
      <c r="AL8" s="33">
        <v>-0.3</v>
      </c>
      <c r="AM8" s="33">
        <v>-0.3</v>
      </c>
      <c r="AN8" s="33">
        <v>-0.3</v>
      </c>
      <c r="AO8" s="33">
        <v>-0.3</v>
      </c>
    </row>
    <row r="9" spans="1:41" x14ac:dyDescent="0.3">
      <c r="A9" t="s">
        <v>139</v>
      </c>
      <c r="I9">
        <v>492</v>
      </c>
      <c r="K9">
        <v>27</v>
      </c>
      <c r="M9">
        <v>12</v>
      </c>
      <c r="O9" s="32">
        <f>M9*(1+O10)</f>
        <v>12.084</v>
      </c>
      <c r="Q9" s="32">
        <f>O9*(1+Q10)</f>
        <v>12.168587999999998</v>
      </c>
      <c r="S9" s="32">
        <f>Q9*(1+S10)</f>
        <v>12.253768115999996</v>
      </c>
      <c r="U9" s="32">
        <f>S9*(1+U10)</f>
        <v>12.339544492811996</v>
      </c>
      <c r="W9" s="32">
        <f>U9*(1+W10)</f>
        <v>12.425921304261678</v>
      </c>
      <c r="Y9" s="32">
        <f>W9*(1+Y10)</f>
        <v>12.512902753391508</v>
      </c>
      <c r="AH9">
        <v>39</v>
      </c>
      <c r="AI9" s="32">
        <f>AH9*(1+AI10)</f>
        <v>39.272999999999996</v>
      </c>
      <c r="AJ9" s="32">
        <f t="shared" ref="AJ9:AO9" si="3">AI9*(1+AJ10)</f>
        <v>39.547910999999992</v>
      </c>
      <c r="AK9" s="32">
        <f t="shared" si="3"/>
        <v>39.82474637699999</v>
      </c>
      <c r="AL9" s="32">
        <f t="shared" si="3"/>
        <v>40.103519601638986</v>
      </c>
      <c r="AM9" s="32">
        <f t="shared" si="3"/>
        <v>40.384244238850457</v>
      </c>
      <c r="AN9" s="32">
        <f t="shared" si="3"/>
        <v>40.666933948522406</v>
      </c>
      <c r="AO9" s="32">
        <f t="shared" si="3"/>
        <v>40.951602486162059</v>
      </c>
    </row>
    <row r="10" spans="1:41" x14ac:dyDescent="0.3">
      <c r="A10" s="1" t="s">
        <v>160</v>
      </c>
      <c r="G10" s="15" t="e">
        <f t="shared" ref="G10:L10" si="4">G9/E17</f>
        <v>#DIV/0!</v>
      </c>
      <c r="H10" s="15" t="e">
        <f t="shared" si="4"/>
        <v>#DIV/0!</v>
      </c>
      <c r="I10" s="15">
        <f t="shared" si="4"/>
        <v>0.37557251908396949</v>
      </c>
      <c r="J10" s="15" t="e">
        <f t="shared" si="4"/>
        <v>#DIV/0!</v>
      </c>
      <c r="K10" s="15">
        <f t="shared" si="4"/>
        <v>1.2096774193548387E-2</v>
      </c>
      <c r="L10" s="15" t="e">
        <f t="shared" si="4"/>
        <v>#DIV/0!</v>
      </c>
      <c r="M10" s="15">
        <f>M9/K17</f>
        <v>5.9435364041604752E-3</v>
      </c>
      <c r="O10" s="31">
        <v>7.0000000000000001E-3</v>
      </c>
      <c r="Q10" s="31">
        <v>7.0000000000000001E-3</v>
      </c>
      <c r="S10" s="31">
        <v>7.0000000000000001E-3</v>
      </c>
      <c r="U10" s="31">
        <v>7.0000000000000001E-3</v>
      </c>
      <c r="W10" s="31">
        <v>7.0000000000000001E-3</v>
      </c>
      <c r="Y10" s="31">
        <v>7.0000000000000001E-3</v>
      </c>
      <c r="AF10" s="15"/>
      <c r="AG10" s="15"/>
      <c r="AH10" s="15">
        <f>AH9/AG17</f>
        <v>8.3834909716251071E-3</v>
      </c>
      <c r="AI10" s="31">
        <v>7.0000000000000001E-3</v>
      </c>
      <c r="AJ10" s="31">
        <v>7.0000000000000001E-3</v>
      </c>
      <c r="AK10" s="31">
        <v>7.0000000000000001E-3</v>
      </c>
      <c r="AL10" s="31">
        <v>7.0000000000000001E-3</v>
      </c>
      <c r="AM10" s="31">
        <v>7.0000000000000001E-3</v>
      </c>
      <c r="AN10" s="31">
        <v>7.0000000000000001E-3</v>
      </c>
      <c r="AO10" s="31">
        <v>7.0000000000000001E-3</v>
      </c>
    </row>
    <row r="11" spans="1:41" x14ac:dyDescent="0.3">
      <c r="A11" t="s">
        <v>158</v>
      </c>
      <c r="I11">
        <v>306</v>
      </c>
      <c r="K11">
        <v>-155</v>
      </c>
      <c r="M11">
        <v>160</v>
      </c>
      <c r="O11" s="32">
        <f>M11*(1+O12)</f>
        <v>192.39384615384614</v>
      </c>
      <c r="Q11" s="32">
        <f>O11*(1+Q12)</f>
        <v>231.34620890383118</v>
      </c>
      <c r="S11" s="32">
        <f>Q11*(1+S12)</f>
        <v>278.18493915034452</v>
      </c>
      <c r="U11" s="32">
        <f>S11*(1+U12)</f>
        <v>334.50672761453887</v>
      </c>
      <c r="W11" s="32">
        <f>U11*(1+W12)</f>
        <v>402.23153485741784</v>
      </c>
      <c r="Y11" s="32">
        <f>W11*(1+Y12)</f>
        <v>483.66804135974013</v>
      </c>
      <c r="AH11">
        <v>-275</v>
      </c>
      <c r="AI11" s="32">
        <f>AH11*(1+AI12)</f>
        <v>-330.68029612756266</v>
      </c>
      <c r="AJ11" s="32">
        <f t="shared" ref="AJ11:AO11" si="5">AI11*(1+AJ12)</f>
        <v>-397.63440153846187</v>
      </c>
      <c r="AK11" s="32">
        <f t="shared" si="5"/>
        <v>-478.14497051754796</v>
      </c>
      <c r="AL11" s="32">
        <f t="shared" si="5"/>
        <v>-574.95683603660211</v>
      </c>
      <c r="AM11" s="32">
        <f t="shared" si="5"/>
        <v>-691.37058910100382</v>
      </c>
      <c r="AN11" s="32">
        <f t="shared" si="5"/>
        <v>-831.35510553158122</v>
      </c>
      <c r="AO11" s="32">
        <f t="shared" si="5"/>
        <v>-999.68285655780915</v>
      </c>
    </row>
    <row r="12" spans="1:41" s="1" customFormat="1" x14ac:dyDescent="0.3">
      <c r="A12" s="1" t="s">
        <v>161</v>
      </c>
      <c r="B12" s="11"/>
      <c r="C12" s="11"/>
      <c r="D12" s="11"/>
      <c r="E12" s="11"/>
      <c r="F12" s="11"/>
      <c r="G12" s="11" t="e">
        <f t="shared" ref="G12:L12" si="6">G11/E17</f>
        <v>#DIV/0!</v>
      </c>
      <c r="H12" s="11" t="e">
        <f t="shared" si="6"/>
        <v>#DIV/0!</v>
      </c>
      <c r="I12" s="11">
        <f t="shared" si="6"/>
        <v>0.23358778625954199</v>
      </c>
      <c r="J12" s="11" t="e">
        <f t="shared" si="6"/>
        <v>#DIV/0!</v>
      </c>
      <c r="K12" s="11">
        <f t="shared" si="6"/>
        <v>-6.9444444444444448E-2</v>
      </c>
      <c r="L12" s="11" t="e">
        <f t="shared" si="6"/>
        <v>#DIV/0!</v>
      </c>
      <c r="M12" s="11">
        <f>M11/K17</f>
        <v>7.9247152055473002E-2</v>
      </c>
      <c r="O12" s="15">
        <f>(1+O15)*(1+O13)-1</f>
        <v>0.20246153846153847</v>
      </c>
      <c r="Q12" s="15">
        <f>(1+Q15)*(1+Q13)-1</f>
        <v>0.20246158351050947</v>
      </c>
      <c r="S12" s="15">
        <f>(1+S15)*(1+S13)-1</f>
        <v>0.20246162869253603</v>
      </c>
      <c r="U12" s="15">
        <f>(1+U15)*(1+U13)-1</f>
        <v>0.20246167400800719</v>
      </c>
      <c r="W12" s="15">
        <f>(1+W15)*(1+W13)-1</f>
        <v>0.20246171945731417</v>
      </c>
      <c r="Y12" s="15">
        <f>(1+Y15)*(1+Y13)-1</f>
        <v>0.20246176504084823</v>
      </c>
      <c r="AE12" s="11"/>
      <c r="AF12" s="11"/>
      <c r="AG12" s="11"/>
      <c r="AH12" s="11">
        <f>AH11/AG17</f>
        <v>-5.9114359415305247E-2</v>
      </c>
      <c r="AI12" s="15">
        <f>(1+AI15)*(1+AI13)-1</f>
        <v>0.20247380410022786</v>
      </c>
      <c r="AJ12" s="15">
        <f t="shared" ref="AJ12:AO12" si="7">(1+AJ15)*(1+AJ13)-1</f>
        <v>0.20247382802956948</v>
      </c>
      <c r="AK12" s="15">
        <f t="shared" si="7"/>
        <v>0.20247385202987411</v>
      </c>
      <c r="AL12" s="15">
        <f t="shared" si="7"/>
        <v>0.20247387610135092</v>
      </c>
      <c r="AM12" s="15">
        <f t="shared" si="7"/>
        <v>0.20247390024421019</v>
      </c>
      <c r="AN12" s="15">
        <f t="shared" si="7"/>
        <v>0.20247392445866219</v>
      </c>
      <c r="AO12" s="15">
        <f t="shared" si="7"/>
        <v>0.20247394874491875</v>
      </c>
    </row>
    <row r="13" spans="1:41" x14ac:dyDescent="0.3">
      <c r="A13" s="20" t="s">
        <v>162</v>
      </c>
      <c r="E13" s="10"/>
      <c r="F13" s="10"/>
      <c r="G13" s="10"/>
      <c r="H13" s="10"/>
      <c r="I13" s="11">
        <v>8.7999999999999995E-2</v>
      </c>
      <c r="K13" s="28">
        <v>4.9000000000000002E-2</v>
      </c>
      <c r="M13" s="11">
        <v>0.01</v>
      </c>
      <c r="O13" s="30">
        <v>0.2</v>
      </c>
      <c r="Q13" s="30">
        <v>0.2</v>
      </c>
      <c r="S13" s="30">
        <v>0.2</v>
      </c>
      <c r="U13" s="30">
        <v>0.2</v>
      </c>
      <c r="W13" s="30">
        <v>0.2</v>
      </c>
      <c r="Y13" s="30">
        <v>0.2</v>
      </c>
      <c r="AH13" s="15">
        <v>0.04</v>
      </c>
      <c r="AI13" s="30">
        <v>0.2</v>
      </c>
      <c r="AJ13" s="30">
        <v>0.2</v>
      </c>
      <c r="AK13" s="30">
        <v>0.2</v>
      </c>
      <c r="AL13" s="30">
        <v>0.2</v>
      </c>
      <c r="AM13" s="30">
        <v>0.2</v>
      </c>
      <c r="AN13" s="30">
        <v>0.2</v>
      </c>
      <c r="AO13" s="30">
        <v>0.2</v>
      </c>
    </row>
    <row r="14" spans="1:41" x14ac:dyDescent="0.3">
      <c r="A14" s="20"/>
    </row>
    <row r="15" spans="1:41" s="1" customFormat="1" x14ac:dyDescent="0.3">
      <c r="A15" s="20" t="s">
        <v>163</v>
      </c>
      <c r="B15" s="11"/>
      <c r="C15" s="11"/>
      <c r="D15" s="11"/>
      <c r="E15" s="11"/>
      <c r="F15" s="11"/>
      <c r="G15" s="11"/>
      <c r="H15" s="11"/>
      <c r="I15" s="11">
        <v>0.16400000000000001</v>
      </c>
      <c r="J15" s="11"/>
      <c r="K15" s="11">
        <v>-0.13100000000000001</v>
      </c>
      <c r="L15" s="11"/>
      <c r="M15" s="11">
        <v>6.5000000000000002E-2</v>
      </c>
      <c r="O15" s="11">
        <f>O58</f>
        <v>2.0512820512820513E-3</v>
      </c>
      <c r="Q15" s="11">
        <f>Q58</f>
        <v>2.0513195920913592E-3</v>
      </c>
      <c r="S15" s="11">
        <f>S58</f>
        <v>2.0513572437800731E-3</v>
      </c>
      <c r="U15" s="11">
        <f>U58</f>
        <v>2.0513950066728273E-3</v>
      </c>
      <c r="W15" s="11">
        <f>W58</f>
        <v>2.0514328810951879E-3</v>
      </c>
      <c r="Y15" s="11">
        <f>Y58</f>
        <v>2.0514708673736583E-3</v>
      </c>
      <c r="AE15" s="11"/>
      <c r="AF15" s="11"/>
      <c r="AG15" s="11"/>
      <c r="AH15" s="11">
        <v>-0.104</v>
      </c>
      <c r="AI15" s="11">
        <f>AI58</f>
        <v>2.0615034168564922E-3</v>
      </c>
      <c r="AJ15" s="11">
        <f t="shared" ref="AJ15:AO15" si="8">AJ58</f>
        <v>2.0615233579746473E-3</v>
      </c>
      <c r="AK15" s="11">
        <f t="shared" si="8"/>
        <v>2.0615433582284477E-3</v>
      </c>
      <c r="AL15" s="11">
        <f t="shared" si="8"/>
        <v>2.0615634177924514E-3</v>
      </c>
      <c r="AM15" s="11">
        <f t="shared" si="8"/>
        <v>2.0615835368417252E-3</v>
      </c>
      <c r="AN15" s="11">
        <f t="shared" si="8"/>
        <v>2.0616037155518491E-3</v>
      </c>
      <c r="AO15" s="11">
        <f t="shared" si="8"/>
        <v>2.0616239540989152E-3</v>
      </c>
    </row>
    <row r="16" spans="1:41" s="1" customFormat="1" x14ac:dyDescent="0.3">
      <c r="A16" s="20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AE16" s="11"/>
      <c r="AF16" s="11"/>
      <c r="AG16" s="11"/>
      <c r="AH16" s="11"/>
    </row>
    <row r="17" spans="1:41" x14ac:dyDescent="0.3">
      <c r="A17" s="3"/>
      <c r="G17">
        <v>1310</v>
      </c>
      <c r="I17">
        <v>2232</v>
      </c>
      <c r="K17">
        <v>2019</v>
      </c>
      <c r="M17" s="4">
        <f>M6+M7+M9+M11</f>
        <v>2100</v>
      </c>
      <c r="O17" s="32">
        <f>O6+O7+O11</f>
        <v>2228.6938461538462</v>
      </c>
      <c r="Q17" s="32">
        <f>Q6+Q7+Q11</f>
        <v>2415.4500550576772</v>
      </c>
      <c r="S17" s="32">
        <f>S6+S7+S11</f>
        <v>2662.4219942080217</v>
      </c>
      <c r="U17" s="32">
        <f>U6+U7+U11</f>
        <v>2975.0796218225605</v>
      </c>
      <c r="W17" s="32">
        <f>W6+W7+W11</f>
        <v>3362.0167866799784</v>
      </c>
      <c r="Y17" s="32">
        <f>Y6+Y7+Y11</f>
        <v>3834.9787690397184</v>
      </c>
      <c r="AG17">
        <v>4652</v>
      </c>
      <c r="AH17">
        <f>AH6+AH7+AH9+AH11+1</f>
        <v>4157</v>
      </c>
      <c r="AI17" s="32">
        <f>AI6+AI7+AI11</f>
        <v>3644.3197038724375</v>
      </c>
      <c r="AJ17" s="32">
        <f t="shared" ref="AJ17:AO17" si="9">AJ6+AJ7+AJ11</f>
        <v>3119.2853023339753</v>
      </c>
      <c r="AK17" s="32">
        <f t="shared" si="9"/>
        <v>2551.9603318164277</v>
      </c>
      <c r="AL17" s="32">
        <f t="shared" si="9"/>
        <v>1914.5774957798258</v>
      </c>
      <c r="AM17" s="32">
        <f t="shared" si="9"/>
        <v>1179.5087066788219</v>
      </c>
      <c r="AN17" s="32">
        <f t="shared" si="9"/>
        <v>317.56486114724078</v>
      </c>
      <c r="AO17" s="32">
        <f t="shared" si="9"/>
        <v>-703.53011341056833</v>
      </c>
    </row>
    <row r="18" spans="1:41" x14ac:dyDescent="0.3">
      <c r="G18" s="15" t="e">
        <f t="shared" ref="G18:L18" si="10">G17/E17-1</f>
        <v>#DIV/0!</v>
      </c>
      <c r="H18" s="15" t="e">
        <f t="shared" si="10"/>
        <v>#DIV/0!</v>
      </c>
      <c r="I18" s="15">
        <f t="shared" si="10"/>
        <v>0.70381679389312968</v>
      </c>
      <c r="J18" s="15" t="e">
        <f t="shared" si="10"/>
        <v>#DIV/0!</v>
      </c>
      <c r="K18" s="15">
        <f t="shared" si="10"/>
        <v>-9.5430107526881747E-2</v>
      </c>
      <c r="L18" s="15" t="e">
        <f t="shared" si="10"/>
        <v>#DIV/0!</v>
      </c>
      <c r="M18" s="15">
        <f>M17/K17-1</f>
        <v>4.0118870728083289E-2</v>
      </c>
    </row>
    <row r="19" spans="1:41" x14ac:dyDescent="0.3">
      <c r="M19" s="15"/>
    </row>
    <row r="20" spans="1:41" s="26" customFormat="1" x14ac:dyDescent="0.3">
      <c r="A20" s="23" t="s">
        <v>172</v>
      </c>
      <c r="B20" s="24"/>
      <c r="C20" s="24"/>
      <c r="D20" s="24"/>
      <c r="E20" s="24"/>
      <c r="F20" s="24"/>
      <c r="G20" s="24"/>
      <c r="H20" s="24"/>
      <c r="I20" s="24"/>
      <c r="J20" s="24"/>
      <c r="K20" s="25">
        <f>M20/(1+M21)</f>
        <v>88.156767921011536</v>
      </c>
      <c r="L20" s="24"/>
      <c r="M20" s="25">
        <f>M17/M51</f>
        <v>89.743589743589752</v>
      </c>
      <c r="AE20" s="24"/>
      <c r="AF20" s="24"/>
      <c r="AG20" s="24"/>
      <c r="AH20" s="24"/>
    </row>
    <row r="21" spans="1:41" s="26" customFormat="1" x14ac:dyDescent="0.3">
      <c r="A21" s="23"/>
      <c r="B21" s="24"/>
      <c r="C21" s="24"/>
      <c r="D21" s="24"/>
      <c r="E21" s="24"/>
      <c r="F21" s="24"/>
      <c r="G21" s="24"/>
      <c r="H21" s="24"/>
      <c r="I21" s="24">
        <v>6.3E-2</v>
      </c>
      <c r="J21" s="24"/>
      <c r="K21" s="24">
        <v>6.6000000000000003E-2</v>
      </c>
      <c r="L21" s="24"/>
      <c r="M21" s="24">
        <v>1.7999999999999999E-2</v>
      </c>
      <c r="AE21" s="24"/>
      <c r="AF21" s="24"/>
      <c r="AG21" s="24"/>
      <c r="AH21" s="24"/>
    </row>
    <row r="22" spans="1:41" s="1" customFormat="1" x14ac:dyDescent="0.3">
      <c r="A22" s="20" t="s">
        <v>164</v>
      </c>
      <c r="B22" s="11"/>
      <c r="C22" s="11"/>
      <c r="D22" s="11"/>
      <c r="E22" s="19"/>
      <c r="F22" s="19"/>
      <c r="G22" s="19">
        <v>13.6</v>
      </c>
      <c r="H22" s="11"/>
      <c r="I22" s="19">
        <v>24.6</v>
      </c>
      <c r="J22" s="11"/>
      <c r="K22" s="19">
        <v>21.3</v>
      </c>
      <c r="L22" s="11"/>
      <c r="M22" s="19">
        <v>23</v>
      </c>
      <c r="O22" s="19">
        <f>M22+O24+O26+O28</f>
        <v>23.160999999999998</v>
      </c>
      <c r="Q22" s="19">
        <f>O22+Q24+Q26+Q28</f>
        <v>23.323126999999999</v>
      </c>
      <c r="S22" s="19">
        <f>Q22+S24+S26+S28</f>
        <v>23.486388888999997</v>
      </c>
      <c r="U22" s="19">
        <f>S22+U24+U26+U28</f>
        <v>23.650793611222994</v>
      </c>
      <c r="W22" s="19">
        <f>U22+W24+W26+W28</f>
        <v>23.816349166501556</v>
      </c>
      <c r="Y22" s="19">
        <f>W22+Y24+Y26+Y28</f>
        <v>23.983063610667067</v>
      </c>
      <c r="AE22" s="11"/>
      <c r="AF22" s="19"/>
      <c r="AG22" s="19">
        <v>48</v>
      </c>
      <c r="AH22" s="19">
        <v>43</v>
      </c>
      <c r="AI22" s="19">
        <f>AH22+AI24+AI26+AI28</f>
        <v>43.301000000000002</v>
      </c>
      <c r="AJ22" s="19">
        <f t="shared" ref="AJ22:AO22" si="11">AI22+AJ24+AJ26+AJ28</f>
        <v>43.604106999999999</v>
      </c>
      <c r="AK22" s="19">
        <f t="shared" si="11"/>
        <v>43.909335749</v>
      </c>
      <c r="AL22" s="19">
        <f t="shared" si="11"/>
        <v>44.216701099242997</v>
      </c>
      <c r="AM22" s="19">
        <f t="shared" si="11"/>
        <v>44.526218006937697</v>
      </c>
      <c r="AN22" s="19">
        <f t="shared" si="11"/>
        <v>44.837901532986258</v>
      </c>
      <c r="AO22" s="19">
        <f t="shared" si="11"/>
        <v>45.151766843717162</v>
      </c>
    </row>
    <row r="23" spans="1:41" s="1" customFormat="1" x14ac:dyDescent="0.3">
      <c r="A23" s="20"/>
      <c r="B23" s="11"/>
      <c r="C23" s="11"/>
      <c r="D23" s="11"/>
      <c r="E23" s="11"/>
      <c r="F23" s="11"/>
      <c r="G23" s="15" t="e">
        <f t="shared" ref="G23:L23" si="12">G22/E22-1</f>
        <v>#DIV/0!</v>
      </c>
      <c r="H23" s="15" t="e">
        <f t="shared" si="12"/>
        <v>#DIV/0!</v>
      </c>
      <c r="I23" s="15">
        <f t="shared" si="12"/>
        <v>0.80882352941176494</v>
      </c>
      <c r="J23" s="15" t="e">
        <f t="shared" si="12"/>
        <v>#DIV/0!</v>
      </c>
      <c r="K23" s="15">
        <f t="shared" si="12"/>
        <v>-0.13414634146341464</v>
      </c>
      <c r="L23" s="15" t="e">
        <f t="shared" si="12"/>
        <v>#DIV/0!</v>
      </c>
      <c r="M23" s="15">
        <f>M22/K22-1</f>
        <v>7.9812206572769995E-2</v>
      </c>
      <c r="AE23" s="11"/>
      <c r="AF23" s="11"/>
      <c r="AG23" s="11"/>
      <c r="AH23" s="11"/>
    </row>
    <row r="24" spans="1:41" s="1" customFormat="1" x14ac:dyDescent="0.3">
      <c r="A24" s="27" t="s">
        <v>138</v>
      </c>
      <c r="B24" s="11"/>
      <c r="C24" s="11"/>
      <c r="D24" s="11"/>
      <c r="E24" s="19"/>
      <c r="F24" s="19"/>
      <c r="G24" s="19"/>
      <c r="H24" s="19"/>
      <c r="I24" s="19">
        <v>0</v>
      </c>
      <c r="J24" s="11"/>
      <c r="K24" s="19">
        <v>0</v>
      </c>
      <c r="L24" s="11"/>
      <c r="M24" s="19">
        <v>0</v>
      </c>
      <c r="O24">
        <f>O25*M22</f>
        <v>0</v>
      </c>
      <c r="Q24">
        <f>Q25*O22</f>
        <v>0</v>
      </c>
      <c r="S24">
        <f>S25*Q22</f>
        <v>0</v>
      </c>
      <c r="U24">
        <f>U25*S22</f>
        <v>0</v>
      </c>
      <c r="W24">
        <f>W25*U22</f>
        <v>0</v>
      </c>
      <c r="Y24">
        <f>Y25*W22</f>
        <v>0</v>
      </c>
      <c r="AE24" s="11"/>
      <c r="AF24" s="19"/>
      <c r="AG24" s="19"/>
      <c r="AH24" s="19">
        <v>0</v>
      </c>
      <c r="AI24">
        <f>AI25*AH22</f>
        <v>0</v>
      </c>
      <c r="AJ24">
        <f t="shared" ref="AJ24:AO24" si="13">AJ25*AI22</f>
        <v>0</v>
      </c>
      <c r="AK24">
        <f t="shared" si="13"/>
        <v>0</v>
      </c>
      <c r="AL24">
        <f t="shared" si="13"/>
        <v>0</v>
      </c>
      <c r="AM24">
        <f t="shared" si="13"/>
        <v>0</v>
      </c>
      <c r="AN24">
        <f t="shared" si="13"/>
        <v>0</v>
      </c>
      <c r="AO24">
        <f t="shared" si="13"/>
        <v>0</v>
      </c>
    </row>
    <row r="25" spans="1:41" s="1" customFormat="1" x14ac:dyDescent="0.3">
      <c r="A25" s="20" t="s">
        <v>159</v>
      </c>
      <c r="B25" s="11"/>
      <c r="C25" s="11"/>
      <c r="D25" s="11"/>
      <c r="E25" s="11"/>
      <c r="F25" s="11"/>
      <c r="G25" s="15" t="e">
        <f t="shared" ref="G25:L25" si="14">G24/E22</f>
        <v>#DIV/0!</v>
      </c>
      <c r="H25" s="15" t="e">
        <f t="shared" si="14"/>
        <v>#DIV/0!</v>
      </c>
      <c r="I25" s="15">
        <f t="shared" si="14"/>
        <v>0</v>
      </c>
      <c r="J25" s="15" t="e">
        <f t="shared" si="14"/>
        <v>#DIV/0!</v>
      </c>
      <c r="K25" s="15">
        <f t="shared" si="14"/>
        <v>0</v>
      </c>
      <c r="L25" s="15" t="e">
        <f t="shared" si="14"/>
        <v>#DIV/0!</v>
      </c>
      <c r="M25" s="15">
        <f>M24/K22</f>
        <v>0</v>
      </c>
      <c r="O25" s="30">
        <v>0</v>
      </c>
      <c r="Q25" s="30">
        <v>0</v>
      </c>
      <c r="S25" s="30">
        <v>0</v>
      </c>
      <c r="U25" s="30">
        <v>0</v>
      </c>
      <c r="W25" s="30">
        <v>0</v>
      </c>
      <c r="Y25" s="30">
        <v>0</v>
      </c>
      <c r="AE25" s="11"/>
      <c r="AF25" s="11"/>
      <c r="AG25" s="11"/>
      <c r="AH25" s="11">
        <f>AH24/AG22</f>
        <v>0</v>
      </c>
      <c r="AI25" s="30">
        <v>0</v>
      </c>
      <c r="AJ25" s="30">
        <v>0</v>
      </c>
      <c r="AK25" s="30">
        <v>0</v>
      </c>
      <c r="AL25" s="30">
        <v>0</v>
      </c>
      <c r="AM25" s="30">
        <v>0</v>
      </c>
      <c r="AN25" s="30">
        <v>0</v>
      </c>
      <c r="AO25" s="30">
        <v>0</v>
      </c>
    </row>
    <row r="26" spans="1:41" s="1" customFormat="1" x14ac:dyDescent="0.3">
      <c r="A26" t="s">
        <v>139</v>
      </c>
      <c r="B26" s="11"/>
      <c r="C26" s="11"/>
      <c r="D26" s="11"/>
      <c r="E26" s="19"/>
      <c r="F26" s="19"/>
      <c r="G26" s="19"/>
      <c r="H26" s="19"/>
      <c r="I26" s="19">
        <v>8.6999999999999993</v>
      </c>
      <c r="J26" s="11"/>
      <c r="K26" s="19">
        <v>0</v>
      </c>
      <c r="L26" s="11"/>
      <c r="M26" s="19">
        <v>0.2</v>
      </c>
      <c r="O26" s="19">
        <f>O27*M22</f>
        <v>0.115</v>
      </c>
      <c r="Q26" s="19">
        <f>Q27*O22</f>
        <v>0.11580499999999999</v>
      </c>
      <c r="S26" s="19">
        <f>S27*Q22</f>
        <v>0.116615635</v>
      </c>
      <c r="U26" s="19">
        <f>U27*S22</f>
        <v>0.11743194444499999</v>
      </c>
      <c r="W26" s="19">
        <f>W27*U22</f>
        <v>0.11825396805611497</v>
      </c>
      <c r="Y26" s="19">
        <f>Y27*W22</f>
        <v>0.11908174583250779</v>
      </c>
      <c r="AE26" s="11"/>
      <c r="AF26" s="19"/>
      <c r="AG26" s="19"/>
      <c r="AH26" s="19">
        <v>0</v>
      </c>
      <c r="AI26" s="19">
        <f>AI27*AH22</f>
        <v>0.215</v>
      </c>
      <c r="AJ26" s="19">
        <f t="shared" ref="AJ26:AO26" si="15">AJ27*AI22</f>
        <v>0.216505</v>
      </c>
      <c r="AK26" s="19">
        <f t="shared" si="15"/>
        <v>0.21802053499999999</v>
      </c>
      <c r="AL26" s="19">
        <f t="shared" si="15"/>
        <v>0.219546678745</v>
      </c>
      <c r="AM26" s="19">
        <f t="shared" si="15"/>
        <v>0.221083505496215</v>
      </c>
      <c r="AN26" s="19">
        <f t="shared" si="15"/>
        <v>0.22263109003468848</v>
      </c>
      <c r="AO26" s="19">
        <f t="shared" si="15"/>
        <v>0.22418950766493129</v>
      </c>
    </row>
    <row r="27" spans="1:41" s="1" customFormat="1" x14ac:dyDescent="0.3">
      <c r="A27" s="20" t="s">
        <v>160</v>
      </c>
      <c r="B27" s="11"/>
      <c r="C27" s="11"/>
      <c r="D27" s="11"/>
      <c r="E27" s="11"/>
      <c r="F27" s="11"/>
      <c r="G27" s="15" t="e">
        <f t="shared" ref="G27:L27" si="16">G26/E22</f>
        <v>#DIV/0!</v>
      </c>
      <c r="H27" s="15" t="e">
        <f t="shared" si="16"/>
        <v>#DIV/0!</v>
      </c>
      <c r="I27" s="15">
        <f t="shared" si="16"/>
        <v>0.63970588235294112</v>
      </c>
      <c r="J27" s="15" t="e">
        <f t="shared" si="16"/>
        <v>#DIV/0!</v>
      </c>
      <c r="K27" s="15">
        <f t="shared" si="16"/>
        <v>0</v>
      </c>
      <c r="L27" s="15" t="e">
        <f t="shared" si="16"/>
        <v>#DIV/0!</v>
      </c>
      <c r="M27" s="15">
        <f>M26/K22</f>
        <v>9.3896713615023476E-3</v>
      </c>
      <c r="O27" s="31">
        <v>5.0000000000000001E-3</v>
      </c>
      <c r="Q27" s="31">
        <v>5.0000000000000001E-3</v>
      </c>
      <c r="S27" s="31">
        <v>5.0000000000000001E-3</v>
      </c>
      <c r="U27" s="31">
        <v>5.0000000000000001E-3</v>
      </c>
      <c r="W27" s="31">
        <v>5.0000000000000001E-3</v>
      </c>
      <c r="Y27" s="31">
        <v>5.0000000000000001E-3</v>
      </c>
      <c r="AE27" s="11"/>
      <c r="AF27" s="11"/>
      <c r="AG27" s="11"/>
      <c r="AH27" s="11">
        <f>AH26/AG22</f>
        <v>0</v>
      </c>
      <c r="AI27" s="31">
        <v>5.0000000000000001E-3</v>
      </c>
      <c r="AJ27" s="31">
        <v>5.0000000000000001E-3</v>
      </c>
      <c r="AK27" s="31">
        <v>5.0000000000000001E-3</v>
      </c>
      <c r="AL27" s="31">
        <v>5.0000000000000001E-3</v>
      </c>
      <c r="AM27" s="31">
        <v>5.0000000000000001E-3</v>
      </c>
      <c r="AN27" s="31">
        <v>5.0000000000000001E-3</v>
      </c>
      <c r="AO27" s="31">
        <v>5.0000000000000001E-3</v>
      </c>
    </row>
    <row r="28" spans="1:41" s="1" customFormat="1" x14ac:dyDescent="0.3">
      <c r="A28" t="s">
        <v>158</v>
      </c>
      <c r="B28" s="11"/>
      <c r="C28" s="11"/>
      <c r="D28" s="11"/>
      <c r="E28" s="19"/>
      <c r="F28" s="19"/>
      <c r="G28" s="19"/>
      <c r="H28" s="19"/>
      <c r="I28" s="19">
        <v>2.2999999999999998</v>
      </c>
      <c r="J28" s="11"/>
      <c r="K28" s="19">
        <v>-3.2</v>
      </c>
      <c r="L28" s="11"/>
      <c r="M28" s="19">
        <v>1.5</v>
      </c>
      <c r="O28" s="19">
        <f>O29*M22</f>
        <v>4.5999999999999999E-2</v>
      </c>
      <c r="Q28" s="19">
        <f>Q29*O22</f>
        <v>4.6321999999999995E-2</v>
      </c>
      <c r="S28" s="19">
        <f>S29*Q22</f>
        <v>4.6646253999999998E-2</v>
      </c>
      <c r="U28" s="19">
        <f>U29*S22</f>
        <v>4.6972777777999998E-2</v>
      </c>
      <c r="W28" s="19">
        <f>W29*U22</f>
        <v>4.7301587222445991E-2</v>
      </c>
      <c r="Y28" s="19">
        <f>Y29*W22</f>
        <v>4.7632698333003112E-2</v>
      </c>
      <c r="AE28" s="11"/>
      <c r="AF28" s="19"/>
      <c r="AG28" s="19"/>
      <c r="AH28" s="19">
        <v>-5</v>
      </c>
      <c r="AI28" s="19">
        <f>AI29*AH22</f>
        <v>8.6000000000000007E-2</v>
      </c>
      <c r="AJ28" s="19">
        <f t="shared" ref="AJ28:AO28" si="17">AJ29*AI22</f>
        <v>8.6602000000000012E-2</v>
      </c>
      <c r="AK28" s="19">
        <f t="shared" si="17"/>
        <v>8.7208214000000006E-2</v>
      </c>
      <c r="AL28" s="19">
        <f t="shared" si="17"/>
        <v>8.7818671498000003E-2</v>
      </c>
      <c r="AM28" s="19">
        <f t="shared" si="17"/>
        <v>8.8433402198486E-2</v>
      </c>
      <c r="AN28" s="19">
        <f t="shared" si="17"/>
        <v>8.90524360138754E-2</v>
      </c>
      <c r="AO28" s="19">
        <f t="shared" si="17"/>
        <v>8.9675803065972517E-2</v>
      </c>
    </row>
    <row r="29" spans="1:41" s="1" customFormat="1" x14ac:dyDescent="0.3">
      <c r="A29" s="20" t="s">
        <v>161</v>
      </c>
      <c r="B29" s="11"/>
      <c r="C29" s="11"/>
      <c r="D29" s="11"/>
      <c r="E29" s="11"/>
      <c r="F29" s="11"/>
      <c r="G29" s="11" t="e">
        <f t="shared" ref="G29:L29" si="18">G28/E22</f>
        <v>#DIV/0!</v>
      </c>
      <c r="H29" s="11" t="e">
        <f t="shared" si="18"/>
        <v>#DIV/0!</v>
      </c>
      <c r="I29" s="11">
        <f t="shared" si="18"/>
        <v>0.16911764705882351</v>
      </c>
      <c r="J29" s="11" t="e">
        <f t="shared" si="18"/>
        <v>#DIV/0!</v>
      </c>
      <c r="K29" s="11">
        <f t="shared" si="18"/>
        <v>-0.13008130081300812</v>
      </c>
      <c r="L29" s="11" t="e">
        <f t="shared" si="18"/>
        <v>#DIV/0!</v>
      </c>
      <c r="M29" s="11">
        <f>M28/K22</f>
        <v>7.0422535211267609E-2</v>
      </c>
      <c r="O29" s="31">
        <v>2E-3</v>
      </c>
      <c r="Q29" s="31">
        <v>2E-3</v>
      </c>
      <c r="S29" s="31">
        <v>2E-3</v>
      </c>
      <c r="U29" s="31">
        <v>2E-3</v>
      </c>
      <c r="W29" s="31">
        <v>2E-3</v>
      </c>
      <c r="Y29" s="31">
        <v>2E-3</v>
      </c>
      <c r="AE29" s="11"/>
      <c r="AF29" s="11"/>
      <c r="AG29" s="11"/>
      <c r="AH29" s="11">
        <f>AH28/AG22</f>
        <v>-0.10416666666666667</v>
      </c>
      <c r="AI29" s="31">
        <v>2E-3</v>
      </c>
      <c r="AJ29" s="31">
        <v>2E-3</v>
      </c>
      <c r="AK29" s="31">
        <v>2E-3</v>
      </c>
      <c r="AL29" s="31">
        <v>2E-3</v>
      </c>
      <c r="AM29" s="31">
        <v>2E-3</v>
      </c>
      <c r="AN29" s="31">
        <v>2E-3</v>
      </c>
      <c r="AO29" s="31">
        <v>2E-3</v>
      </c>
    </row>
    <row r="30" spans="1:41" s="1" customFormat="1" x14ac:dyDescent="0.3">
      <c r="A30" s="20"/>
      <c r="B30" s="11"/>
      <c r="C30" s="11"/>
      <c r="D30" s="11"/>
      <c r="E30" s="11"/>
      <c r="F30" s="11"/>
      <c r="G30" s="11"/>
      <c r="H30" s="11"/>
      <c r="I30" s="11"/>
      <c r="J30" s="11"/>
      <c r="K30" s="19"/>
      <c r="L30" s="11"/>
      <c r="M30" s="19"/>
      <c r="AE30" s="11"/>
      <c r="AF30" s="11"/>
      <c r="AG30" s="11"/>
      <c r="AH30" s="11"/>
    </row>
    <row r="31" spans="1:41" s="1" customFormat="1" x14ac:dyDescent="0.3">
      <c r="A31" s="20" t="s">
        <v>165</v>
      </c>
      <c r="B31" s="11"/>
      <c r="C31" s="11"/>
      <c r="D31" s="11"/>
      <c r="E31" s="29"/>
      <c r="F31" s="29"/>
      <c r="G31" s="19">
        <v>0.4</v>
      </c>
      <c r="H31" s="11"/>
      <c r="I31" s="19">
        <v>0.4</v>
      </c>
      <c r="J31" s="11"/>
      <c r="K31" s="19">
        <v>0.4</v>
      </c>
      <c r="L31" s="11"/>
      <c r="M31" s="19">
        <v>0.3</v>
      </c>
      <c r="O31" s="19">
        <f>M31+O33+O35+O37</f>
        <v>0.30209999999999998</v>
      </c>
      <c r="Q31" s="19">
        <f>O31+Q33+Q35+Q37</f>
        <v>0.3042147</v>
      </c>
      <c r="S31" s="19">
        <f>Q31+S33+S35+S37</f>
        <v>0.30634420290000003</v>
      </c>
      <c r="U31" s="19">
        <f>S31+U33+U35+U37</f>
        <v>0.3084886123203</v>
      </c>
      <c r="W31" s="19">
        <f>U31+W33+W35+W37</f>
        <v>0.31064803260654211</v>
      </c>
      <c r="Y31" s="19">
        <f>W31+Y33+Y35+Y37</f>
        <v>0.31282256883478793</v>
      </c>
      <c r="AE31" s="11"/>
      <c r="AF31" s="11"/>
      <c r="AG31" s="19">
        <v>0.8</v>
      </c>
      <c r="AH31" s="19">
        <v>0.8</v>
      </c>
      <c r="AI31" s="19">
        <f>AH31+AI33+AI35+AI37</f>
        <v>0.80560000000000009</v>
      </c>
      <c r="AJ31" s="19">
        <f t="shared" ref="AJ31:AO31" si="19">AI31+AJ33+AJ35+AJ37</f>
        <v>0.81123920000000016</v>
      </c>
      <c r="AK31" s="19">
        <f t="shared" si="19"/>
        <v>0.81691787440000008</v>
      </c>
      <c r="AL31" s="19">
        <f t="shared" si="19"/>
        <v>0.82263629952080009</v>
      </c>
      <c r="AM31" s="19">
        <f t="shared" si="19"/>
        <v>0.82839475361744563</v>
      </c>
      <c r="AN31" s="19">
        <f t="shared" si="19"/>
        <v>0.83419351689276777</v>
      </c>
      <c r="AO31" s="19">
        <f t="shared" si="19"/>
        <v>0.84003287151101724</v>
      </c>
    </row>
    <row r="32" spans="1:41" s="1" customFormat="1" x14ac:dyDescent="0.3">
      <c r="A32" s="20"/>
      <c r="B32" s="11"/>
      <c r="C32" s="11"/>
      <c r="D32" s="11"/>
      <c r="E32" s="11"/>
      <c r="F32" s="11"/>
      <c r="G32" s="15" t="e">
        <f t="shared" ref="G32:L32" si="20">G31/E31-1</f>
        <v>#DIV/0!</v>
      </c>
      <c r="H32" s="15" t="e">
        <f t="shared" si="20"/>
        <v>#DIV/0!</v>
      </c>
      <c r="I32" s="15">
        <f t="shared" si="20"/>
        <v>0</v>
      </c>
      <c r="J32" s="15" t="e">
        <f t="shared" si="20"/>
        <v>#DIV/0!</v>
      </c>
      <c r="K32" s="15">
        <f t="shared" si="20"/>
        <v>0</v>
      </c>
      <c r="L32" s="15" t="e">
        <f t="shared" si="20"/>
        <v>#DIV/0!</v>
      </c>
      <c r="M32" s="15">
        <f>M31/K31-1</f>
        <v>-0.25000000000000011</v>
      </c>
      <c r="AE32" s="11"/>
      <c r="AF32" s="11"/>
      <c r="AG32" s="11"/>
      <c r="AH32" s="11"/>
    </row>
    <row r="33" spans="1:41" s="1" customFormat="1" x14ac:dyDescent="0.3">
      <c r="A33" s="27" t="s">
        <v>138</v>
      </c>
      <c r="B33" s="11"/>
      <c r="C33" s="11"/>
      <c r="D33" s="11"/>
      <c r="E33" s="19"/>
      <c r="F33" s="19"/>
      <c r="G33" s="19"/>
      <c r="H33" s="19"/>
      <c r="I33" s="19">
        <v>0</v>
      </c>
      <c r="J33" s="11"/>
      <c r="K33" s="19">
        <v>0</v>
      </c>
      <c r="L33" s="11"/>
      <c r="M33" s="19">
        <v>0</v>
      </c>
      <c r="O33">
        <f>O34*M31</f>
        <v>0</v>
      </c>
      <c r="Q33">
        <f>Q34*O31</f>
        <v>0</v>
      </c>
      <c r="S33">
        <f>S34*Q31</f>
        <v>0</v>
      </c>
      <c r="U33">
        <f>U34*S31</f>
        <v>0</v>
      </c>
      <c r="W33">
        <f>W34*U31</f>
        <v>0</v>
      </c>
      <c r="Y33">
        <f>Y34*W31</f>
        <v>0</v>
      </c>
      <c r="AE33" s="11"/>
      <c r="AF33" s="19"/>
      <c r="AG33" s="19"/>
      <c r="AH33" s="19">
        <v>0</v>
      </c>
      <c r="AI33">
        <f>AI34*AH31</f>
        <v>0</v>
      </c>
      <c r="AJ33">
        <f t="shared" ref="AJ33:AO33" si="21">AJ34*AI31</f>
        <v>0</v>
      </c>
      <c r="AK33">
        <f t="shared" si="21"/>
        <v>0</v>
      </c>
      <c r="AL33">
        <f t="shared" si="21"/>
        <v>0</v>
      </c>
      <c r="AM33">
        <f t="shared" si="21"/>
        <v>0</v>
      </c>
      <c r="AN33">
        <f t="shared" si="21"/>
        <v>0</v>
      </c>
      <c r="AO33">
        <f t="shared" si="21"/>
        <v>0</v>
      </c>
    </row>
    <row r="34" spans="1:41" s="1" customFormat="1" x14ac:dyDescent="0.3">
      <c r="A34" s="20" t="s">
        <v>159</v>
      </c>
      <c r="B34" s="11"/>
      <c r="C34" s="11"/>
      <c r="D34" s="11"/>
      <c r="E34" s="11"/>
      <c r="F34" s="11"/>
      <c r="G34" s="15" t="e">
        <f t="shared" ref="G34:L34" si="22">G33/E31</f>
        <v>#DIV/0!</v>
      </c>
      <c r="H34" s="15" t="e">
        <f t="shared" si="22"/>
        <v>#DIV/0!</v>
      </c>
      <c r="I34" s="15">
        <f t="shared" si="22"/>
        <v>0</v>
      </c>
      <c r="J34" s="15" t="e">
        <f t="shared" si="22"/>
        <v>#DIV/0!</v>
      </c>
      <c r="K34" s="15">
        <f t="shared" si="22"/>
        <v>0</v>
      </c>
      <c r="L34" s="15" t="e">
        <f t="shared" si="22"/>
        <v>#DIV/0!</v>
      </c>
      <c r="M34" s="15">
        <f>M33/K31</f>
        <v>0</v>
      </c>
      <c r="O34" s="30">
        <v>0</v>
      </c>
      <c r="Q34" s="30">
        <v>0</v>
      </c>
      <c r="S34" s="30">
        <v>0</v>
      </c>
      <c r="U34" s="30">
        <v>0</v>
      </c>
      <c r="W34" s="30">
        <v>0</v>
      </c>
      <c r="Y34" s="30">
        <v>0</v>
      </c>
      <c r="AE34" s="11"/>
      <c r="AF34" s="11"/>
      <c r="AG34" s="11"/>
      <c r="AH34" s="11">
        <f>AH33/AG31</f>
        <v>0</v>
      </c>
      <c r="AI34" s="30">
        <v>0</v>
      </c>
      <c r="AJ34" s="30">
        <v>0</v>
      </c>
      <c r="AK34" s="30">
        <v>0</v>
      </c>
      <c r="AL34" s="30">
        <v>0</v>
      </c>
      <c r="AM34" s="30">
        <v>0</v>
      </c>
      <c r="AN34" s="30">
        <v>0</v>
      </c>
      <c r="AO34" s="30">
        <v>0</v>
      </c>
    </row>
    <row r="35" spans="1:41" s="1" customFormat="1" x14ac:dyDescent="0.3">
      <c r="A35" t="s">
        <v>139</v>
      </c>
      <c r="B35" s="11"/>
      <c r="C35" s="11"/>
      <c r="D35" s="11"/>
      <c r="E35" s="19"/>
      <c r="F35" s="19"/>
      <c r="G35" s="19"/>
      <c r="H35" s="19"/>
      <c r="I35" s="19">
        <v>0</v>
      </c>
      <c r="J35" s="11"/>
      <c r="K35" s="19">
        <v>0</v>
      </c>
      <c r="L35" s="11"/>
      <c r="M35" s="19">
        <v>0</v>
      </c>
      <c r="O35" s="19">
        <f>O36*M31</f>
        <v>5.9999999999999995E-4</v>
      </c>
      <c r="Q35" s="19">
        <f>Q36*O31</f>
        <v>6.0419999999999994E-4</v>
      </c>
      <c r="S35" s="19">
        <f>S36*Q31</f>
        <v>6.0842939999999999E-4</v>
      </c>
      <c r="U35" s="19">
        <f>U36*S31</f>
        <v>6.1268840580000006E-4</v>
      </c>
      <c r="W35" s="19">
        <f>W36*U31</f>
        <v>6.1697722464060007E-4</v>
      </c>
      <c r="Y35" s="19">
        <f>Y36*W31</f>
        <v>6.212960652130842E-4</v>
      </c>
      <c r="AE35" s="11"/>
      <c r="AF35" s="19"/>
      <c r="AG35" s="19"/>
      <c r="AH35" s="19">
        <v>0</v>
      </c>
      <c r="AI35" s="19">
        <f>AI36*AH31</f>
        <v>1.6000000000000001E-3</v>
      </c>
      <c r="AJ35" s="19">
        <f t="shared" ref="AJ35:AO35" si="23">AJ36*AI31</f>
        <v>1.6112000000000001E-3</v>
      </c>
      <c r="AK35" s="19">
        <f t="shared" si="23"/>
        <v>1.6224784000000003E-3</v>
      </c>
      <c r="AL35" s="19">
        <f t="shared" si="23"/>
        <v>1.6338357488000002E-3</v>
      </c>
      <c r="AM35" s="19">
        <f t="shared" si="23"/>
        <v>1.6452725990416001E-3</v>
      </c>
      <c r="AN35" s="19">
        <f t="shared" si="23"/>
        <v>1.6567895072348913E-3</v>
      </c>
      <c r="AO35" s="19">
        <f t="shared" si="23"/>
        <v>1.6683870337855355E-3</v>
      </c>
    </row>
    <row r="36" spans="1:41" s="1" customFormat="1" x14ac:dyDescent="0.3">
      <c r="A36" s="20" t="s">
        <v>160</v>
      </c>
      <c r="B36" s="11"/>
      <c r="C36" s="11"/>
      <c r="D36" s="11"/>
      <c r="E36" s="11"/>
      <c r="F36" s="11"/>
      <c r="G36" s="15" t="e">
        <f t="shared" ref="G36:L36" si="24">G35/E31</f>
        <v>#DIV/0!</v>
      </c>
      <c r="H36" s="15" t="e">
        <f t="shared" si="24"/>
        <v>#DIV/0!</v>
      </c>
      <c r="I36" s="15">
        <f t="shared" si="24"/>
        <v>0</v>
      </c>
      <c r="J36" s="15" t="e">
        <f t="shared" si="24"/>
        <v>#DIV/0!</v>
      </c>
      <c r="K36" s="15">
        <f t="shared" si="24"/>
        <v>0</v>
      </c>
      <c r="L36" s="15" t="e">
        <f t="shared" si="24"/>
        <v>#DIV/0!</v>
      </c>
      <c r="M36" s="15">
        <f>M35/K31</f>
        <v>0</v>
      </c>
      <c r="O36" s="31">
        <v>2E-3</v>
      </c>
      <c r="Q36" s="31">
        <v>2E-3</v>
      </c>
      <c r="S36" s="31">
        <v>2E-3</v>
      </c>
      <c r="U36" s="31">
        <v>2E-3</v>
      </c>
      <c r="W36" s="31">
        <v>2E-3</v>
      </c>
      <c r="Y36" s="31">
        <v>2E-3</v>
      </c>
      <c r="AE36" s="11"/>
      <c r="AF36" s="11"/>
      <c r="AG36" s="11"/>
      <c r="AH36" s="11">
        <f>AH35/AG31</f>
        <v>0</v>
      </c>
      <c r="AI36" s="31">
        <v>2E-3</v>
      </c>
      <c r="AJ36" s="31">
        <v>2E-3</v>
      </c>
      <c r="AK36" s="31">
        <v>2E-3</v>
      </c>
      <c r="AL36" s="31">
        <v>2E-3</v>
      </c>
      <c r="AM36" s="31">
        <v>2E-3</v>
      </c>
      <c r="AN36" s="31">
        <v>2E-3</v>
      </c>
      <c r="AO36" s="31">
        <v>2E-3</v>
      </c>
    </row>
    <row r="37" spans="1:41" s="1" customFormat="1" x14ac:dyDescent="0.3">
      <c r="A37" t="s">
        <v>158</v>
      </c>
      <c r="B37" s="11"/>
      <c r="C37" s="11"/>
      <c r="D37" s="11"/>
      <c r="E37" s="19"/>
      <c r="F37" s="19"/>
      <c r="G37" s="19"/>
      <c r="H37" s="19"/>
      <c r="I37" s="19">
        <v>0</v>
      </c>
      <c r="J37" s="11"/>
      <c r="K37" s="19">
        <v>-0.1</v>
      </c>
      <c r="L37" s="11"/>
      <c r="M37" s="19">
        <v>-0.1</v>
      </c>
      <c r="O37" s="19">
        <f>O38*M31</f>
        <v>1.5E-3</v>
      </c>
      <c r="Q37" s="19">
        <f>Q38*O31</f>
        <v>1.5104999999999999E-3</v>
      </c>
      <c r="S37" s="19">
        <f>S38*Q31</f>
        <v>1.5210735000000001E-3</v>
      </c>
      <c r="U37" s="19">
        <f>U38*S31</f>
        <v>1.5317210145000002E-3</v>
      </c>
      <c r="W37" s="19">
        <f>W38*U31</f>
        <v>1.5424430616015001E-3</v>
      </c>
      <c r="Y37" s="19">
        <f>Y38*W31</f>
        <v>1.5532401630327106E-3</v>
      </c>
      <c r="AE37" s="11"/>
      <c r="AF37" s="19"/>
      <c r="AG37" s="19"/>
      <c r="AH37" s="19">
        <v>-0.1</v>
      </c>
      <c r="AI37" s="19">
        <f>AI38*AH31</f>
        <v>4.0000000000000001E-3</v>
      </c>
      <c r="AJ37" s="19">
        <f t="shared" ref="AJ37:AO37" si="25">AJ38*AI31</f>
        <v>4.0280000000000003E-3</v>
      </c>
      <c r="AK37" s="19">
        <f t="shared" si="25"/>
        <v>4.0561960000000006E-3</v>
      </c>
      <c r="AL37" s="19">
        <f t="shared" si="25"/>
        <v>4.0845893720000007E-3</v>
      </c>
      <c r="AM37" s="19">
        <f t="shared" si="25"/>
        <v>4.1131814976040001E-3</v>
      </c>
      <c r="AN37" s="19">
        <f t="shared" si="25"/>
        <v>4.1419737680872286E-3</v>
      </c>
      <c r="AO37" s="19">
        <f t="shared" si="25"/>
        <v>4.1709675844638387E-3</v>
      </c>
    </row>
    <row r="38" spans="1:41" s="1" customFormat="1" x14ac:dyDescent="0.3">
      <c r="A38" s="20" t="s">
        <v>161</v>
      </c>
      <c r="B38" s="11"/>
      <c r="C38" s="11"/>
      <c r="D38" s="11"/>
      <c r="E38" s="11"/>
      <c r="F38" s="11"/>
      <c r="G38" s="11" t="e">
        <f t="shared" ref="G38:L38" si="26">G37/E31</f>
        <v>#DIV/0!</v>
      </c>
      <c r="H38" s="11" t="e">
        <f t="shared" si="26"/>
        <v>#DIV/0!</v>
      </c>
      <c r="I38" s="11">
        <f t="shared" si="26"/>
        <v>0</v>
      </c>
      <c r="J38" s="11" t="e">
        <f t="shared" si="26"/>
        <v>#DIV/0!</v>
      </c>
      <c r="K38" s="11">
        <v>-0.11899999999999999</v>
      </c>
      <c r="L38" s="11" t="e">
        <f t="shared" si="26"/>
        <v>#DIV/0!</v>
      </c>
      <c r="M38" s="11">
        <f>M37/K31</f>
        <v>-0.25</v>
      </c>
      <c r="O38" s="31">
        <v>5.0000000000000001E-3</v>
      </c>
      <c r="Q38" s="31">
        <v>5.0000000000000001E-3</v>
      </c>
      <c r="S38" s="31">
        <v>5.0000000000000001E-3</v>
      </c>
      <c r="U38" s="31">
        <v>5.0000000000000001E-3</v>
      </c>
      <c r="W38" s="31">
        <v>5.0000000000000001E-3</v>
      </c>
      <c r="Y38" s="31">
        <v>5.0000000000000001E-3</v>
      </c>
      <c r="AE38" s="11"/>
      <c r="AF38" s="11"/>
      <c r="AG38" s="11"/>
      <c r="AH38" s="11">
        <f>AH37/AG31</f>
        <v>-0.125</v>
      </c>
      <c r="AI38" s="31">
        <v>5.0000000000000001E-3</v>
      </c>
      <c r="AJ38" s="31">
        <v>5.0000000000000001E-3</v>
      </c>
      <c r="AK38" s="31">
        <v>5.0000000000000001E-3</v>
      </c>
      <c r="AL38" s="31">
        <v>5.0000000000000001E-3</v>
      </c>
      <c r="AM38" s="31">
        <v>5.0000000000000001E-3</v>
      </c>
      <c r="AN38" s="31">
        <v>5.0000000000000001E-3</v>
      </c>
      <c r="AO38" s="31">
        <v>5.0000000000000001E-3</v>
      </c>
    </row>
    <row r="39" spans="1:41" s="1" customFormat="1" x14ac:dyDescent="0.3">
      <c r="A39" s="20"/>
      <c r="B39" s="11"/>
      <c r="C39" s="11"/>
      <c r="D39" s="11"/>
      <c r="E39" s="11"/>
      <c r="F39" s="11"/>
      <c r="G39" s="11"/>
      <c r="H39" s="11"/>
      <c r="I39" s="11"/>
      <c r="J39" s="11"/>
      <c r="K39" s="19"/>
      <c r="L39" s="11"/>
      <c r="M39" s="19"/>
      <c r="AE39" s="11"/>
      <c r="AF39" s="11"/>
      <c r="AG39" s="11"/>
      <c r="AH39" s="11"/>
    </row>
    <row r="40" spans="1:41" s="1" customFormat="1" x14ac:dyDescent="0.3">
      <c r="A40" s="20"/>
      <c r="B40" s="11"/>
      <c r="C40" s="11"/>
      <c r="D40" s="11"/>
      <c r="E40" s="11"/>
      <c r="F40" s="11"/>
      <c r="G40" s="11"/>
      <c r="H40" s="11"/>
      <c r="I40" s="11"/>
      <c r="J40" s="11"/>
      <c r="K40" s="19"/>
      <c r="L40" s="11"/>
      <c r="M40" s="19"/>
      <c r="AE40" s="11"/>
      <c r="AF40" s="11"/>
      <c r="AG40" s="11"/>
      <c r="AH40" s="11"/>
    </row>
    <row r="41" spans="1:41" s="1" customFormat="1" x14ac:dyDescent="0.3">
      <c r="A41" s="20" t="s">
        <v>166</v>
      </c>
      <c r="B41" s="11"/>
      <c r="C41" s="11"/>
      <c r="D41" s="11"/>
      <c r="E41" s="19"/>
      <c r="F41" s="19"/>
      <c r="G41" s="19">
        <v>0</v>
      </c>
      <c r="H41" s="11"/>
      <c r="I41" s="19">
        <v>0</v>
      </c>
      <c r="J41" s="11"/>
      <c r="K41" s="19">
        <v>0.1</v>
      </c>
      <c r="L41" s="11"/>
      <c r="M41" s="19">
        <v>0.1</v>
      </c>
      <c r="O41" s="19">
        <f>M41+O43+O45+O47</f>
        <v>0.10100000000000001</v>
      </c>
      <c r="Q41" s="19">
        <f>O41+Q43+Q45+Q47</f>
        <v>0.10201000000000002</v>
      </c>
      <c r="S41" s="19">
        <f>Q41+S43+S45+S47</f>
        <v>0.10303010000000001</v>
      </c>
      <c r="U41" s="19">
        <f>S41+U43+U45+U47</f>
        <v>0.10406040100000002</v>
      </c>
      <c r="W41" s="19">
        <f>U41+W43+W45+W47</f>
        <v>0.10510100501000003</v>
      </c>
      <c r="Y41" s="19">
        <f>W41+Y43+Y45+Y47</f>
        <v>0.10615201506010002</v>
      </c>
      <c r="AE41" s="11"/>
      <c r="AF41" s="11"/>
      <c r="AG41" s="19">
        <v>0.1</v>
      </c>
      <c r="AH41" s="19">
        <v>0.1</v>
      </c>
      <c r="AI41" s="19">
        <f>AH41+AI43+AI45+AI47</f>
        <v>0.10100000000000001</v>
      </c>
      <c r="AJ41" s="19">
        <f t="shared" ref="AJ41:AO41" si="27">AI41+AJ43+AJ45+AJ47</f>
        <v>0.10201000000000002</v>
      </c>
      <c r="AK41" s="19">
        <f t="shared" si="27"/>
        <v>0.10303010000000001</v>
      </c>
      <c r="AL41" s="19">
        <f t="shared" si="27"/>
        <v>0.10406040100000002</v>
      </c>
      <c r="AM41" s="19">
        <f t="shared" si="27"/>
        <v>0.10510100501000003</v>
      </c>
      <c r="AN41" s="19">
        <f t="shared" si="27"/>
        <v>0.10615201506010002</v>
      </c>
      <c r="AO41" s="19">
        <f t="shared" si="27"/>
        <v>0.10721353521070104</v>
      </c>
    </row>
    <row r="42" spans="1:41" s="1" customFormat="1" x14ac:dyDescent="0.3">
      <c r="A42" s="20"/>
      <c r="B42" s="11"/>
      <c r="C42" s="11"/>
      <c r="D42" s="11"/>
      <c r="E42" s="11"/>
      <c r="F42" s="11"/>
      <c r="G42" s="15" t="str">
        <f t="shared" ref="G42:L42" si="28">IFERROR(G41/E41-1, "-")</f>
        <v>-</v>
      </c>
      <c r="H42" s="15" t="str">
        <f t="shared" si="28"/>
        <v>-</v>
      </c>
      <c r="I42" s="15" t="str">
        <f t="shared" si="28"/>
        <v>-</v>
      </c>
      <c r="J42" s="15" t="str">
        <f t="shared" si="28"/>
        <v>-</v>
      </c>
      <c r="K42" s="15" t="str">
        <f t="shared" si="28"/>
        <v>-</v>
      </c>
      <c r="L42" s="15" t="str">
        <f t="shared" si="28"/>
        <v>-</v>
      </c>
      <c r="M42" s="15">
        <f>IFERROR(M41/K41-1, "-")</f>
        <v>0</v>
      </c>
      <c r="AE42" s="11"/>
      <c r="AF42" s="11"/>
      <c r="AG42" s="11"/>
      <c r="AH42" s="11"/>
    </row>
    <row r="43" spans="1:41" s="1" customFormat="1" x14ac:dyDescent="0.3">
      <c r="A43" s="27" t="s">
        <v>138</v>
      </c>
      <c r="B43" s="11"/>
      <c r="C43" s="11"/>
      <c r="D43" s="11"/>
      <c r="E43" s="11"/>
      <c r="F43" s="11"/>
      <c r="G43" s="11"/>
      <c r="H43" s="11"/>
      <c r="I43" s="11"/>
      <c r="J43" s="11"/>
      <c r="K43" s="19">
        <v>0</v>
      </c>
      <c r="L43" s="11"/>
      <c r="M43" s="19">
        <v>0</v>
      </c>
      <c r="O43">
        <f>O44*M41</f>
        <v>0</v>
      </c>
      <c r="Q43">
        <f>Q44*O41</f>
        <v>0</v>
      </c>
      <c r="S43">
        <f>S44*Q41</f>
        <v>0</v>
      </c>
      <c r="U43">
        <f>U44*S41</f>
        <v>0</v>
      </c>
      <c r="W43">
        <f>W44*U41</f>
        <v>0</v>
      </c>
      <c r="Y43">
        <f>Y44*W41</f>
        <v>0</v>
      </c>
      <c r="AE43" s="11"/>
      <c r="AF43" s="19"/>
      <c r="AG43" s="19"/>
      <c r="AH43" s="19">
        <v>0</v>
      </c>
      <c r="AI43">
        <f>AI44*AH41</f>
        <v>0</v>
      </c>
      <c r="AJ43">
        <f t="shared" ref="AJ43:AO43" si="29">AJ44*AI41</f>
        <v>0</v>
      </c>
      <c r="AK43">
        <f t="shared" si="29"/>
        <v>0</v>
      </c>
      <c r="AL43">
        <f t="shared" si="29"/>
        <v>0</v>
      </c>
      <c r="AM43">
        <f t="shared" si="29"/>
        <v>0</v>
      </c>
      <c r="AN43">
        <f t="shared" si="29"/>
        <v>0</v>
      </c>
      <c r="AO43">
        <f t="shared" si="29"/>
        <v>0</v>
      </c>
    </row>
    <row r="44" spans="1:41" s="1" customFormat="1" x14ac:dyDescent="0.3">
      <c r="A44" s="20" t="s">
        <v>159</v>
      </c>
      <c r="B44" s="11"/>
      <c r="C44" s="11"/>
      <c r="D44" s="11"/>
      <c r="E44" s="11"/>
      <c r="F44" s="11"/>
      <c r="G44" s="15" t="str">
        <f t="shared" ref="G44:L44" si="30">IFERROR(G43/E41,"-")</f>
        <v>-</v>
      </c>
      <c r="H44" s="15" t="str">
        <f t="shared" si="30"/>
        <v>-</v>
      </c>
      <c r="I44" s="15" t="str">
        <f t="shared" si="30"/>
        <v>-</v>
      </c>
      <c r="J44" s="15" t="str">
        <f t="shared" si="30"/>
        <v>-</v>
      </c>
      <c r="K44" s="15" t="str">
        <f t="shared" si="30"/>
        <v>-</v>
      </c>
      <c r="L44" s="15" t="str">
        <f t="shared" si="30"/>
        <v>-</v>
      </c>
      <c r="M44" s="15">
        <f>IFERROR(M43/K41,"-")</f>
        <v>0</v>
      </c>
      <c r="O44" s="30">
        <v>0</v>
      </c>
      <c r="Q44" s="30">
        <v>0</v>
      </c>
      <c r="S44" s="30">
        <v>0</v>
      </c>
      <c r="U44" s="30">
        <v>0</v>
      </c>
      <c r="W44" s="30">
        <v>0</v>
      </c>
      <c r="Y44" s="30">
        <v>0</v>
      </c>
      <c r="AE44" s="11"/>
      <c r="AF44" s="11"/>
      <c r="AG44" s="11"/>
      <c r="AH44" s="11">
        <f>AH43/AG41</f>
        <v>0</v>
      </c>
      <c r="AI44" s="30">
        <v>0</v>
      </c>
      <c r="AJ44" s="30">
        <v>0</v>
      </c>
      <c r="AK44" s="30">
        <v>0</v>
      </c>
      <c r="AL44" s="30">
        <v>0</v>
      </c>
      <c r="AM44" s="30">
        <v>0</v>
      </c>
      <c r="AN44" s="30">
        <v>0</v>
      </c>
      <c r="AO44" s="30">
        <v>0</v>
      </c>
    </row>
    <row r="45" spans="1:41" s="1" customFormat="1" x14ac:dyDescent="0.3">
      <c r="A45" t="s">
        <v>139</v>
      </c>
      <c r="B45" s="11"/>
      <c r="C45" s="11"/>
      <c r="D45" s="11"/>
      <c r="E45" s="11"/>
      <c r="F45" s="11"/>
      <c r="G45" s="11"/>
      <c r="H45" s="11"/>
      <c r="I45" s="11"/>
      <c r="J45" s="11"/>
      <c r="K45" s="19">
        <v>0</v>
      </c>
      <c r="L45" s="11"/>
      <c r="M45" s="19">
        <v>0</v>
      </c>
      <c r="O45" s="19">
        <f>O46*M41</f>
        <v>5.0000000000000001E-4</v>
      </c>
      <c r="Q45" s="19">
        <f>Q46*O41</f>
        <v>5.0500000000000002E-4</v>
      </c>
      <c r="S45" s="19">
        <f>S46*Q41</f>
        <v>5.1005000000000006E-4</v>
      </c>
      <c r="U45" s="19">
        <f>U46*S41</f>
        <v>5.1515050000000009E-4</v>
      </c>
      <c r="W45" s="19">
        <f>W46*U41</f>
        <v>5.2030200500000014E-4</v>
      </c>
      <c r="Y45" s="19">
        <f>Y46*W41</f>
        <v>5.2550502505000016E-4</v>
      </c>
      <c r="AE45" s="11"/>
      <c r="AF45" s="19"/>
      <c r="AG45" s="19"/>
      <c r="AH45" s="19">
        <v>0</v>
      </c>
      <c r="AI45" s="19">
        <f>AI46*AH41</f>
        <v>5.0000000000000001E-4</v>
      </c>
      <c r="AJ45" s="19">
        <f t="shared" ref="AJ45:AO45" si="31">AJ46*AI41</f>
        <v>5.0500000000000002E-4</v>
      </c>
      <c r="AK45" s="19">
        <f t="shared" si="31"/>
        <v>5.1005000000000006E-4</v>
      </c>
      <c r="AL45" s="19">
        <f t="shared" si="31"/>
        <v>5.1515050000000009E-4</v>
      </c>
      <c r="AM45" s="19">
        <f t="shared" si="31"/>
        <v>5.2030200500000014E-4</v>
      </c>
      <c r="AN45" s="19">
        <f t="shared" si="31"/>
        <v>5.2550502505000016E-4</v>
      </c>
      <c r="AO45" s="19">
        <f t="shared" si="31"/>
        <v>5.3076007530050012E-4</v>
      </c>
    </row>
    <row r="46" spans="1:41" s="1" customFormat="1" x14ac:dyDescent="0.3">
      <c r="A46" s="20" t="s">
        <v>160</v>
      </c>
      <c r="B46" s="11"/>
      <c r="C46" s="11"/>
      <c r="D46" s="11"/>
      <c r="E46" s="11"/>
      <c r="F46" s="11"/>
      <c r="G46" s="15" t="str">
        <f t="shared" ref="G46:L48" si="32">IFERROR(G45/E41,"-")</f>
        <v>-</v>
      </c>
      <c r="H46" s="15" t="str">
        <f t="shared" si="32"/>
        <v>-</v>
      </c>
      <c r="I46" s="15" t="str">
        <f t="shared" si="32"/>
        <v>-</v>
      </c>
      <c r="J46" s="15" t="str">
        <f t="shared" si="32"/>
        <v>-</v>
      </c>
      <c r="K46" s="15" t="str">
        <f t="shared" si="32"/>
        <v>-</v>
      </c>
      <c r="L46" s="15" t="str">
        <f t="shared" si="32"/>
        <v>-</v>
      </c>
      <c r="M46" s="15">
        <f>IFERROR(M45/K41,"-")</f>
        <v>0</v>
      </c>
      <c r="O46" s="31">
        <v>5.0000000000000001E-3</v>
      </c>
      <c r="Q46" s="31">
        <v>5.0000000000000001E-3</v>
      </c>
      <c r="S46" s="31">
        <v>5.0000000000000001E-3</v>
      </c>
      <c r="U46" s="31">
        <v>5.0000000000000001E-3</v>
      </c>
      <c r="W46" s="31">
        <v>5.0000000000000001E-3</v>
      </c>
      <c r="Y46" s="31">
        <v>5.0000000000000001E-3</v>
      </c>
      <c r="AE46" s="11"/>
      <c r="AF46" s="11"/>
      <c r="AG46" s="11"/>
      <c r="AH46" s="11">
        <f>AH45/AG41</f>
        <v>0</v>
      </c>
      <c r="AI46" s="31">
        <v>5.0000000000000001E-3</v>
      </c>
      <c r="AJ46" s="31">
        <v>5.0000000000000001E-3</v>
      </c>
      <c r="AK46" s="31">
        <v>5.0000000000000001E-3</v>
      </c>
      <c r="AL46" s="31">
        <v>5.0000000000000001E-3</v>
      </c>
      <c r="AM46" s="31">
        <v>5.0000000000000001E-3</v>
      </c>
      <c r="AN46" s="31">
        <v>5.0000000000000001E-3</v>
      </c>
      <c r="AO46" s="31">
        <v>5.0000000000000001E-3</v>
      </c>
    </row>
    <row r="47" spans="1:41" s="1" customFormat="1" x14ac:dyDescent="0.3">
      <c r="A47" t="s">
        <v>158</v>
      </c>
      <c r="B47" s="11"/>
      <c r="C47" s="11"/>
      <c r="D47" s="11"/>
      <c r="E47" s="11"/>
      <c r="F47" s="11"/>
      <c r="G47" s="11"/>
      <c r="H47" s="11"/>
      <c r="I47" s="11"/>
      <c r="J47" s="11"/>
      <c r="K47" s="19">
        <v>1</v>
      </c>
      <c r="L47" s="11"/>
      <c r="M47" s="19">
        <v>0</v>
      </c>
      <c r="O47" s="19">
        <f>O48*M41</f>
        <v>5.0000000000000001E-4</v>
      </c>
      <c r="Q47" s="19">
        <f>Q48*O41</f>
        <v>5.0500000000000002E-4</v>
      </c>
      <c r="S47" s="19">
        <f>S48*Q41</f>
        <v>5.1005000000000006E-4</v>
      </c>
      <c r="U47" s="19">
        <f>U48*S41</f>
        <v>5.1515050000000009E-4</v>
      </c>
      <c r="W47" s="19">
        <f>W48*U41</f>
        <v>5.2030200500000014E-4</v>
      </c>
      <c r="Y47" s="19">
        <f>Y48*W41</f>
        <v>5.2550502505000016E-4</v>
      </c>
      <c r="AE47" s="11"/>
      <c r="AF47" s="19"/>
      <c r="AG47" s="19"/>
      <c r="AH47" s="19">
        <v>0</v>
      </c>
      <c r="AI47" s="19">
        <f>AI48*AH41</f>
        <v>5.0000000000000001E-4</v>
      </c>
      <c r="AJ47" s="19">
        <f t="shared" ref="AJ47:AO47" si="33">AJ48*AI41</f>
        <v>5.0500000000000002E-4</v>
      </c>
      <c r="AK47" s="19">
        <f t="shared" si="33"/>
        <v>5.1005000000000006E-4</v>
      </c>
      <c r="AL47" s="19">
        <f t="shared" si="33"/>
        <v>5.1515050000000009E-4</v>
      </c>
      <c r="AM47" s="19">
        <f t="shared" si="33"/>
        <v>5.2030200500000014E-4</v>
      </c>
      <c r="AN47" s="19">
        <f t="shared" si="33"/>
        <v>5.2550502505000016E-4</v>
      </c>
      <c r="AO47" s="19">
        <f t="shared" si="33"/>
        <v>5.3076007530050012E-4</v>
      </c>
    </row>
    <row r="48" spans="1:41" s="1" customFormat="1" x14ac:dyDescent="0.3">
      <c r="A48" s="20" t="s">
        <v>161</v>
      </c>
      <c r="B48" s="11"/>
      <c r="C48" s="11"/>
      <c r="D48" s="11"/>
      <c r="E48" s="11"/>
      <c r="F48" s="11"/>
      <c r="G48" s="15"/>
      <c r="H48" s="15"/>
      <c r="I48" s="15" t="str">
        <f t="shared" si="32"/>
        <v>-</v>
      </c>
      <c r="J48" s="15">
        <v>-0.14699999999999999</v>
      </c>
      <c r="K48" s="15">
        <v>0.36699999999999999</v>
      </c>
      <c r="L48" s="15">
        <v>-0.14699999999999999</v>
      </c>
      <c r="M48" s="15">
        <v>-0.14699999999999999</v>
      </c>
      <c r="O48" s="31">
        <v>5.0000000000000001E-3</v>
      </c>
      <c r="Q48" s="31">
        <v>5.0000000000000001E-3</v>
      </c>
      <c r="S48" s="31">
        <v>5.0000000000000001E-3</v>
      </c>
      <c r="U48" s="31">
        <v>5.0000000000000001E-3</v>
      </c>
      <c r="W48" s="31">
        <v>5.0000000000000001E-3</v>
      </c>
      <c r="Y48" s="31">
        <v>5.0000000000000001E-3</v>
      </c>
      <c r="AE48" s="11"/>
      <c r="AF48" s="11"/>
      <c r="AG48" s="11"/>
      <c r="AH48" s="11">
        <f>AH47/AG41</f>
        <v>0</v>
      </c>
      <c r="AI48" s="31">
        <v>5.0000000000000001E-3</v>
      </c>
      <c r="AJ48" s="31">
        <v>5.0000000000000001E-3</v>
      </c>
      <c r="AK48" s="31">
        <v>5.0000000000000001E-3</v>
      </c>
      <c r="AL48" s="31">
        <v>5.0000000000000001E-3</v>
      </c>
      <c r="AM48" s="31">
        <v>5.0000000000000001E-3</v>
      </c>
      <c r="AN48" s="31">
        <v>5.0000000000000001E-3</v>
      </c>
      <c r="AO48" s="31">
        <v>5.0000000000000001E-3</v>
      </c>
    </row>
    <row r="49" spans="1:41" s="1" customFormat="1" x14ac:dyDescent="0.3">
      <c r="A49" s="20"/>
      <c r="B49" s="11"/>
      <c r="C49" s="11"/>
      <c r="D49" s="11"/>
      <c r="E49" s="11"/>
      <c r="F49" s="11"/>
      <c r="G49" s="11"/>
      <c r="H49" s="11"/>
      <c r="I49" s="11"/>
      <c r="J49" s="11"/>
      <c r="K49" s="19"/>
      <c r="L49" s="11"/>
      <c r="M49" s="19"/>
      <c r="AE49" s="11"/>
      <c r="AF49" s="11"/>
      <c r="AG49" s="11"/>
      <c r="AH49" s="11"/>
    </row>
    <row r="50" spans="1:41" s="1" customFormat="1" x14ac:dyDescent="0.3">
      <c r="A50" s="20"/>
      <c r="B50" s="11"/>
      <c r="C50" s="11"/>
      <c r="D50" s="11"/>
      <c r="E50" s="11"/>
      <c r="F50" s="11"/>
      <c r="G50" s="11"/>
      <c r="H50" s="11"/>
      <c r="I50" s="11"/>
      <c r="J50" s="11"/>
      <c r="K50" s="19"/>
      <c r="L50" s="11"/>
      <c r="M50" s="19"/>
      <c r="AE50" s="11"/>
      <c r="AF50" s="11"/>
      <c r="AG50" s="11"/>
      <c r="AH50" s="11"/>
    </row>
    <row r="51" spans="1:41" s="1" customFormat="1" x14ac:dyDescent="0.3">
      <c r="A51" s="20" t="s">
        <v>169</v>
      </c>
      <c r="B51" s="11"/>
      <c r="C51" s="11"/>
      <c r="D51" s="11"/>
      <c r="E51" s="19"/>
      <c r="F51" s="19"/>
      <c r="G51" s="19">
        <v>14.1</v>
      </c>
      <c r="H51" s="11"/>
      <c r="I51" s="19">
        <v>25</v>
      </c>
      <c r="J51" s="11"/>
      <c r="K51" s="21">
        <f>K22+K31+K41</f>
        <v>21.8</v>
      </c>
      <c r="L51" s="11"/>
      <c r="M51" s="21">
        <v>23.4</v>
      </c>
      <c r="O51" s="19">
        <f>O22+O31+O41</f>
        <v>23.564099999999996</v>
      </c>
      <c r="Q51" s="19">
        <f>Q22+Q31+Q41</f>
        <v>23.729351699999999</v>
      </c>
      <c r="S51" s="19">
        <f>S22+S31+S41</f>
        <v>23.895763191899999</v>
      </c>
      <c r="U51" s="19">
        <f>U22+U31+U41</f>
        <v>24.063342624543296</v>
      </c>
      <c r="W51" s="19">
        <f>W22+W31+W41</f>
        <v>24.232098204118099</v>
      </c>
      <c r="Y51" s="19">
        <f>Y22+Y31+Y41</f>
        <v>24.402038194561957</v>
      </c>
      <c r="AE51" s="11"/>
      <c r="AF51" s="11"/>
      <c r="AG51" s="19">
        <v>49</v>
      </c>
      <c r="AH51" s="19">
        <v>43.9</v>
      </c>
      <c r="AI51" s="19">
        <f>AI22+AI31+AI41</f>
        <v>44.207599999999999</v>
      </c>
      <c r="AJ51" s="19">
        <f t="shared" ref="AJ51:AO51" si="34">AJ22+AJ31+AJ41</f>
        <v>44.517356200000002</v>
      </c>
      <c r="AK51" s="19">
        <f t="shared" si="34"/>
        <v>44.829283723399996</v>
      </c>
      <c r="AL51" s="19">
        <f t="shared" si="34"/>
        <v>45.143397799763797</v>
      </c>
      <c r="AM51" s="19">
        <f t="shared" si="34"/>
        <v>45.459713765565141</v>
      </c>
      <c r="AN51" s="19">
        <f t="shared" si="34"/>
        <v>45.778247064939123</v>
      </c>
      <c r="AO51" s="19">
        <f t="shared" si="34"/>
        <v>46.099013250438887</v>
      </c>
    </row>
    <row r="52" spans="1:41" s="1" customFormat="1" x14ac:dyDescent="0.3">
      <c r="A52" s="20"/>
      <c r="B52" s="11"/>
      <c r="C52" s="11"/>
      <c r="D52" s="11"/>
      <c r="E52" s="11"/>
      <c r="F52" s="11"/>
      <c r="G52" s="15" t="str">
        <f t="shared" ref="G52:L52" si="35">IFERROR(G51/E51-1, "-")</f>
        <v>-</v>
      </c>
      <c r="H52" s="15" t="str">
        <f t="shared" si="35"/>
        <v>-</v>
      </c>
      <c r="I52" s="15">
        <f t="shared" si="35"/>
        <v>0.77304964539007104</v>
      </c>
      <c r="J52" s="15" t="str">
        <f t="shared" si="35"/>
        <v>-</v>
      </c>
      <c r="K52" s="15">
        <f t="shared" si="35"/>
        <v>-0.128</v>
      </c>
      <c r="L52" s="15" t="str">
        <f t="shared" si="35"/>
        <v>-</v>
      </c>
      <c r="M52" s="15">
        <f>IFERROR(M51/K51-1, "-")</f>
        <v>7.3394495412844041E-2</v>
      </c>
      <c r="AE52" s="11"/>
      <c r="AF52" s="11"/>
      <c r="AG52" s="11"/>
      <c r="AH52" s="11"/>
    </row>
    <row r="53" spans="1:41" s="1" customFormat="1" x14ac:dyDescent="0.3">
      <c r="A53" s="27" t="s">
        <v>138</v>
      </c>
      <c r="B53" s="11"/>
      <c r="C53" s="11"/>
      <c r="D53" s="11"/>
      <c r="E53" s="19"/>
      <c r="F53" s="19"/>
      <c r="G53" s="19"/>
      <c r="H53" s="19"/>
      <c r="I53" s="19">
        <v>0</v>
      </c>
      <c r="J53" s="11"/>
      <c r="K53" s="19">
        <v>0</v>
      </c>
      <c r="L53" s="11"/>
      <c r="M53" s="19">
        <v>0</v>
      </c>
      <c r="O53" s="19">
        <f>O24+O33+O43</f>
        <v>0</v>
      </c>
      <c r="Q53" s="19">
        <f>Q24+Q33+Q43</f>
        <v>0</v>
      </c>
      <c r="S53" s="19">
        <f>S24+S33+S43</f>
        <v>0</v>
      </c>
      <c r="U53" s="19">
        <f>U24+U33+U43</f>
        <v>0</v>
      </c>
      <c r="W53" s="19">
        <f>W24+W33+W43</f>
        <v>0</v>
      </c>
      <c r="Y53" s="19">
        <f>Y24+Y33+Y43</f>
        <v>0</v>
      </c>
      <c r="AE53" s="11"/>
      <c r="AF53" s="19"/>
      <c r="AG53" s="19"/>
      <c r="AH53" s="19">
        <v>0</v>
      </c>
      <c r="AI53" s="19">
        <f>AI24+AI33+AI43</f>
        <v>0</v>
      </c>
      <c r="AJ53" s="19">
        <f t="shared" ref="AJ53:AO53" si="36">AJ24+AJ33+AJ43</f>
        <v>0</v>
      </c>
      <c r="AK53" s="19">
        <f t="shared" si="36"/>
        <v>0</v>
      </c>
      <c r="AL53" s="19">
        <f t="shared" si="36"/>
        <v>0</v>
      </c>
      <c r="AM53" s="19">
        <f t="shared" si="36"/>
        <v>0</v>
      </c>
      <c r="AN53" s="19">
        <f t="shared" si="36"/>
        <v>0</v>
      </c>
      <c r="AO53" s="19">
        <f t="shared" si="36"/>
        <v>0</v>
      </c>
    </row>
    <row r="54" spans="1:41" s="1" customFormat="1" x14ac:dyDescent="0.3">
      <c r="A54" s="20" t="s">
        <v>159</v>
      </c>
      <c r="B54" s="11"/>
      <c r="C54" s="11"/>
      <c r="D54" s="11"/>
      <c r="E54" s="11"/>
      <c r="F54" s="11"/>
      <c r="G54" s="15" t="str">
        <f t="shared" ref="G54:L54" si="37">IFERROR(G53/E51,"-")</f>
        <v>-</v>
      </c>
      <c r="H54" s="15" t="str">
        <f t="shared" si="37"/>
        <v>-</v>
      </c>
      <c r="I54" s="15">
        <f t="shared" si="37"/>
        <v>0</v>
      </c>
      <c r="J54" s="15" t="str">
        <f t="shared" si="37"/>
        <v>-</v>
      </c>
      <c r="K54" s="15">
        <f t="shared" si="37"/>
        <v>0</v>
      </c>
      <c r="L54" s="15" t="str">
        <f t="shared" si="37"/>
        <v>-</v>
      </c>
      <c r="M54" s="15">
        <f>IFERROR(M53/K51,"-")</f>
        <v>0</v>
      </c>
      <c r="O54" s="11">
        <f>O53/M51</f>
        <v>0</v>
      </c>
      <c r="Q54" s="11">
        <f>Q53/O51</f>
        <v>0</v>
      </c>
      <c r="S54" s="11">
        <f>S53/Q51</f>
        <v>0</v>
      </c>
      <c r="U54" s="11">
        <f>U53/S51</f>
        <v>0</v>
      </c>
      <c r="W54" s="11">
        <f>W53/U51</f>
        <v>0</v>
      </c>
      <c r="Y54" s="11">
        <f>Y53/W51</f>
        <v>0</v>
      </c>
      <c r="AE54" s="11"/>
      <c r="AF54" s="11"/>
      <c r="AG54" s="11"/>
      <c r="AH54" s="11">
        <f>AH53/AG51</f>
        <v>0</v>
      </c>
      <c r="AI54" s="11">
        <f>AI53/AH51</f>
        <v>0</v>
      </c>
      <c r="AJ54" s="11">
        <f t="shared" ref="AJ54:AO54" si="38">AJ53/AI51</f>
        <v>0</v>
      </c>
      <c r="AK54" s="11">
        <f t="shared" si="38"/>
        <v>0</v>
      </c>
      <c r="AL54" s="11">
        <f t="shared" si="38"/>
        <v>0</v>
      </c>
      <c r="AM54" s="11">
        <f t="shared" si="38"/>
        <v>0</v>
      </c>
      <c r="AN54" s="11">
        <f t="shared" si="38"/>
        <v>0</v>
      </c>
      <c r="AO54" s="11">
        <f t="shared" si="38"/>
        <v>0</v>
      </c>
    </row>
    <row r="55" spans="1:41" s="1" customFormat="1" x14ac:dyDescent="0.3">
      <c r="A55" t="s">
        <v>139</v>
      </c>
      <c r="B55" s="11"/>
      <c r="C55" s="11"/>
      <c r="D55" s="11"/>
      <c r="E55" s="19"/>
      <c r="F55" s="19"/>
      <c r="G55" s="19"/>
      <c r="H55" s="19"/>
      <c r="I55" s="19">
        <v>8.6999999999999993</v>
      </c>
      <c r="J55" s="11"/>
      <c r="K55" s="19">
        <v>0</v>
      </c>
      <c r="L55" s="11"/>
      <c r="M55" s="19">
        <v>0.2</v>
      </c>
      <c r="O55" s="19">
        <f>O26+O35+O45</f>
        <v>0.11610000000000001</v>
      </c>
      <c r="Q55" s="19">
        <f>Q26+Q35+Q45</f>
        <v>0.1169142</v>
      </c>
      <c r="S55" s="19">
        <f>S26+S35+S45</f>
        <v>0.11773411439999999</v>
      </c>
      <c r="U55" s="19">
        <f>U26+U35+U45</f>
        <v>0.1185597833508</v>
      </c>
      <c r="W55" s="19">
        <f>W26+W35+W45</f>
        <v>0.11939124728575558</v>
      </c>
      <c r="Y55" s="19">
        <f>Y26+Y35+Y45</f>
        <v>0.12022854692277087</v>
      </c>
      <c r="AE55" s="11"/>
      <c r="AF55" s="19"/>
      <c r="AG55" s="19"/>
      <c r="AH55" s="19">
        <v>0</v>
      </c>
      <c r="AI55" s="19">
        <f>AI26+AI35+AI45</f>
        <v>0.21709999999999999</v>
      </c>
      <c r="AJ55" s="19">
        <f t="shared" ref="AJ55:AO55" si="39">AJ26+AJ35+AJ45</f>
        <v>0.21862120000000002</v>
      </c>
      <c r="AK55" s="19">
        <f t="shared" si="39"/>
        <v>0.22015306339999999</v>
      </c>
      <c r="AL55" s="19">
        <f t="shared" si="39"/>
        <v>0.2216956649938</v>
      </c>
      <c r="AM55" s="19">
        <f t="shared" si="39"/>
        <v>0.2232490801002566</v>
      </c>
      <c r="AN55" s="19">
        <f t="shared" si="39"/>
        <v>0.22481338456697336</v>
      </c>
      <c r="AO55" s="19">
        <f t="shared" si="39"/>
        <v>0.22638865477401732</v>
      </c>
    </row>
    <row r="56" spans="1:41" s="1" customFormat="1" x14ac:dyDescent="0.3">
      <c r="A56" s="20" t="s">
        <v>160</v>
      </c>
      <c r="B56" s="11"/>
      <c r="C56" s="11"/>
      <c r="D56" s="11"/>
      <c r="E56" s="11"/>
      <c r="F56" s="11"/>
      <c r="G56" s="15" t="str">
        <f t="shared" ref="G56:L56" si="40">IFERROR(G55/E51,"-")</f>
        <v>-</v>
      </c>
      <c r="H56" s="15" t="str">
        <f t="shared" si="40"/>
        <v>-</v>
      </c>
      <c r="I56" s="15">
        <f t="shared" si="40"/>
        <v>0.61702127659574468</v>
      </c>
      <c r="J56" s="15" t="str">
        <f t="shared" si="40"/>
        <v>-</v>
      </c>
      <c r="K56" s="15">
        <f t="shared" si="40"/>
        <v>0</v>
      </c>
      <c r="L56" s="15" t="str">
        <f t="shared" si="40"/>
        <v>-</v>
      </c>
      <c r="M56" s="15">
        <f>IFERROR(M55/K51,"-")</f>
        <v>9.1743119266055051E-3</v>
      </c>
      <c r="O56" s="11">
        <f>O55/M51</f>
        <v>4.9615384615384625E-3</v>
      </c>
      <c r="Q56" s="11">
        <f>Q55/O51</f>
        <v>4.9615389512011922E-3</v>
      </c>
      <c r="S56" s="11">
        <f>S55/Q51</f>
        <v>4.9615394423101747E-3</v>
      </c>
      <c r="U56" s="11">
        <f>U55/S51</f>
        <v>4.9615399348696462E-3</v>
      </c>
      <c r="W56" s="11">
        <f>W55/U51</f>
        <v>4.9615404288838498E-3</v>
      </c>
      <c r="Y56" s="11">
        <f>Y55/W51</f>
        <v>4.9615409243570479E-3</v>
      </c>
      <c r="AE56" s="11"/>
      <c r="AF56" s="11"/>
      <c r="AG56" s="11"/>
      <c r="AH56" s="11">
        <f>AH55/AG51</f>
        <v>0</v>
      </c>
      <c r="AI56" s="11">
        <f>AI55/AH51</f>
        <v>4.9453302961275621E-3</v>
      </c>
      <c r="AJ56" s="11">
        <f t="shared" ref="AJ56:AO56" si="41">AJ55/AI51</f>
        <v>4.9453306671251099E-3</v>
      </c>
      <c r="AK56" s="11">
        <f t="shared" si="41"/>
        <v>4.945331039222854E-3</v>
      </c>
      <c r="AL56" s="11">
        <f t="shared" si="41"/>
        <v>4.9453314124240462E-3</v>
      </c>
      <c r="AM56" s="11">
        <f t="shared" si="41"/>
        <v>4.945331786731939E-3</v>
      </c>
      <c r="AN56" s="11">
        <f t="shared" si="41"/>
        <v>4.9453321621498016E-3</v>
      </c>
      <c r="AO56" s="11">
        <f t="shared" si="41"/>
        <v>4.94533253868091E-3</v>
      </c>
    </row>
    <row r="57" spans="1:41" s="1" customFormat="1" x14ac:dyDescent="0.3">
      <c r="A57" t="s">
        <v>158</v>
      </c>
      <c r="B57" s="11"/>
      <c r="C57" s="11"/>
      <c r="D57" s="11"/>
      <c r="E57" s="21"/>
      <c r="F57" s="21"/>
      <c r="G57" s="21"/>
      <c r="H57" s="21"/>
      <c r="I57" s="19">
        <v>2.2999999999999998</v>
      </c>
      <c r="J57" s="11"/>
      <c r="K57" s="19">
        <v>-3.3</v>
      </c>
      <c r="L57" s="11"/>
      <c r="M57" s="19">
        <v>1.4</v>
      </c>
      <c r="O57" s="19">
        <f>O28+O37+O47</f>
        <v>4.8000000000000001E-2</v>
      </c>
      <c r="Q57" s="19">
        <f>Q28+Q37+Q47</f>
        <v>4.8337499999999992E-2</v>
      </c>
      <c r="S57" s="19">
        <f>S28+S37+S47</f>
        <v>4.8677377499999994E-2</v>
      </c>
      <c r="U57" s="19">
        <f>U28+U37+U47</f>
        <v>4.9019649292499995E-2</v>
      </c>
      <c r="W57" s="19">
        <f>W28+W37+W47</f>
        <v>4.9364332289047491E-2</v>
      </c>
      <c r="Y57" s="19">
        <f>Y28+Y37+Y47</f>
        <v>4.9711443521085821E-2</v>
      </c>
      <c r="AE57" s="11"/>
      <c r="AF57" s="19"/>
      <c r="AG57" s="19"/>
      <c r="AH57" s="19">
        <v>-5.0999999999999996</v>
      </c>
      <c r="AI57" s="19">
        <f>AI28+AI37+AI47</f>
        <v>9.0500000000000011E-2</v>
      </c>
      <c r="AJ57" s="19">
        <f t="shared" ref="AJ57:AO57" si="42">AJ28+AJ37+AJ47</f>
        <v>9.1135000000000022E-2</v>
      </c>
      <c r="AK57" s="19">
        <f t="shared" si="42"/>
        <v>9.1774460000000002E-2</v>
      </c>
      <c r="AL57" s="19">
        <f t="shared" si="42"/>
        <v>9.2418411370000009E-2</v>
      </c>
      <c r="AM57" s="19">
        <f t="shared" si="42"/>
        <v>9.3066885701090007E-2</v>
      </c>
      <c r="AN57" s="19">
        <f t="shared" si="42"/>
        <v>9.3719914807012625E-2</v>
      </c>
      <c r="AO57" s="19">
        <f t="shared" si="42"/>
        <v>9.4377530725736847E-2</v>
      </c>
    </row>
    <row r="58" spans="1:41" s="1" customFormat="1" x14ac:dyDescent="0.3">
      <c r="A58" s="20" t="s">
        <v>161</v>
      </c>
      <c r="B58" s="11"/>
      <c r="C58" s="11"/>
      <c r="D58" s="11"/>
      <c r="E58" s="11"/>
      <c r="F58" s="11"/>
      <c r="G58" s="15" t="str">
        <f t="shared" ref="G58:L58" si="43">IFERROR(G57/E51,"-")</f>
        <v>-</v>
      </c>
      <c r="H58" s="15" t="str">
        <f t="shared" si="43"/>
        <v>-</v>
      </c>
      <c r="I58" s="15">
        <f t="shared" si="43"/>
        <v>0.16312056737588651</v>
      </c>
      <c r="J58" s="15" t="str">
        <f t="shared" si="43"/>
        <v>-</v>
      </c>
      <c r="K58" s="15">
        <f t="shared" si="43"/>
        <v>-0.13200000000000001</v>
      </c>
      <c r="L58" s="15" t="str">
        <f t="shared" si="43"/>
        <v>-</v>
      </c>
      <c r="M58" s="15">
        <f>IFERROR(M57/K51,"-")</f>
        <v>6.4220183486238522E-2</v>
      </c>
      <c r="O58" s="11">
        <f>O57/M51</f>
        <v>2.0512820512820513E-3</v>
      </c>
      <c r="Q58" s="11">
        <f>Q57/O51</f>
        <v>2.0513195920913592E-3</v>
      </c>
      <c r="S58" s="11">
        <f>S57/Q51</f>
        <v>2.0513572437800731E-3</v>
      </c>
      <c r="U58" s="11">
        <f>U57/S51</f>
        <v>2.0513950066728273E-3</v>
      </c>
      <c r="W58" s="11">
        <f>W57/U51</f>
        <v>2.0514328810951879E-3</v>
      </c>
      <c r="Y58" s="11">
        <f>Y57/W51</f>
        <v>2.0514708673736583E-3</v>
      </c>
      <c r="AE58" s="11"/>
      <c r="AF58" s="11"/>
      <c r="AG58" s="11"/>
      <c r="AH58" s="11">
        <f>AH57/AG51</f>
        <v>-0.10408163265306122</v>
      </c>
      <c r="AI58" s="11">
        <f>AI57/AH51</f>
        <v>2.0615034168564922E-3</v>
      </c>
      <c r="AJ58" s="11">
        <f t="shared" ref="AJ58:AO58" si="44">AJ57/AI51</f>
        <v>2.0615233579746473E-3</v>
      </c>
      <c r="AK58" s="11">
        <f t="shared" si="44"/>
        <v>2.0615433582284477E-3</v>
      </c>
      <c r="AL58" s="11">
        <f t="shared" si="44"/>
        <v>2.0615634177924514E-3</v>
      </c>
      <c r="AM58" s="11">
        <f t="shared" si="44"/>
        <v>2.0615835368417252E-3</v>
      </c>
      <c r="AN58" s="11">
        <f t="shared" si="44"/>
        <v>2.0616037155518491E-3</v>
      </c>
      <c r="AO58" s="11">
        <f t="shared" si="44"/>
        <v>2.0616239540989152E-3</v>
      </c>
    </row>
    <row r="59" spans="1:41" s="1" customFormat="1" x14ac:dyDescent="0.3">
      <c r="A59" s="20"/>
      <c r="B59" s="11"/>
      <c r="C59" s="11"/>
      <c r="D59" s="11"/>
      <c r="E59" s="11"/>
      <c r="F59" s="11"/>
      <c r="G59" s="11"/>
      <c r="H59" s="11"/>
      <c r="I59" s="11"/>
      <c r="J59" s="11"/>
      <c r="K59" s="19"/>
      <c r="L59" s="11"/>
      <c r="M59" s="19"/>
      <c r="AE59" s="11"/>
      <c r="AF59" s="11"/>
      <c r="AG59" s="11"/>
      <c r="AH59" s="11"/>
    </row>
    <row r="60" spans="1:41" s="1" customFormat="1" x14ac:dyDescent="0.3">
      <c r="A60" s="20" t="s">
        <v>167</v>
      </c>
      <c r="B60" s="11"/>
      <c r="C60" s="11"/>
      <c r="D60" s="11"/>
      <c r="E60" s="21"/>
      <c r="F60" s="21"/>
      <c r="G60" s="21">
        <v>1.6</v>
      </c>
      <c r="H60" s="11"/>
      <c r="I60" s="21">
        <v>1.9</v>
      </c>
      <c r="J60" s="11"/>
      <c r="K60" s="21">
        <v>2.8</v>
      </c>
      <c r="L60" s="11"/>
      <c r="M60" s="21">
        <v>3.4</v>
      </c>
      <c r="AE60" s="11"/>
      <c r="AF60" s="19"/>
      <c r="AG60" s="21">
        <v>4.7</v>
      </c>
      <c r="AH60" s="21">
        <v>6.7</v>
      </c>
    </row>
    <row r="61" spans="1:41" s="1" customFormat="1" x14ac:dyDescent="0.3">
      <c r="A61" s="20"/>
      <c r="B61" s="11"/>
      <c r="C61" s="11"/>
      <c r="D61" s="11"/>
      <c r="E61" s="11"/>
      <c r="F61" s="11"/>
      <c r="G61" s="11"/>
      <c r="H61" s="11"/>
      <c r="I61" s="11"/>
      <c r="J61" s="11"/>
      <c r="K61" s="21"/>
      <c r="L61" s="11"/>
      <c r="M61" s="21"/>
      <c r="AE61" s="11"/>
      <c r="AF61" s="11"/>
      <c r="AG61" s="11"/>
      <c r="AH61" s="11"/>
    </row>
    <row r="62" spans="1:41" s="1" customFormat="1" x14ac:dyDescent="0.3">
      <c r="A62" s="20" t="s">
        <v>168</v>
      </c>
      <c r="B62" s="11"/>
      <c r="C62" s="11"/>
      <c r="D62" s="11"/>
      <c r="E62" s="11"/>
      <c r="F62" s="11"/>
      <c r="G62" s="21">
        <v>27.6</v>
      </c>
      <c r="H62" s="11"/>
      <c r="I62" s="21">
        <v>35.9</v>
      </c>
      <c r="J62" s="11"/>
      <c r="K62" s="21">
        <v>33.799999999999997</v>
      </c>
      <c r="L62" s="11"/>
      <c r="M62" s="21">
        <v>35.799999999999997</v>
      </c>
      <c r="AE62" s="11"/>
      <c r="AF62" s="19"/>
      <c r="AG62" s="21">
        <v>75.400000000000006</v>
      </c>
      <c r="AH62" s="21">
        <v>71.900000000000006</v>
      </c>
    </row>
    <row r="63" spans="1:41" s="1" customFormat="1" x14ac:dyDescent="0.3">
      <c r="A63" s="20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AE63" s="11"/>
      <c r="AF63" s="11"/>
      <c r="AG63" s="11"/>
      <c r="AH63" s="11"/>
    </row>
    <row r="65" spans="1:34" x14ac:dyDescent="0.3">
      <c r="A65" s="3"/>
    </row>
    <row r="66" spans="1:34" x14ac:dyDescent="0.3">
      <c r="A66" s="3"/>
      <c r="M66" s="22">
        <f>M8+M10+M12-M18</f>
        <v>-8.3266726846886741E-17</v>
      </c>
    </row>
    <row r="67" spans="1:34" x14ac:dyDescent="0.3">
      <c r="A67" s="3"/>
    </row>
    <row r="68" spans="1:34" x14ac:dyDescent="0.3">
      <c r="M68" s="12"/>
    </row>
    <row r="69" spans="1:34" x14ac:dyDescent="0.3">
      <c r="A69" s="3"/>
    </row>
    <row r="70" spans="1:34" s="1" customFormat="1" x14ac:dyDescent="0.3"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AE70" s="11"/>
      <c r="AF70" s="11"/>
      <c r="AG70" s="11"/>
      <c r="AH70" s="11"/>
    </row>
    <row r="72" spans="1:34" x14ac:dyDescent="0.3">
      <c r="A72" s="3"/>
    </row>
    <row r="73" spans="1:34" s="1" customFormat="1" x14ac:dyDescent="0.3"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AE73" s="11"/>
      <c r="AF73" s="11"/>
      <c r="AG73" s="11"/>
      <c r="AH73" s="11"/>
    </row>
    <row r="75" spans="1:34" x14ac:dyDescent="0.3">
      <c r="A75" s="3"/>
    </row>
    <row r="77" spans="1:34" x14ac:dyDescent="0.3">
      <c r="A77" s="3"/>
    </row>
    <row r="78" spans="1:34" x14ac:dyDescent="0.3">
      <c r="A78" s="3"/>
      <c r="M78" s="10"/>
    </row>
    <row r="79" spans="1:34" x14ac:dyDescent="0.3">
      <c r="A79" s="3"/>
    </row>
    <row r="81" spans="1:34" x14ac:dyDescent="0.3">
      <c r="A81" s="3"/>
    </row>
    <row r="82" spans="1:34" s="1" customFormat="1" x14ac:dyDescent="0.3"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AE82" s="11"/>
      <c r="AF82" s="11"/>
      <c r="AG82" s="11"/>
      <c r="AH82" s="11"/>
    </row>
    <row r="84" spans="1:34" x14ac:dyDescent="0.3">
      <c r="A84" s="3"/>
    </row>
    <row r="85" spans="1:34" s="1" customFormat="1" x14ac:dyDescent="0.3"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AE85" s="11"/>
      <c r="AF85" s="11"/>
      <c r="AG85" s="11"/>
      <c r="AH85" s="11"/>
    </row>
    <row r="87" spans="1:34" x14ac:dyDescent="0.3">
      <c r="A87" s="3"/>
    </row>
    <row r="89" spans="1:34" x14ac:dyDescent="0.3">
      <c r="A89" s="3"/>
    </row>
    <row r="90" spans="1:34" x14ac:dyDescent="0.3">
      <c r="A90" s="3"/>
      <c r="M90" s="10"/>
    </row>
    <row r="91" spans="1:34" x14ac:dyDescent="0.3">
      <c r="A91" s="3"/>
    </row>
    <row r="93" spans="1:34" x14ac:dyDescent="0.3">
      <c r="A93" s="3"/>
    </row>
    <row r="94" spans="1:34" s="1" customFormat="1" x14ac:dyDescent="0.3"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AE94" s="11"/>
      <c r="AF94" s="11"/>
      <c r="AG94" s="11"/>
      <c r="AH94" s="11"/>
    </row>
    <row r="96" spans="1:34" x14ac:dyDescent="0.3">
      <c r="A96" s="3"/>
    </row>
    <row r="97" spans="1:34" s="1" customFormat="1" x14ac:dyDescent="0.3"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AE97" s="11"/>
      <c r="AF97" s="11"/>
      <c r="AG97" s="11"/>
      <c r="AH97" s="11"/>
    </row>
    <row r="99" spans="1:34" x14ac:dyDescent="0.3">
      <c r="A99" s="3"/>
    </row>
    <row r="101" spans="1:34" x14ac:dyDescent="0.3">
      <c r="A101" s="3"/>
    </row>
    <row r="102" spans="1:34" x14ac:dyDescent="0.3">
      <c r="A102" s="3"/>
    </row>
    <row r="104" spans="1:34" x14ac:dyDescent="0.3">
      <c r="A104" s="3"/>
    </row>
    <row r="105" spans="1:34" x14ac:dyDescent="0.3">
      <c r="A105" s="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AE105" s="11"/>
      <c r="AF105" s="11"/>
      <c r="AG105" s="11"/>
      <c r="AH105" s="11"/>
    </row>
    <row r="107" spans="1:34" x14ac:dyDescent="0.3">
      <c r="A107" s="3"/>
    </row>
    <row r="108" spans="1:34" x14ac:dyDescent="0.3">
      <c r="A108" s="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AE108" s="11"/>
      <c r="AF108" s="11"/>
      <c r="AG108" s="11"/>
      <c r="AH108" s="11"/>
    </row>
    <row r="110" spans="1:34" x14ac:dyDescent="0.3">
      <c r="A110" s="3"/>
    </row>
    <row r="111" spans="1:34" x14ac:dyDescent="0.3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AE111" s="12"/>
      <c r="AF111" s="12"/>
      <c r="AG111" s="12"/>
      <c r="AH111" s="12"/>
    </row>
    <row r="112" spans="1:34" x14ac:dyDescent="0.3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AE112" s="12"/>
      <c r="AF112" s="12"/>
      <c r="AG112" s="12"/>
      <c r="AH112" s="12"/>
    </row>
    <row r="113" spans="2:41" x14ac:dyDescent="0.3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E113" s="12"/>
      <c r="AF113" s="12"/>
      <c r="AG113" s="12"/>
      <c r="AH113" s="12"/>
      <c r="AI113" s="14"/>
      <c r="AJ113" s="14"/>
      <c r="AK113" s="14"/>
      <c r="AL113" s="14"/>
      <c r="AM113" s="14"/>
      <c r="AN113" s="14"/>
      <c r="AO113" s="14"/>
    </row>
    <row r="114" spans="2:41" x14ac:dyDescent="0.3">
      <c r="K114" s="14"/>
      <c r="M114" s="14"/>
      <c r="AG114" s="14"/>
      <c r="AH114" s="14"/>
    </row>
    <row r="115" spans="2:41" x14ac:dyDescent="0.3">
      <c r="P115" s="10"/>
      <c r="R115" s="10"/>
      <c r="T115" s="10"/>
      <c r="V115" s="10"/>
      <c r="X115" s="10"/>
    </row>
    <row r="116" spans="2:41" x14ac:dyDescent="0.3">
      <c r="M116" s="11"/>
      <c r="P116" s="10"/>
      <c r="R116" s="10"/>
      <c r="T116" s="10"/>
      <c r="V116" s="10"/>
      <c r="X116" s="10"/>
      <c r="AH116" s="11"/>
    </row>
    <row r="117" spans="2:41" x14ac:dyDescent="0.3">
      <c r="P117" s="10"/>
      <c r="R117" s="10"/>
      <c r="T117" s="10"/>
      <c r="V117" s="10"/>
      <c r="X117" s="10"/>
    </row>
    <row r="118" spans="2:41" x14ac:dyDescent="0.3">
      <c r="M118" s="11"/>
      <c r="P118" s="10"/>
      <c r="R118" s="10"/>
      <c r="T118" s="10"/>
      <c r="V118" s="10"/>
      <c r="X118" s="10"/>
      <c r="AH118" s="11"/>
    </row>
    <row r="120" spans="2:41" x14ac:dyDescent="0.3">
      <c r="M120" s="11"/>
      <c r="AH120" s="11"/>
    </row>
    <row r="121" spans="2:41" x14ac:dyDescent="0.3">
      <c r="M121" s="13"/>
      <c r="AH121" s="13"/>
    </row>
    <row r="122" spans="2:41" x14ac:dyDescent="0.3">
      <c r="M122" s="11"/>
      <c r="O122" s="10"/>
      <c r="Q122" s="10"/>
      <c r="S122" s="10"/>
      <c r="U122" s="10"/>
      <c r="W122" s="10"/>
      <c r="Y122" s="10"/>
      <c r="AH122" s="11"/>
      <c r="AI122" s="10"/>
      <c r="AJ122" s="10"/>
      <c r="AK122" s="10"/>
      <c r="AL122" s="10"/>
      <c r="AM122" s="10"/>
      <c r="AN122" s="10"/>
      <c r="AO122" s="10"/>
    </row>
    <row r="123" spans="2:41" x14ac:dyDescent="0.3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AE123" s="12"/>
      <c r="AF123" s="12"/>
      <c r="AG123" s="12"/>
      <c r="AH123" s="12"/>
    </row>
    <row r="127" spans="2:41" x14ac:dyDescent="0.3">
      <c r="M127" s="10"/>
    </row>
    <row r="128" spans="2:41" x14ac:dyDescent="0.3">
      <c r="M128" s="10"/>
    </row>
    <row r="129" spans="13:13" x14ac:dyDescent="0.3">
      <c r="M129" s="10"/>
    </row>
    <row r="130" spans="13:13" x14ac:dyDescent="0.3">
      <c r="M130" s="10"/>
    </row>
    <row r="131" spans="13:13" x14ac:dyDescent="0.3">
      <c r="M131" s="10"/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FD6F6-B9F8-4029-949D-E36BE6777CA5}">
  <dimension ref="A1:AO131"/>
  <sheetViews>
    <sheetView workbookViewId="0">
      <pane xSplit="1" ySplit="1" topLeftCell="I2" activePane="bottomRight" state="frozen"/>
      <selection pane="topRight" activeCell="B1" sqref="B1"/>
      <selection pane="bottomLeft" activeCell="A2" sqref="A2"/>
      <selection pane="bottomRight" activeCell="O1" sqref="O1:Y1048576"/>
    </sheetView>
  </sheetViews>
  <sheetFormatPr defaultRowHeight="14.4" x14ac:dyDescent="0.3"/>
  <cols>
    <col min="1" max="1" width="19" bestFit="1" customWidth="1"/>
    <col min="2" max="4" width="10.5546875" hidden="1" customWidth="1"/>
    <col min="5" max="5" width="9.5546875" hidden="1" customWidth="1"/>
    <col min="6" max="8" width="10.5546875" hidden="1" customWidth="1"/>
    <col min="9" max="9" width="10.5546875" bestFit="1" customWidth="1"/>
    <col min="10" max="10" width="10.5546875" hidden="1" customWidth="1"/>
    <col min="11" max="11" width="9.88671875" bestFit="1" customWidth="1"/>
    <col min="12" max="12" width="10.5546875" hidden="1" customWidth="1"/>
    <col min="13" max="13" width="11.109375" customWidth="1"/>
    <col min="14" max="14" width="9" customWidth="1"/>
    <col min="15" max="15" width="9.88671875" bestFit="1" customWidth="1"/>
    <col min="16" max="16" width="9.88671875" customWidth="1"/>
    <col min="17" max="17" width="9.88671875" bestFit="1" customWidth="1"/>
    <col min="18" max="18" width="9.88671875" customWidth="1"/>
    <col min="19" max="19" width="9.88671875" bestFit="1" customWidth="1"/>
    <col min="20" max="20" width="9.88671875" customWidth="1"/>
    <col min="21" max="21" width="9.88671875" bestFit="1" customWidth="1"/>
    <col min="22" max="22" width="9.88671875" customWidth="1"/>
    <col min="23" max="23" width="9.88671875" bestFit="1" customWidth="1"/>
    <col min="24" max="24" width="9.88671875" customWidth="1"/>
    <col min="25" max="26" width="9.88671875" bestFit="1" customWidth="1"/>
    <col min="31" max="34" width="10.5546875" bestFit="1" customWidth="1"/>
    <col min="35" max="41" width="9.88671875" bestFit="1" customWidth="1"/>
  </cols>
  <sheetData>
    <row r="1" spans="1:41" x14ac:dyDescent="0.3">
      <c r="B1" t="str">
        <f>'Cash Flow Statement'!B1</f>
        <v>H1'19</v>
      </c>
      <c r="C1" t="str">
        <f>'Cash Flow Statement'!C1</f>
        <v>H2'19</v>
      </c>
      <c r="D1" t="str">
        <f>'Cash Flow Statement'!D1</f>
        <v>FY'19</v>
      </c>
      <c r="E1" t="str">
        <f>'Cash Flow Statement'!E1</f>
        <v>H1'20</v>
      </c>
      <c r="F1" t="str">
        <f>'Cash Flow Statement'!F1</f>
        <v>H2'20</v>
      </c>
      <c r="G1" t="str">
        <f>'Cash Flow Statement'!G1</f>
        <v>H1'21</v>
      </c>
      <c r="H1" t="str">
        <f>'Cash Flow Statement'!H1</f>
        <v>H2'21</v>
      </c>
      <c r="I1" t="str">
        <f>'Cash Flow Statement'!I1</f>
        <v>H1'22</v>
      </c>
      <c r="J1" t="str">
        <f>'Cash Flow Statement'!J1</f>
        <v>H2'22</v>
      </c>
      <c r="K1" t="str">
        <f>'Cash Flow Statement'!K1</f>
        <v>H1'23</v>
      </c>
      <c r="L1" t="str">
        <f>'Cash Flow Statement'!L1</f>
        <v>H2'23</v>
      </c>
      <c r="M1" t="str">
        <f>'Cash Flow Statement'!M1</f>
        <v>H1'24</v>
      </c>
      <c r="N1" t="str">
        <f>'Cash Flow Statement'!N1</f>
        <v>H2'24</v>
      </c>
      <c r="O1" t="str">
        <f>'Cash Flow Statement'!O1</f>
        <v>H1'25</v>
      </c>
      <c r="P1" t="str">
        <f>'Cash Flow Statement'!P1</f>
        <v>H2'25</v>
      </c>
      <c r="Q1" t="str">
        <f>'Cash Flow Statement'!Q1</f>
        <v>H1'26</v>
      </c>
      <c r="R1" t="str">
        <f>'Cash Flow Statement'!R1</f>
        <v>H2'26</v>
      </c>
      <c r="S1" t="str">
        <f>'Cash Flow Statement'!S1</f>
        <v>H1'27</v>
      </c>
      <c r="T1" t="str">
        <f>'Cash Flow Statement'!T1</f>
        <v>H2'27</v>
      </c>
      <c r="U1" t="str">
        <f>'Cash Flow Statement'!U1</f>
        <v>H1'28</v>
      </c>
      <c r="V1" t="str">
        <f>'Cash Flow Statement'!V1</f>
        <v>H2'28</v>
      </c>
      <c r="W1" t="str">
        <f>'Cash Flow Statement'!W1</f>
        <v>H1'29</v>
      </c>
      <c r="X1" t="str">
        <f>'Cash Flow Statement'!X1</f>
        <v>H2'29</v>
      </c>
      <c r="Y1" t="str">
        <f>'Cash Flow Statement'!Y1</f>
        <v>H1'30</v>
      </c>
      <c r="Z1" t="str">
        <f>'Cash Flow Statement'!Z1</f>
        <v>H2'30</v>
      </c>
      <c r="AE1" t="str">
        <f>'Cash Flow Statement'!AE1</f>
        <v>FY'20</v>
      </c>
      <c r="AF1" t="str">
        <f>'Cash Flow Statement'!AF1</f>
        <v>FY'21</v>
      </c>
      <c r="AG1" t="str">
        <f>'Cash Flow Statement'!AG1</f>
        <v>FY'22</v>
      </c>
      <c r="AH1" t="str">
        <f>'Cash Flow Statement'!AH1</f>
        <v>FY'23</v>
      </c>
      <c r="AI1" t="str">
        <f>'Cash Flow Statement'!AI1</f>
        <v>FY'24</v>
      </c>
      <c r="AJ1" t="str">
        <f>'Cash Flow Statement'!AJ1</f>
        <v>FY'25</v>
      </c>
      <c r="AK1" t="str">
        <f>'Cash Flow Statement'!AK1</f>
        <v>FY'26</v>
      </c>
      <c r="AL1" t="str">
        <f>'Cash Flow Statement'!AL1</f>
        <v>FY'27</v>
      </c>
      <c r="AM1" t="str">
        <f>'Cash Flow Statement'!AM1</f>
        <v>FY'28</v>
      </c>
      <c r="AN1" t="str">
        <f>'Cash Flow Statement'!AN1</f>
        <v>FY'29</v>
      </c>
      <c r="AO1" t="str">
        <f>'Cash Flow Statement'!AO1</f>
        <v>FY'30</v>
      </c>
    </row>
    <row r="3" spans="1:41" x14ac:dyDescent="0.3">
      <c r="A3" s="3"/>
    </row>
    <row r="4" spans="1:41" x14ac:dyDescent="0.3">
      <c r="A4" s="3" t="s">
        <v>174</v>
      </c>
    </row>
    <row r="5" spans="1:41" x14ac:dyDescent="0.3">
      <c r="A5" s="3"/>
    </row>
    <row r="6" spans="1:41" x14ac:dyDescent="0.3">
      <c r="A6" s="3" t="s">
        <v>157</v>
      </c>
      <c r="I6">
        <f>G17</f>
        <v>4216</v>
      </c>
      <c r="K6">
        <f>I17</f>
        <v>5518</v>
      </c>
      <c r="M6" s="4">
        <f>K17</f>
        <v>6037</v>
      </c>
      <c r="O6" s="4">
        <f>M17</f>
        <v>5911</v>
      </c>
      <c r="Q6" s="4">
        <f>O17</f>
        <v>5858.7131855782309</v>
      </c>
      <c r="S6" s="4">
        <f>Q17</f>
        <v>5782.7933395502623</v>
      </c>
      <c r="U6" s="4">
        <f>S17</f>
        <v>5682.3530028073837</v>
      </c>
      <c r="W6" s="4">
        <f>U17</f>
        <v>5555.1524073819692</v>
      </c>
      <c r="Y6" s="4">
        <f>W17</f>
        <v>5397.6767714262623</v>
      </c>
      <c r="AH6">
        <f>AG17</f>
        <v>11362</v>
      </c>
      <c r="AI6">
        <f>AH17</f>
        <v>12211</v>
      </c>
      <c r="AJ6">
        <f t="shared" ref="AJ6:AO6" si="0">AI17</f>
        <v>13072.051768078176</v>
      </c>
      <c r="AK6">
        <f t="shared" si="0"/>
        <v>14106.853143234603</v>
      </c>
      <c r="AL6">
        <f t="shared" si="0"/>
        <v>15350.995483018309</v>
      </c>
      <c r="AM6">
        <f t="shared" si="0"/>
        <v>16847.200953708492</v>
      </c>
      <c r="AN6">
        <f t="shared" si="0"/>
        <v>18646.798806233386</v>
      </c>
      <c r="AO6">
        <f t="shared" si="0"/>
        <v>20811.492827829796</v>
      </c>
    </row>
    <row r="7" spans="1:41" x14ac:dyDescent="0.3">
      <c r="A7" t="s">
        <v>123</v>
      </c>
      <c r="I7">
        <v>19</v>
      </c>
      <c r="K7">
        <v>-21</v>
      </c>
      <c r="M7">
        <v>37</v>
      </c>
      <c r="O7" s="32">
        <f>M7*(1+O8)</f>
        <v>25.9</v>
      </c>
      <c r="Q7" s="32">
        <f>O7*(1+Q8)</f>
        <v>18.13</v>
      </c>
      <c r="S7" s="32">
        <f>Q7*(1+S8)</f>
        <v>12.690999999999999</v>
      </c>
      <c r="U7" s="32">
        <f>S7*(1+U8)</f>
        <v>8.8836999999999993</v>
      </c>
      <c r="W7" s="32">
        <f>U7*(1+W8)</f>
        <v>6.218589999999999</v>
      </c>
      <c r="Y7" s="32">
        <f>W7*(1+Y8)</f>
        <v>4.3530129999999989</v>
      </c>
      <c r="AH7">
        <v>3</v>
      </c>
      <c r="AI7" s="32">
        <f>AH7*(1+AI8)</f>
        <v>2.0999999999999996</v>
      </c>
      <c r="AJ7" s="32">
        <f t="shared" ref="AJ7:AO7" si="1">AI7*(1+AJ8)</f>
        <v>1.4699999999999998</v>
      </c>
      <c r="AK7" s="32">
        <f t="shared" si="1"/>
        <v>1.0289999999999997</v>
      </c>
      <c r="AL7" s="32">
        <f t="shared" si="1"/>
        <v>0.72029999999999972</v>
      </c>
      <c r="AM7" s="32">
        <f t="shared" si="1"/>
        <v>0.50420999999999982</v>
      </c>
      <c r="AN7" s="32">
        <f t="shared" si="1"/>
        <v>0.35294699999999984</v>
      </c>
      <c r="AO7" s="32">
        <f t="shared" si="1"/>
        <v>0.24706289999999986</v>
      </c>
    </row>
    <row r="8" spans="1:41" x14ac:dyDescent="0.3">
      <c r="A8" s="1" t="s">
        <v>159</v>
      </c>
      <c r="G8" s="15" t="e">
        <f t="shared" ref="G8:L8" si="2">G7/E17</f>
        <v>#DIV/0!</v>
      </c>
      <c r="H8" s="15" t="e">
        <f t="shared" si="2"/>
        <v>#DIV/0!</v>
      </c>
      <c r="I8" s="15">
        <f t="shared" si="2"/>
        <v>4.5066413662239093E-3</v>
      </c>
      <c r="J8" s="15" t="e">
        <f t="shared" si="2"/>
        <v>#DIV/0!</v>
      </c>
      <c r="K8" s="15">
        <f t="shared" si="2"/>
        <v>-3.8057267125770206E-3</v>
      </c>
      <c r="L8" s="15" t="e">
        <f t="shared" si="2"/>
        <v>#DIV/0!</v>
      </c>
      <c r="M8" s="15">
        <f>M7/K17</f>
        <v>6.1288719562696704E-3</v>
      </c>
      <c r="O8" s="33">
        <v>-0.3</v>
      </c>
      <c r="Q8" s="33">
        <v>-0.3</v>
      </c>
      <c r="S8" s="33">
        <v>-0.3</v>
      </c>
      <c r="U8" s="33">
        <v>-0.3</v>
      </c>
      <c r="W8" s="33">
        <v>-0.3</v>
      </c>
      <c r="Y8" s="33">
        <v>-0.3</v>
      </c>
      <c r="AF8" s="15"/>
      <c r="AG8" s="15"/>
      <c r="AH8" s="15">
        <f>AH7/AG17</f>
        <v>2.640380214750924E-4</v>
      </c>
      <c r="AI8" s="33">
        <v>-0.3</v>
      </c>
      <c r="AJ8" s="33">
        <v>-0.3</v>
      </c>
      <c r="AK8" s="33">
        <v>-0.3</v>
      </c>
      <c r="AL8" s="33">
        <v>-0.3</v>
      </c>
      <c r="AM8" s="33">
        <v>-0.3</v>
      </c>
      <c r="AN8" s="33">
        <v>-0.3</v>
      </c>
      <c r="AO8" s="33">
        <v>-0.3</v>
      </c>
    </row>
    <row r="9" spans="1:41" x14ac:dyDescent="0.3">
      <c r="A9" t="s">
        <v>139</v>
      </c>
      <c r="I9">
        <v>20</v>
      </c>
      <c r="K9">
        <v>49</v>
      </c>
      <c r="M9">
        <v>-98</v>
      </c>
      <c r="O9" s="32">
        <f>M9*(1+O10)</f>
        <v>-98.685999999999993</v>
      </c>
      <c r="Q9" s="32">
        <f>O9*(1+Q10)</f>
        <v>-99.376801999999984</v>
      </c>
      <c r="S9" s="32">
        <f>Q9*(1+S10)</f>
        <v>-100.07243961399998</v>
      </c>
      <c r="U9" s="32">
        <f>S9*(1+U10)</f>
        <v>-100.77294669129796</v>
      </c>
      <c r="W9" s="32">
        <f>U9*(1+W10)</f>
        <v>-101.47835731813703</v>
      </c>
      <c r="Y9" s="32">
        <f>W9*(1+Y10)</f>
        <v>-102.18870581936397</v>
      </c>
      <c r="AH9">
        <v>132</v>
      </c>
      <c r="AI9" s="32">
        <f>AH9*(1+AI10)</f>
        <v>132.92399999999998</v>
      </c>
      <c r="AJ9" s="32">
        <f t="shared" ref="AJ9:AO9" si="3">AI9*(1+AJ10)</f>
        <v>133.85446799999997</v>
      </c>
      <c r="AK9" s="32">
        <f t="shared" si="3"/>
        <v>134.79144927599995</v>
      </c>
      <c r="AL9" s="32">
        <f t="shared" si="3"/>
        <v>135.73498942093192</v>
      </c>
      <c r="AM9" s="32">
        <f t="shared" si="3"/>
        <v>136.68513434687844</v>
      </c>
      <c r="AN9" s="32">
        <f t="shared" si="3"/>
        <v>137.64193028730656</v>
      </c>
      <c r="AO9" s="32">
        <f t="shared" si="3"/>
        <v>138.60542379931769</v>
      </c>
    </row>
    <row r="10" spans="1:41" x14ac:dyDescent="0.3">
      <c r="A10" s="1" t="s">
        <v>160</v>
      </c>
      <c r="G10" s="15" t="e">
        <f t="shared" ref="G10:L10" si="4">G9/E17</f>
        <v>#DIV/0!</v>
      </c>
      <c r="H10" s="15" t="e">
        <f t="shared" si="4"/>
        <v>#DIV/0!</v>
      </c>
      <c r="I10" s="15">
        <f t="shared" si="4"/>
        <v>4.7438330170777986E-3</v>
      </c>
      <c r="J10" s="15" t="e">
        <f t="shared" si="4"/>
        <v>#DIV/0!</v>
      </c>
      <c r="K10" s="15">
        <f t="shared" si="4"/>
        <v>8.880028996013048E-3</v>
      </c>
      <c r="L10" s="15" t="e">
        <f t="shared" si="4"/>
        <v>#DIV/0!</v>
      </c>
      <c r="M10" s="15">
        <f>M9/K17</f>
        <v>-1.6233228424714263E-2</v>
      </c>
      <c r="O10" s="31">
        <v>7.0000000000000001E-3</v>
      </c>
      <c r="Q10" s="31">
        <v>7.0000000000000001E-3</v>
      </c>
      <c r="S10" s="31">
        <v>7.0000000000000001E-3</v>
      </c>
      <c r="U10" s="31">
        <v>7.0000000000000001E-3</v>
      </c>
      <c r="W10" s="31">
        <v>7.0000000000000001E-3</v>
      </c>
      <c r="Y10" s="31">
        <v>7.0000000000000001E-3</v>
      </c>
      <c r="AF10" s="15"/>
      <c r="AG10" s="15"/>
      <c r="AH10" s="15">
        <f>AH9/AG17</f>
        <v>1.1617672944904065E-2</v>
      </c>
      <c r="AI10" s="31">
        <v>7.0000000000000001E-3</v>
      </c>
      <c r="AJ10" s="31">
        <v>7.0000000000000001E-3</v>
      </c>
      <c r="AK10" s="31">
        <v>7.0000000000000001E-3</v>
      </c>
      <c r="AL10" s="31">
        <v>7.0000000000000001E-3</v>
      </c>
      <c r="AM10" s="31">
        <v>7.0000000000000001E-3</v>
      </c>
      <c r="AN10" s="31">
        <v>7.0000000000000001E-3</v>
      </c>
      <c r="AO10" s="31">
        <v>7.0000000000000001E-3</v>
      </c>
    </row>
    <row r="11" spans="1:41" x14ac:dyDescent="0.3">
      <c r="A11" t="s">
        <v>158</v>
      </c>
      <c r="I11">
        <v>1263</v>
      </c>
      <c r="K11">
        <v>491</v>
      </c>
      <c r="M11">
        <v>-65</v>
      </c>
      <c r="O11" s="32">
        <f>M11*(1+O12)</f>
        <v>-78.186814421768716</v>
      </c>
      <c r="Q11" s="32">
        <f>O11*(1+Q12)</f>
        <v>-94.049846027968485</v>
      </c>
      <c r="S11" s="32">
        <f>Q11*(1+S12)</f>
        <v>-113.13133674287876</v>
      </c>
      <c r="U11" s="32">
        <f>S11*(1+U12)</f>
        <v>-136.08429542541535</v>
      </c>
      <c r="W11" s="32">
        <f>U11*(1+W12)</f>
        <v>-163.69422595570686</v>
      </c>
      <c r="Y11" s="32">
        <f>W11*(1+Y12)</f>
        <v>-196.906010969264</v>
      </c>
      <c r="AH11">
        <v>714</v>
      </c>
      <c r="AI11" s="32">
        <f>AH11*(1+AI12)</f>
        <v>858.95176807817586</v>
      </c>
      <c r="AJ11" s="32">
        <f t="shared" ref="AJ11:AO11" si="5">AI11*(1+AJ12)</f>
        <v>1033.3313751564265</v>
      </c>
      <c r="AK11" s="32">
        <f t="shared" si="5"/>
        <v>1243.1133397837057</v>
      </c>
      <c r="AL11" s="32">
        <f t="shared" si="5"/>
        <v>1495.4851706901816</v>
      </c>
      <c r="AM11" s="32">
        <f t="shared" si="5"/>
        <v>1799.093642524894</v>
      </c>
      <c r="AN11" s="32">
        <f t="shared" si="5"/>
        <v>2164.3410745964102</v>
      </c>
      <c r="AO11" s="32">
        <f t="shared" si="5"/>
        <v>2603.7417652990416</v>
      </c>
    </row>
    <row r="12" spans="1:41" s="1" customFormat="1" x14ac:dyDescent="0.3">
      <c r="A12" s="1" t="s">
        <v>161</v>
      </c>
      <c r="B12" s="11"/>
      <c r="C12" s="11"/>
      <c r="D12" s="11"/>
      <c r="E12" s="11"/>
      <c r="F12" s="11"/>
      <c r="G12" s="11">
        <f t="shared" ref="G12:L12" si="6">(1+G13)*(1+G15)-1</f>
        <v>0</v>
      </c>
      <c r="H12" s="11">
        <f t="shared" si="6"/>
        <v>0</v>
      </c>
      <c r="I12" s="11">
        <f t="shared" si="6"/>
        <v>0.30337999999999998</v>
      </c>
      <c r="J12" s="11">
        <f t="shared" si="6"/>
        <v>0</v>
      </c>
      <c r="K12" s="11">
        <f>K11/I17</f>
        <v>8.8981515041681766E-2</v>
      </c>
      <c r="L12" s="11">
        <f t="shared" si="6"/>
        <v>0</v>
      </c>
      <c r="M12" s="11">
        <f>M11/K17</f>
        <v>-1.0766937220473746E-2</v>
      </c>
      <c r="O12" s="15">
        <f>(1+O15)*(1+O13)-1</f>
        <v>0.20287406802721097</v>
      </c>
      <c r="Q12" s="15">
        <f>(1+Q15)*(1+Q13)-1</f>
        <v>0.20288627594710129</v>
      </c>
      <c r="S12" s="15">
        <f>(1+S15)*(1+S13)-1</f>
        <v>0.20288699578769998</v>
      </c>
      <c r="U12" s="15">
        <f>(1+U15)*(1+U13)-1</f>
        <v>0.20288771743856726</v>
      </c>
      <c r="W12" s="15">
        <f>(1+W15)*(1+W13)-1</f>
        <v>0.20288844090333602</v>
      </c>
      <c r="Y12" s="15">
        <f>(1+Y15)*(1+Y13)-1</f>
        <v>0.20288916618564024</v>
      </c>
      <c r="AE12" s="11"/>
      <c r="AF12" s="11"/>
      <c r="AG12" s="11"/>
      <c r="AH12" s="11">
        <f>AH11/AG17</f>
        <v>6.2841049111071995E-2</v>
      </c>
      <c r="AI12" s="15">
        <f>(1+AI15)*(1+AI13)-1</f>
        <v>0.20301368078175885</v>
      </c>
      <c r="AJ12" s="15">
        <f t="shared" ref="AJ12:AO12" si="7">(1+AJ15)*(1+AJ13)-1</f>
        <v>0.20301443405653452</v>
      </c>
      <c r="AK12" s="15">
        <f t="shared" si="7"/>
        <v>0.20301518919380745</v>
      </c>
      <c r="AL12" s="15">
        <f t="shared" si="7"/>
        <v>0.20301594619714014</v>
      </c>
      <c r="AM12" s="15">
        <f t="shared" si="7"/>
        <v>0.20301670507009706</v>
      </c>
      <c r="AN12" s="15">
        <f t="shared" si="7"/>
        <v>0.20301746581624203</v>
      </c>
      <c r="AO12" s="15">
        <f t="shared" si="7"/>
        <v>0.20301822843914175</v>
      </c>
    </row>
    <row r="13" spans="1:41" x14ac:dyDescent="0.3">
      <c r="A13" s="20" t="s">
        <v>162</v>
      </c>
      <c r="E13" s="15"/>
      <c r="F13" s="15"/>
      <c r="G13" s="15"/>
      <c r="H13" s="15"/>
      <c r="I13" s="15">
        <v>0.17</v>
      </c>
      <c r="K13" s="15">
        <v>0.13500000000000001</v>
      </c>
      <c r="M13" s="11">
        <v>7.0000000000000001E-3</v>
      </c>
      <c r="O13" s="30">
        <v>0.2</v>
      </c>
      <c r="Q13" s="30">
        <v>0.2</v>
      </c>
      <c r="S13" s="30">
        <v>0.2</v>
      </c>
      <c r="U13" s="30">
        <v>0.2</v>
      </c>
      <c r="W13" s="30">
        <v>0.2</v>
      </c>
      <c r="Y13" s="30">
        <v>0.2</v>
      </c>
      <c r="AH13" s="28">
        <v>0.11700000000000001</v>
      </c>
      <c r="AI13" s="30">
        <v>0.2</v>
      </c>
      <c r="AJ13" s="30">
        <v>0.2</v>
      </c>
      <c r="AK13" s="30">
        <v>0.2</v>
      </c>
      <c r="AL13" s="30">
        <v>0.2</v>
      </c>
      <c r="AM13" s="30">
        <v>0.2</v>
      </c>
      <c r="AN13" s="30">
        <v>0.2</v>
      </c>
      <c r="AO13" s="30">
        <v>0.2</v>
      </c>
    </row>
    <row r="14" spans="1:41" x14ac:dyDescent="0.3">
      <c r="A14" s="20"/>
    </row>
    <row r="15" spans="1:41" s="1" customFormat="1" x14ac:dyDescent="0.3">
      <c r="A15" s="20" t="s">
        <v>163</v>
      </c>
      <c r="B15" s="11"/>
      <c r="C15" s="11"/>
      <c r="D15" s="11"/>
      <c r="E15" s="11"/>
      <c r="F15" s="11"/>
      <c r="G15" s="11"/>
      <c r="H15" s="11"/>
      <c r="I15" s="11">
        <v>0.114</v>
      </c>
      <c r="J15" s="11"/>
      <c r="K15" s="11">
        <v>-4.4999999999999998E-2</v>
      </c>
      <c r="L15" s="11"/>
      <c r="M15" s="11">
        <v>-5.0000000000000001E-3</v>
      </c>
      <c r="O15" s="11">
        <f>O58</f>
        <v>2.3950566893424035E-3</v>
      </c>
      <c r="Q15" s="11">
        <f>Q58</f>
        <v>2.4052299559178866E-3</v>
      </c>
      <c r="S15" s="11">
        <f>S58</f>
        <v>2.4058298230833124E-3</v>
      </c>
      <c r="U15" s="11">
        <f>U58</f>
        <v>2.4064311988061218E-3</v>
      </c>
      <c r="W15" s="11">
        <f>W58</f>
        <v>2.4070340861132855E-3</v>
      </c>
      <c r="Y15" s="11">
        <f>Y58</f>
        <v>2.4076384880335998E-3</v>
      </c>
      <c r="AE15" s="11"/>
      <c r="AF15" s="11"/>
      <c r="AG15" s="11"/>
      <c r="AH15" s="11">
        <v>-5.5E-2</v>
      </c>
      <c r="AI15" s="11">
        <f>AI58</f>
        <v>2.5114006514657984E-3</v>
      </c>
      <c r="AJ15" s="11">
        <f t="shared" ref="AJ15:AO15" si="8">AJ58</f>
        <v>2.5120283804454333E-3</v>
      </c>
      <c r="AK15" s="11">
        <f t="shared" si="8"/>
        <v>2.5126576615061582E-3</v>
      </c>
      <c r="AL15" s="11">
        <f t="shared" si="8"/>
        <v>2.513288497616882E-3</v>
      </c>
      <c r="AM15" s="11">
        <f t="shared" si="8"/>
        <v>2.5139208917474166E-3</v>
      </c>
      <c r="AN15" s="11">
        <f t="shared" si="8"/>
        <v>2.5145548468684348E-3</v>
      </c>
      <c r="AO15" s="11">
        <f t="shared" si="8"/>
        <v>2.5151903659514484E-3</v>
      </c>
    </row>
    <row r="16" spans="1:41" s="1" customFormat="1" x14ac:dyDescent="0.3">
      <c r="A16" s="20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AE16" s="11"/>
      <c r="AF16" s="11"/>
      <c r="AG16" s="11"/>
      <c r="AH16" s="11"/>
    </row>
    <row r="17" spans="1:41" x14ac:dyDescent="0.3">
      <c r="A17" s="3"/>
      <c r="G17">
        <v>4216</v>
      </c>
      <c r="I17">
        <v>5518</v>
      </c>
      <c r="K17">
        <v>6037</v>
      </c>
      <c r="M17" s="4">
        <f>M6+M7+M9+M11</f>
        <v>5911</v>
      </c>
      <c r="O17" s="32">
        <f>O6+O7+O11</f>
        <v>5858.7131855782309</v>
      </c>
      <c r="Q17" s="32">
        <f>Q6+Q7+Q11</f>
        <v>5782.7933395502623</v>
      </c>
      <c r="S17" s="32">
        <f>S6+S7+S11</f>
        <v>5682.3530028073837</v>
      </c>
      <c r="U17" s="32">
        <f>U6+U7+U11</f>
        <v>5555.1524073819692</v>
      </c>
      <c r="W17" s="32">
        <f>W6+W7+W11</f>
        <v>5397.6767714262623</v>
      </c>
      <c r="Y17" s="32">
        <f>Y6+Y7+Y11</f>
        <v>5205.1237734569986</v>
      </c>
      <c r="AG17">
        <v>11362</v>
      </c>
      <c r="AH17">
        <f>AH6+AH7+AH9+AH11</f>
        <v>12211</v>
      </c>
      <c r="AI17" s="32">
        <f>AI6+AI7+AI11</f>
        <v>13072.051768078176</v>
      </c>
      <c r="AJ17" s="32">
        <f t="shared" ref="AJ17:AO17" si="9">AJ6+AJ7+AJ11</f>
        <v>14106.853143234603</v>
      </c>
      <c r="AK17" s="32">
        <f t="shared" si="9"/>
        <v>15350.995483018309</v>
      </c>
      <c r="AL17" s="32">
        <f t="shared" si="9"/>
        <v>16847.200953708492</v>
      </c>
      <c r="AM17" s="32">
        <f t="shared" si="9"/>
        <v>18646.798806233386</v>
      </c>
      <c r="AN17" s="32">
        <f t="shared" si="9"/>
        <v>20811.492827829796</v>
      </c>
      <c r="AO17" s="32">
        <f t="shared" si="9"/>
        <v>23415.481656028838</v>
      </c>
    </row>
    <row r="18" spans="1:41" x14ac:dyDescent="0.3">
      <c r="M18" s="15">
        <f>M17/K17-1</f>
        <v>-2.087129368891838E-2</v>
      </c>
    </row>
    <row r="19" spans="1:41" x14ac:dyDescent="0.3">
      <c r="M19" s="15"/>
    </row>
    <row r="20" spans="1:41" s="26" customFormat="1" x14ac:dyDescent="0.3">
      <c r="A20" s="23" t="s">
        <v>170</v>
      </c>
      <c r="B20" s="24"/>
      <c r="C20" s="24"/>
      <c r="D20" s="24"/>
      <c r="E20" s="24"/>
      <c r="F20" s="24"/>
      <c r="G20" s="24"/>
      <c r="H20" s="24"/>
      <c r="I20" s="24"/>
      <c r="J20" s="24"/>
      <c r="K20" s="25">
        <f>M20/1.24</f>
        <v>108.09377514446638</v>
      </c>
      <c r="L20" s="24"/>
      <c r="M20" s="25">
        <f>M17/M51</f>
        <v>134.03628117913831</v>
      </c>
      <c r="AE20" s="24"/>
      <c r="AF20" s="24"/>
      <c r="AG20" s="24"/>
      <c r="AH20" s="24"/>
    </row>
    <row r="21" spans="1:41" s="26" customFormat="1" x14ac:dyDescent="0.3">
      <c r="A21" s="23"/>
      <c r="B21" s="24"/>
      <c r="C21" s="24"/>
      <c r="D21" s="24"/>
      <c r="E21" s="24"/>
      <c r="F21" s="24"/>
      <c r="G21" s="24"/>
      <c r="H21" s="24"/>
      <c r="I21" s="24">
        <v>0.182</v>
      </c>
      <c r="J21" s="24"/>
      <c r="K21" s="24">
        <v>0.14199999999999999</v>
      </c>
      <c r="L21" s="24"/>
      <c r="M21" s="24">
        <f>M20/K20-1</f>
        <v>0.24</v>
      </c>
      <c r="AE21" s="24"/>
      <c r="AF21" s="24"/>
      <c r="AG21" s="24"/>
      <c r="AH21" s="24"/>
    </row>
    <row r="22" spans="1:41" s="1" customFormat="1" x14ac:dyDescent="0.3">
      <c r="A22" s="20" t="s">
        <v>164</v>
      </c>
      <c r="B22" s="11"/>
      <c r="C22" s="11"/>
      <c r="D22" s="11"/>
      <c r="E22" s="21"/>
      <c r="F22" s="21"/>
      <c r="G22" s="19">
        <v>36.9</v>
      </c>
      <c r="H22" s="21"/>
      <c r="I22" s="19">
        <v>39.9</v>
      </c>
      <c r="J22" s="11"/>
      <c r="K22" s="19">
        <v>38</v>
      </c>
      <c r="L22" s="11"/>
      <c r="M22" s="19">
        <v>38</v>
      </c>
      <c r="O22" s="19">
        <f>M22+O24+O26+O28</f>
        <v>38.265999999999998</v>
      </c>
      <c r="Q22" s="19">
        <f>O22+Q24+Q26+Q28</f>
        <v>38.533861999999999</v>
      </c>
      <c r="S22" s="19">
        <f>Q22+S24+S26+S28</f>
        <v>38.803599034000001</v>
      </c>
      <c r="U22" s="19">
        <f>S22+U24+U26+U28</f>
        <v>39.075224227238003</v>
      </c>
      <c r="W22" s="19">
        <f>U22+W24+W26+W28</f>
        <v>39.348750796828668</v>
      </c>
      <c r="Y22" s="19">
        <f>W22+Y24+Y26+Y28</f>
        <v>39.624192052406471</v>
      </c>
      <c r="AE22" s="11"/>
      <c r="AF22" s="19"/>
      <c r="AG22" s="19">
        <v>81.2</v>
      </c>
      <c r="AH22" s="19">
        <v>76.400000000000006</v>
      </c>
      <c r="AI22" s="19">
        <f>AH22+AI24+AI26+AI28</f>
        <v>76.93480000000001</v>
      </c>
      <c r="AJ22" s="19">
        <f t="shared" ref="AJ22:AO22" si="10">AI22+AJ24+AJ26+AJ28</f>
        <v>77.473343600000007</v>
      </c>
      <c r="AK22" s="19">
        <f t="shared" si="10"/>
        <v>78.015657005199998</v>
      </c>
      <c r="AL22" s="19">
        <f t="shared" si="10"/>
        <v>78.561766604236396</v>
      </c>
      <c r="AM22" s="19">
        <f t="shared" si="10"/>
        <v>79.111698970466051</v>
      </c>
      <c r="AN22" s="19">
        <f t="shared" si="10"/>
        <v>79.665480863259305</v>
      </c>
      <c r="AO22" s="19">
        <f t="shared" si="10"/>
        <v>80.22313922930212</v>
      </c>
    </row>
    <row r="23" spans="1:41" s="1" customFormat="1" x14ac:dyDescent="0.3">
      <c r="A23" s="20"/>
      <c r="B23" s="11"/>
      <c r="C23" s="11"/>
      <c r="D23" s="11"/>
      <c r="E23" s="11"/>
      <c r="F23" s="11"/>
      <c r="G23" s="15" t="e">
        <f t="shared" ref="G23:L23" si="11">G22/E22-1</f>
        <v>#DIV/0!</v>
      </c>
      <c r="H23" s="15" t="e">
        <f t="shared" si="11"/>
        <v>#DIV/0!</v>
      </c>
      <c r="I23" s="15">
        <f t="shared" si="11"/>
        <v>8.1300813008130079E-2</v>
      </c>
      <c r="J23" s="15" t="e">
        <f t="shared" si="11"/>
        <v>#DIV/0!</v>
      </c>
      <c r="K23" s="15">
        <f t="shared" si="11"/>
        <v>-4.7619047619047561E-2</v>
      </c>
      <c r="L23" s="15" t="e">
        <f t="shared" si="11"/>
        <v>#DIV/0!</v>
      </c>
      <c r="M23" s="15">
        <f>M22/K22-1</f>
        <v>0</v>
      </c>
      <c r="AE23" s="11"/>
      <c r="AF23" s="11"/>
      <c r="AG23" s="11"/>
      <c r="AH23" s="11"/>
    </row>
    <row r="24" spans="1:41" s="1" customFormat="1" x14ac:dyDescent="0.3">
      <c r="A24" s="27" t="s">
        <v>138</v>
      </c>
      <c r="B24" s="11"/>
      <c r="C24" s="11"/>
      <c r="D24" s="11"/>
      <c r="E24" s="19"/>
      <c r="F24" s="19"/>
      <c r="G24" s="19"/>
      <c r="H24" s="19"/>
      <c r="I24" s="19">
        <v>0</v>
      </c>
      <c r="J24" s="11"/>
      <c r="K24" s="19">
        <v>0</v>
      </c>
      <c r="L24" s="11"/>
      <c r="M24" s="19">
        <v>0</v>
      </c>
      <c r="O24">
        <f>O25*M22</f>
        <v>0</v>
      </c>
      <c r="Q24">
        <f>Q25*O22</f>
        <v>0</v>
      </c>
      <c r="S24">
        <f>S25*Q22</f>
        <v>0</v>
      </c>
      <c r="U24">
        <f>U25*S22</f>
        <v>0</v>
      </c>
      <c r="W24">
        <f>W25*U22</f>
        <v>0</v>
      </c>
      <c r="Y24">
        <f>Y25*W22</f>
        <v>0</v>
      </c>
      <c r="AE24" s="11"/>
      <c r="AF24" s="19"/>
      <c r="AG24" s="19"/>
      <c r="AH24" s="19">
        <v>0</v>
      </c>
      <c r="AI24">
        <f>AI25*AH22</f>
        <v>0</v>
      </c>
      <c r="AJ24">
        <f t="shared" ref="AJ24:AO24" si="12">AJ25*AI22</f>
        <v>0</v>
      </c>
      <c r="AK24">
        <f t="shared" si="12"/>
        <v>0</v>
      </c>
      <c r="AL24">
        <f t="shared" si="12"/>
        <v>0</v>
      </c>
      <c r="AM24">
        <f t="shared" si="12"/>
        <v>0</v>
      </c>
      <c r="AN24">
        <f t="shared" si="12"/>
        <v>0</v>
      </c>
      <c r="AO24">
        <f t="shared" si="12"/>
        <v>0</v>
      </c>
    </row>
    <row r="25" spans="1:41" s="1" customFormat="1" x14ac:dyDescent="0.3">
      <c r="A25" s="20" t="s">
        <v>159</v>
      </c>
      <c r="B25" s="11"/>
      <c r="C25" s="11"/>
      <c r="D25" s="11"/>
      <c r="E25" s="11"/>
      <c r="F25" s="11"/>
      <c r="G25" s="15" t="e">
        <f t="shared" ref="G25:L25" si="13">G24/E22</f>
        <v>#DIV/0!</v>
      </c>
      <c r="H25" s="15" t="e">
        <f t="shared" si="13"/>
        <v>#DIV/0!</v>
      </c>
      <c r="I25" s="15">
        <f t="shared" si="13"/>
        <v>0</v>
      </c>
      <c r="J25" s="15" t="e">
        <f t="shared" si="13"/>
        <v>#DIV/0!</v>
      </c>
      <c r="K25" s="15">
        <f t="shared" si="13"/>
        <v>0</v>
      </c>
      <c r="L25" s="15" t="e">
        <f t="shared" si="13"/>
        <v>#DIV/0!</v>
      </c>
      <c r="M25" s="15">
        <f>M24/K22</f>
        <v>0</v>
      </c>
      <c r="O25" s="30">
        <v>0</v>
      </c>
      <c r="Q25" s="30">
        <v>0</v>
      </c>
      <c r="S25" s="30">
        <v>0</v>
      </c>
      <c r="U25" s="30">
        <v>0</v>
      </c>
      <c r="W25" s="30">
        <v>0</v>
      </c>
      <c r="Y25" s="30">
        <v>0</v>
      </c>
      <c r="AE25" s="11"/>
      <c r="AF25" s="11"/>
      <c r="AG25" s="11"/>
      <c r="AH25" s="11">
        <f>AH24/AG22</f>
        <v>0</v>
      </c>
      <c r="AI25" s="30">
        <v>0</v>
      </c>
      <c r="AJ25" s="30">
        <v>0</v>
      </c>
      <c r="AK25" s="30">
        <v>0</v>
      </c>
      <c r="AL25" s="30">
        <v>0</v>
      </c>
      <c r="AM25" s="30">
        <v>0</v>
      </c>
      <c r="AN25" s="30">
        <v>0</v>
      </c>
      <c r="AO25" s="30">
        <v>0</v>
      </c>
    </row>
    <row r="26" spans="1:41" s="1" customFormat="1" x14ac:dyDescent="0.3">
      <c r="A26" t="s">
        <v>139</v>
      </c>
      <c r="B26" s="11"/>
      <c r="C26" s="11"/>
      <c r="D26" s="11"/>
      <c r="E26" s="19"/>
      <c r="F26" s="19"/>
      <c r="G26" s="19"/>
      <c r="H26" s="19"/>
      <c r="I26" s="19">
        <v>0.1</v>
      </c>
      <c r="J26" s="11"/>
      <c r="K26" s="19">
        <v>0.1</v>
      </c>
      <c r="L26" s="11"/>
      <c r="M26" s="19">
        <v>-0.2</v>
      </c>
      <c r="O26" s="19">
        <f>O27*M22</f>
        <v>0.19</v>
      </c>
      <c r="Q26" s="19">
        <f>Q27*O22</f>
        <v>0.19133</v>
      </c>
      <c r="S26" s="19">
        <f>S27*Q22</f>
        <v>0.19266931000000001</v>
      </c>
      <c r="U26" s="19">
        <f>U27*S22</f>
        <v>0.19401799517000001</v>
      </c>
      <c r="W26" s="19">
        <f>W27*U22</f>
        <v>0.19537612113619002</v>
      </c>
      <c r="Y26" s="19">
        <f>Y27*W22</f>
        <v>0.19674375398414334</v>
      </c>
      <c r="AE26" s="11"/>
      <c r="AF26" s="19"/>
      <c r="AG26" s="19"/>
      <c r="AH26" s="19">
        <v>-0.4</v>
      </c>
      <c r="AI26" s="19">
        <f>AI27*AH22</f>
        <v>0.38200000000000006</v>
      </c>
      <c r="AJ26" s="19">
        <f t="shared" ref="AJ26:AO26" si="14">AJ27*AI22</f>
        <v>0.38467400000000007</v>
      </c>
      <c r="AK26" s="19">
        <f t="shared" si="14"/>
        <v>0.38736671800000005</v>
      </c>
      <c r="AL26" s="19">
        <f t="shared" si="14"/>
        <v>0.390078285026</v>
      </c>
      <c r="AM26" s="19">
        <f t="shared" si="14"/>
        <v>0.39280883302118197</v>
      </c>
      <c r="AN26" s="19">
        <f t="shared" si="14"/>
        <v>0.39555849485233024</v>
      </c>
      <c r="AO26" s="19">
        <f t="shared" si="14"/>
        <v>0.39832740431629654</v>
      </c>
    </row>
    <row r="27" spans="1:41" s="1" customFormat="1" x14ac:dyDescent="0.3">
      <c r="A27" s="20" t="s">
        <v>160</v>
      </c>
      <c r="B27" s="11"/>
      <c r="C27" s="11"/>
      <c r="D27" s="11"/>
      <c r="E27" s="11"/>
      <c r="F27" s="11"/>
      <c r="G27" s="15" t="e">
        <f t="shared" ref="G27:L27" si="15">G26/E22</f>
        <v>#DIV/0!</v>
      </c>
      <c r="H27" s="15" t="e">
        <f t="shared" si="15"/>
        <v>#DIV/0!</v>
      </c>
      <c r="I27" s="15">
        <f t="shared" si="15"/>
        <v>2.7100271002710031E-3</v>
      </c>
      <c r="J27" s="15" t="e">
        <f t="shared" si="15"/>
        <v>#DIV/0!</v>
      </c>
      <c r="K27" s="15">
        <f t="shared" si="15"/>
        <v>2.5062656641604013E-3</v>
      </c>
      <c r="L27" s="15" t="e">
        <f t="shared" si="15"/>
        <v>#DIV/0!</v>
      </c>
      <c r="M27" s="15">
        <f>M26/K22</f>
        <v>-5.263157894736842E-3</v>
      </c>
      <c r="O27" s="31">
        <v>5.0000000000000001E-3</v>
      </c>
      <c r="Q27" s="31">
        <v>5.0000000000000001E-3</v>
      </c>
      <c r="S27" s="31">
        <v>5.0000000000000001E-3</v>
      </c>
      <c r="U27" s="31">
        <v>5.0000000000000001E-3</v>
      </c>
      <c r="W27" s="31">
        <v>5.0000000000000001E-3</v>
      </c>
      <c r="Y27" s="31">
        <v>5.0000000000000001E-3</v>
      </c>
      <c r="AE27" s="11"/>
      <c r="AF27" s="11"/>
      <c r="AG27" s="11"/>
      <c r="AH27" s="11">
        <f>AH26/AG22</f>
        <v>-4.9261083743842365E-3</v>
      </c>
      <c r="AI27" s="31">
        <v>5.0000000000000001E-3</v>
      </c>
      <c r="AJ27" s="31">
        <v>5.0000000000000001E-3</v>
      </c>
      <c r="AK27" s="31">
        <v>5.0000000000000001E-3</v>
      </c>
      <c r="AL27" s="31">
        <v>5.0000000000000001E-3</v>
      </c>
      <c r="AM27" s="31">
        <v>5.0000000000000001E-3</v>
      </c>
      <c r="AN27" s="31">
        <v>5.0000000000000001E-3</v>
      </c>
      <c r="AO27" s="31">
        <v>5.0000000000000001E-3</v>
      </c>
    </row>
    <row r="28" spans="1:41" s="1" customFormat="1" x14ac:dyDescent="0.3">
      <c r="A28" t="s">
        <v>158</v>
      </c>
      <c r="B28" s="11"/>
      <c r="C28" s="11"/>
      <c r="D28" s="11"/>
      <c r="E28" s="19"/>
      <c r="F28" s="19"/>
      <c r="G28" s="19"/>
      <c r="H28" s="19"/>
      <c r="I28" s="19">
        <v>2.9</v>
      </c>
      <c r="J28" s="11"/>
      <c r="K28" s="19">
        <v>-1.9</v>
      </c>
      <c r="L28" s="11"/>
      <c r="M28" s="19">
        <v>0.2</v>
      </c>
      <c r="O28" s="19">
        <f>O29*M22</f>
        <v>7.5999999999999998E-2</v>
      </c>
      <c r="Q28" s="19">
        <f>Q29*O22</f>
        <v>7.6532000000000003E-2</v>
      </c>
      <c r="S28" s="19">
        <f>S29*Q22</f>
        <v>7.7067724000000004E-2</v>
      </c>
      <c r="U28" s="19">
        <f>U29*S22</f>
        <v>7.7607198068000011E-2</v>
      </c>
      <c r="W28" s="19">
        <f>W29*U22</f>
        <v>7.815044845447601E-2</v>
      </c>
      <c r="Y28" s="19">
        <f>Y29*W22</f>
        <v>7.8697501593657335E-2</v>
      </c>
      <c r="AE28" s="11"/>
      <c r="AF28" s="19"/>
      <c r="AG28" s="19"/>
      <c r="AH28" s="19">
        <v>-4.4000000000000004</v>
      </c>
      <c r="AI28" s="19">
        <f>AI29*AH22</f>
        <v>0.15280000000000002</v>
      </c>
      <c r="AJ28" s="19">
        <f t="shared" ref="AJ28:AO28" si="16">AJ29*AI22</f>
        <v>0.15386960000000002</v>
      </c>
      <c r="AK28" s="19">
        <f t="shared" si="16"/>
        <v>0.15494668720000002</v>
      </c>
      <c r="AL28" s="19">
        <f t="shared" si="16"/>
        <v>0.15603131401039999</v>
      </c>
      <c r="AM28" s="19">
        <f t="shared" si="16"/>
        <v>0.1571235332084728</v>
      </c>
      <c r="AN28" s="19">
        <f t="shared" si="16"/>
        <v>0.1582233979409321</v>
      </c>
      <c r="AO28" s="19">
        <f t="shared" si="16"/>
        <v>0.15933096172651862</v>
      </c>
    </row>
    <row r="29" spans="1:41" s="1" customFormat="1" x14ac:dyDescent="0.3">
      <c r="A29" s="20" t="s">
        <v>161</v>
      </c>
      <c r="B29" s="11"/>
      <c r="C29" s="11"/>
      <c r="D29" s="11"/>
      <c r="E29" s="11"/>
      <c r="F29" s="11"/>
      <c r="G29" s="11" t="e">
        <f t="shared" ref="G29:L29" si="17">G28/E22</f>
        <v>#DIV/0!</v>
      </c>
      <c r="H29" s="11" t="e">
        <f t="shared" si="17"/>
        <v>#DIV/0!</v>
      </c>
      <c r="I29" s="11">
        <f t="shared" si="17"/>
        <v>7.8590785907859076E-2</v>
      </c>
      <c r="J29" s="11" t="e">
        <f t="shared" si="17"/>
        <v>#DIV/0!</v>
      </c>
      <c r="K29" s="11">
        <f t="shared" si="17"/>
        <v>-4.7619047619047616E-2</v>
      </c>
      <c r="L29" s="11" t="e">
        <f t="shared" si="17"/>
        <v>#DIV/0!</v>
      </c>
      <c r="M29" s="11">
        <f>M28/K22</f>
        <v>5.263157894736842E-3</v>
      </c>
      <c r="O29" s="31">
        <v>2E-3</v>
      </c>
      <c r="Q29" s="31">
        <v>2E-3</v>
      </c>
      <c r="S29" s="31">
        <v>2E-3</v>
      </c>
      <c r="U29" s="31">
        <v>2E-3</v>
      </c>
      <c r="W29" s="31">
        <v>2E-3</v>
      </c>
      <c r="Y29" s="31">
        <v>2E-3</v>
      </c>
      <c r="AE29" s="11"/>
      <c r="AF29" s="11"/>
      <c r="AG29" s="11"/>
      <c r="AH29" s="11">
        <f>AH28/AG22</f>
        <v>-5.4187192118226604E-2</v>
      </c>
      <c r="AI29" s="31">
        <v>2E-3</v>
      </c>
      <c r="AJ29" s="31">
        <v>2E-3</v>
      </c>
      <c r="AK29" s="31">
        <v>2E-3</v>
      </c>
      <c r="AL29" s="31">
        <v>2E-3</v>
      </c>
      <c r="AM29" s="31">
        <v>2E-3</v>
      </c>
      <c r="AN29" s="31">
        <v>2E-3</v>
      </c>
      <c r="AO29" s="31">
        <v>2E-3</v>
      </c>
    </row>
    <row r="30" spans="1:41" s="1" customFormat="1" x14ac:dyDescent="0.3">
      <c r="A30" s="20"/>
      <c r="B30" s="11"/>
      <c r="C30" s="11"/>
      <c r="D30" s="11"/>
      <c r="E30" s="11"/>
      <c r="F30" s="11"/>
      <c r="G30" s="11"/>
      <c r="H30" s="11"/>
      <c r="I30" s="11"/>
      <c r="J30" s="11"/>
      <c r="K30" s="19"/>
      <c r="L30" s="11"/>
      <c r="M30" s="19"/>
      <c r="AE30" s="11"/>
      <c r="AF30" s="11"/>
      <c r="AG30" s="11"/>
      <c r="AH30" s="11"/>
    </row>
    <row r="31" spans="1:41" s="1" customFormat="1" x14ac:dyDescent="0.3">
      <c r="A31" s="20" t="s">
        <v>165</v>
      </c>
      <c r="B31" s="11"/>
      <c r="C31" s="11"/>
      <c r="D31" s="11"/>
      <c r="E31" s="19"/>
      <c r="F31" s="19"/>
      <c r="G31" s="19">
        <v>4.0999999999999996</v>
      </c>
      <c r="H31" s="19"/>
      <c r="I31" s="19">
        <v>4.5</v>
      </c>
      <c r="J31" s="11"/>
      <c r="K31" s="19">
        <v>4.2</v>
      </c>
      <c r="L31" s="11"/>
      <c r="M31" s="19">
        <f>K31+M33+M35+M37</f>
        <v>2.5244</v>
      </c>
      <c r="O31" s="19">
        <f>M31+O33+O35+O37</f>
        <v>2.5420707999999999</v>
      </c>
      <c r="Q31" s="19">
        <f>O31+Q33+Q35+Q37</f>
        <v>2.5598652955999999</v>
      </c>
      <c r="S31" s="19">
        <f>Q31+S33+S35+S37</f>
        <v>2.5777843526691999</v>
      </c>
      <c r="U31" s="19">
        <f>S31+U33+U35+U37</f>
        <v>2.5958288431378844</v>
      </c>
      <c r="W31" s="19">
        <f>U31+W33+W35+W37</f>
        <v>2.6139996450398493</v>
      </c>
      <c r="Y31" s="19">
        <f>W31+Y33+Y35+Y37</f>
        <v>2.6322976425551281</v>
      </c>
      <c r="AE31" s="11"/>
      <c r="AF31" s="11"/>
      <c r="AG31" s="19">
        <v>9.3000000000000007</v>
      </c>
      <c r="AH31" s="19">
        <v>7.9</v>
      </c>
      <c r="AI31" s="19">
        <f>AH31+AI33+AI35+AI37</f>
        <v>7.9553000000000003</v>
      </c>
      <c r="AJ31" s="19">
        <f t="shared" ref="AJ31:AO31" si="18">AI31+AJ33+AJ35+AJ37</f>
        <v>8.0109870999999995</v>
      </c>
      <c r="AK31" s="19">
        <f t="shared" si="18"/>
        <v>8.0670640096999993</v>
      </c>
      <c r="AL31" s="19">
        <f t="shared" si="18"/>
        <v>8.1235334577679001</v>
      </c>
      <c r="AM31" s="19">
        <f t="shared" si="18"/>
        <v>8.1803981919722766</v>
      </c>
      <c r="AN31" s="19">
        <f t="shared" si="18"/>
        <v>8.2376609793160824</v>
      </c>
      <c r="AO31" s="19">
        <f t="shared" si="18"/>
        <v>8.2953246061712953</v>
      </c>
    </row>
    <row r="32" spans="1:41" s="1" customFormat="1" x14ac:dyDescent="0.3">
      <c r="A32" s="20"/>
      <c r="B32" s="11"/>
      <c r="C32" s="11"/>
      <c r="D32" s="11"/>
      <c r="E32" s="11"/>
      <c r="F32" s="11"/>
      <c r="G32" s="15" t="e">
        <f t="shared" ref="G32:L32" si="19">G31/E31-1</f>
        <v>#DIV/0!</v>
      </c>
      <c r="H32" s="15" t="e">
        <f t="shared" si="19"/>
        <v>#DIV/0!</v>
      </c>
      <c r="I32" s="15">
        <f t="shared" si="19"/>
        <v>9.7560975609756184E-2</v>
      </c>
      <c r="J32" s="15" t="e">
        <f t="shared" si="19"/>
        <v>#DIV/0!</v>
      </c>
      <c r="K32" s="15">
        <f t="shared" si="19"/>
        <v>-6.6666666666666652E-2</v>
      </c>
      <c r="L32" s="15" t="e">
        <f t="shared" si="19"/>
        <v>#DIV/0!</v>
      </c>
      <c r="M32" s="15">
        <f>M31/K31-1</f>
        <v>-0.39895238095238095</v>
      </c>
      <c r="AE32" s="11"/>
      <c r="AF32" s="11"/>
      <c r="AG32" s="11"/>
      <c r="AH32" s="11"/>
    </row>
    <row r="33" spans="1:41" s="1" customFormat="1" x14ac:dyDescent="0.3">
      <c r="A33" s="27" t="s">
        <v>138</v>
      </c>
      <c r="B33" s="11"/>
      <c r="C33" s="11"/>
      <c r="D33" s="11"/>
      <c r="E33" s="19"/>
      <c r="F33" s="19"/>
      <c r="G33" s="19"/>
      <c r="H33" s="19"/>
      <c r="I33" s="19">
        <v>0</v>
      </c>
      <c r="J33" s="11"/>
      <c r="K33" s="19">
        <v>0</v>
      </c>
      <c r="L33" s="11"/>
      <c r="M33" s="19">
        <v>0</v>
      </c>
      <c r="O33">
        <f>O34*M31</f>
        <v>0</v>
      </c>
      <c r="Q33">
        <f>Q34*O31</f>
        <v>0</v>
      </c>
      <c r="S33">
        <f>S34*Q31</f>
        <v>0</v>
      </c>
      <c r="U33">
        <f>U34*S31</f>
        <v>0</v>
      </c>
      <c r="W33">
        <f>W34*U31</f>
        <v>0</v>
      </c>
      <c r="Y33">
        <f>Y34*W31</f>
        <v>0</v>
      </c>
      <c r="AE33" s="11"/>
      <c r="AF33" s="19"/>
      <c r="AG33" s="19"/>
      <c r="AH33" s="19">
        <v>0</v>
      </c>
      <c r="AI33">
        <f>AI34*AH31</f>
        <v>0</v>
      </c>
      <c r="AJ33">
        <f t="shared" ref="AJ33:AO33" si="20">AJ34*AI31</f>
        <v>0</v>
      </c>
      <c r="AK33">
        <f t="shared" si="20"/>
        <v>0</v>
      </c>
      <c r="AL33">
        <f t="shared" si="20"/>
        <v>0</v>
      </c>
      <c r="AM33">
        <f t="shared" si="20"/>
        <v>0</v>
      </c>
      <c r="AN33">
        <f t="shared" si="20"/>
        <v>0</v>
      </c>
      <c r="AO33">
        <f t="shared" si="20"/>
        <v>0</v>
      </c>
    </row>
    <row r="34" spans="1:41" s="1" customFormat="1" x14ac:dyDescent="0.3">
      <c r="A34" s="20" t="s">
        <v>159</v>
      </c>
      <c r="B34" s="11"/>
      <c r="C34" s="11"/>
      <c r="D34" s="11"/>
      <c r="E34" s="11"/>
      <c r="F34" s="11"/>
      <c r="G34" s="15" t="e">
        <f t="shared" ref="G34:L34" si="21">G33/E31</f>
        <v>#DIV/0!</v>
      </c>
      <c r="H34" s="15" t="e">
        <f t="shared" si="21"/>
        <v>#DIV/0!</v>
      </c>
      <c r="I34" s="15">
        <f t="shared" si="21"/>
        <v>0</v>
      </c>
      <c r="J34" s="15" t="e">
        <f t="shared" si="21"/>
        <v>#DIV/0!</v>
      </c>
      <c r="K34" s="15">
        <f t="shared" si="21"/>
        <v>0</v>
      </c>
      <c r="L34" s="15" t="e">
        <f t="shared" si="21"/>
        <v>#DIV/0!</v>
      </c>
      <c r="M34" s="15">
        <f>M33/K31</f>
        <v>0</v>
      </c>
      <c r="O34" s="30">
        <v>0</v>
      </c>
      <c r="Q34" s="30">
        <v>0</v>
      </c>
      <c r="S34" s="30">
        <v>0</v>
      </c>
      <c r="U34" s="30">
        <v>0</v>
      </c>
      <c r="W34" s="30">
        <v>0</v>
      </c>
      <c r="Y34" s="30">
        <v>0</v>
      </c>
      <c r="AE34" s="11"/>
      <c r="AF34" s="11"/>
      <c r="AG34" s="11"/>
      <c r="AH34" s="11">
        <f>AH33/AG31</f>
        <v>0</v>
      </c>
      <c r="AI34" s="30">
        <v>0</v>
      </c>
      <c r="AJ34" s="30">
        <v>0</v>
      </c>
      <c r="AK34" s="30">
        <v>0</v>
      </c>
      <c r="AL34" s="30">
        <v>0</v>
      </c>
      <c r="AM34" s="30">
        <v>0</v>
      </c>
      <c r="AN34" s="30">
        <v>0</v>
      </c>
      <c r="AO34" s="30">
        <v>0</v>
      </c>
    </row>
    <row r="35" spans="1:41" s="1" customFormat="1" x14ac:dyDescent="0.3">
      <c r="A35" t="s">
        <v>139</v>
      </c>
      <c r="B35" s="11"/>
      <c r="C35" s="11"/>
      <c r="D35" s="11"/>
      <c r="E35" s="19"/>
      <c r="F35" s="19"/>
      <c r="G35" s="19"/>
      <c r="H35" s="19"/>
      <c r="I35" s="19">
        <v>0</v>
      </c>
      <c r="J35" s="11"/>
      <c r="K35" s="19">
        <v>0</v>
      </c>
      <c r="L35" s="11"/>
      <c r="M35" s="19">
        <v>-1.6</v>
      </c>
      <c r="O35" s="19">
        <f>O36*M31</f>
        <v>5.0488E-3</v>
      </c>
      <c r="Q35" s="19">
        <f>Q36*O31</f>
        <v>5.0841415999999997E-3</v>
      </c>
      <c r="S35" s="19">
        <f>S36*Q31</f>
        <v>5.1197305911999998E-3</v>
      </c>
      <c r="U35" s="19">
        <f>U36*S31</f>
        <v>5.1555687053383998E-3</v>
      </c>
      <c r="W35" s="19">
        <f>W36*U31</f>
        <v>5.1916576862757685E-3</v>
      </c>
      <c r="Y35" s="19">
        <f>Y36*W31</f>
        <v>5.2279992900796986E-3</v>
      </c>
      <c r="AE35" s="11"/>
      <c r="AF35" s="19"/>
      <c r="AG35" s="19"/>
      <c r="AH35" s="19">
        <v>-0.7</v>
      </c>
      <c r="AI35" s="19">
        <f>AI36*AH31</f>
        <v>1.5800000000000002E-2</v>
      </c>
      <c r="AJ35" s="19">
        <f t="shared" ref="AJ35:AO35" si="22">AJ36*AI31</f>
        <v>1.59106E-2</v>
      </c>
      <c r="AK35" s="19">
        <f t="shared" si="22"/>
        <v>1.6021974200000001E-2</v>
      </c>
      <c r="AL35" s="19">
        <f t="shared" si="22"/>
        <v>1.61341280194E-2</v>
      </c>
      <c r="AM35" s="19">
        <f t="shared" si="22"/>
        <v>1.6247066915535801E-2</v>
      </c>
      <c r="AN35" s="19">
        <f t="shared" si="22"/>
        <v>1.6360796383944554E-2</v>
      </c>
      <c r="AO35" s="19">
        <f t="shared" si="22"/>
        <v>1.6475321958632164E-2</v>
      </c>
    </row>
    <row r="36" spans="1:41" s="1" customFormat="1" x14ac:dyDescent="0.3">
      <c r="A36" s="20" t="s">
        <v>160</v>
      </c>
      <c r="B36" s="11"/>
      <c r="C36" s="11"/>
      <c r="D36" s="11"/>
      <c r="E36" s="11"/>
      <c r="F36" s="11"/>
      <c r="G36" s="15" t="e">
        <f t="shared" ref="G36:L36" si="23">G35/E31</f>
        <v>#DIV/0!</v>
      </c>
      <c r="H36" s="15" t="e">
        <f t="shared" si="23"/>
        <v>#DIV/0!</v>
      </c>
      <c r="I36" s="15">
        <f t="shared" si="23"/>
        <v>0</v>
      </c>
      <c r="J36" s="15" t="e">
        <f t="shared" si="23"/>
        <v>#DIV/0!</v>
      </c>
      <c r="K36" s="15">
        <f t="shared" si="23"/>
        <v>0</v>
      </c>
      <c r="L36" s="15" t="e">
        <f t="shared" si="23"/>
        <v>#DIV/0!</v>
      </c>
      <c r="M36" s="15">
        <f>M35/K31</f>
        <v>-0.38095238095238093</v>
      </c>
      <c r="O36" s="31">
        <v>2E-3</v>
      </c>
      <c r="Q36" s="31">
        <v>2E-3</v>
      </c>
      <c r="S36" s="31">
        <v>2E-3</v>
      </c>
      <c r="U36" s="31">
        <v>2E-3</v>
      </c>
      <c r="W36" s="31">
        <v>2E-3</v>
      </c>
      <c r="Y36" s="31">
        <v>2E-3</v>
      </c>
      <c r="AE36" s="11"/>
      <c r="AF36" s="11"/>
      <c r="AG36" s="11"/>
      <c r="AH36" s="11">
        <f>AH35/AG31</f>
        <v>-7.5268817204301064E-2</v>
      </c>
      <c r="AI36" s="31">
        <v>2E-3</v>
      </c>
      <c r="AJ36" s="31">
        <v>2E-3</v>
      </c>
      <c r="AK36" s="31">
        <v>2E-3</v>
      </c>
      <c r="AL36" s="31">
        <v>2E-3</v>
      </c>
      <c r="AM36" s="31">
        <v>2E-3</v>
      </c>
      <c r="AN36" s="31">
        <v>2E-3</v>
      </c>
      <c r="AO36" s="31">
        <v>2E-3</v>
      </c>
    </row>
    <row r="37" spans="1:41" s="1" customFormat="1" x14ac:dyDescent="0.3">
      <c r="A37" t="s">
        <v>158</v>
      </c>
      <c r="B37" s="11"/>
      <c r="C37" s="11"/>
      <c r="D37" s="11"/>
      <c r="E37" s="19"/>
      <c r="F37" s="19"/>
      <c r="G37" s="19"/>
      <c r="H37" s="19"/>
      <c r="I37" s="19">
        <v>0.3</v>
      </c>
      <c r="J37" s="11"/>
      <c r="K37" s="19">
        <v>-0.2</v>
      </c>
      <c r="L37" s="11"/>
      <c r="M37" s="19">
        <f>K31*M38</f>
        <v>-7.5600000000000001E-2</v>
      </c>
      <c r="O37" s="19">
        <f>O38*M31</f>
        <v>1.2622E-2</v>
      </c>
      <c r="Q37" s="19">
        <f>Q38*O31</f>
        <v>1.2710354E-2</v>
      </c>
      <c r="S37" s="19">
        <f>S38*Q31</f>
        <v>1.2799326478E-2</v>
      </c>
      <c r="U37" s="19">
        <f>U38*S31</f>
        <v>1.2888921763346E-2</v>
      </c>
      <c r="W37" s="19">
        <f>W38*U31</f>
        <v>1.2979144215689423E-2</v>
      </c>
      <c r="Y37" s="19">
        <f>Y38*W31</f>
        <v>1.3069998225199247E-2</v>
      </c>
      <c r="AE37" s="11"/>
      <c r="AF37" s="19"/>
      <c r="AG37" s="19"/>
      <c r="AH37" s="19">
        <v>-0.7</v>
      </c>
      <c r="AI37" s="19">
        <f>AI38*AH31</f>
        <v>3.95E-2</v>
      </c>
      <c r="AJ37" s="19">
        <f t="shared" ref="AJ37:AO37" si="24">AJ38*AI31</f>
        <v>3.9776499999999999E-2</v>
      </c>
      <c r="AK37" s="19">
        <f t="shared" si="24"/>
        <v>4.00549355E-2</v>
      </c>
      <c r="AL37" s="19">
        <f t="shared" si="24"/>
        <v>4.0335320048499997E-2</v>
      </c>
      <c r="AM37" s="19">
        <f t="shared" si="24"/>
        <v>4.0617667288839504E-2</v>
      </c>
      <c r="AN37" s="19">
        <f t="shared" si="24"/>
        <v>4.0901990959861384E-2</v>
      </c>
      <c r="AO37" s="19">
        <f t="shared" si="24"/>
        <v>4.1188304896580416E-2</v>
      </c>
    </row>
    <row r="38" spans="1:41" s="1" customFormat="1" x14ac:dyDescent="0.3">
      <c r="A38" s="20" t="s">
        <v>161</v>
      </c>
      <c r="B38" s="11"/>
      <c r="C38" s="11"/>
      <c r="D38" s="11"/>
      <c r="E38" s="11"/>
      <c r="F38" s="11"/>
      <c r="G38" s="11" t="e">
        <f t="shared" ref="G38:J38" si="25">G37/E31</f>
        <v>#DIV/0!</v>
      </c>
      <c r="H38" s="11" t="e">
        <f t="shared" si="25"/>
        <v>#DIV/0!</v>
      </c>
      <c r="I38" s="11">
        <f t="shared" si="25"/>
        <v>7.3170731707317083E-2</v>
      </c>
      <c r="J38" s="11" t="e">
        <f t="shared" si="25"/>
        <v>#DIV/0!</v>
      </c>
      <c r="K38" s="11">
        <f>K37/I31</f>
        <v>-4.4444444444444446E-2</v>
      </c>
      <c r="L38" s="11">
        <v>-1.7999999999999999E-2</v>
      </c>
      <c r="M38" s="11">
        <v>-1.7999999999999999E-2</v>
      </c>
      <c r="O38" s="31">
        <v>5.0000000000000001E-3</v>
      </c>
      <c r="Q38" s="31">
        <v>5.0000000000000001E-3</v>
      </c>
      <c r="S38" s="31">
        <v>5.0000000000000001E-3</v>
      </c>
      <c r="U38" s="31">
        <v>5.0000000000000001E-3</v>
      </c>
      <c r="W38" s="31">
        <v>5.0000000000000001E-3</v>
      </c>
      <c r="Y38" s="31">
        <v>5.0000000000000001E-3</v>
      </c>
      <c r="AE38" s="11"/>
      <c r="AF38" s="11"/>
      <c r="AG38" s="11"/>
      <c r="AH38" s="11">
        <f>AH37/AG31</f>
        <v>-7.5268817204301064E-2</v>
      </c>
      <c r="AI38" s="31">
        <v>5.0000000000000001E-3</v>
      </c>
      <c r="AJ38" s="31">
        <v>5.0000000000000001E-3</v>
      </c>
      <c r="AK38" s="31">
        <v>5.0000000000000001E-3</v>
      </c>
      <c r="AL38" s="31">
        <v>5.0000000000000001E-3</v>
      </c>
      <c r="AM38" s="31">
        <v>5.0000000000000001E-3</v>
      </c>
      <c r="AN38" s="31">
        <v>5.0000000000000001E-3</v>
      </c>
      <c r="AO38" s="31">
        <v>5.0000000000000001E-3</v>
      </c>
    </row>
    <row r="39" spans="1:41" s="1" customFormat="1" x14ac:dyDescent="0.3">
      <c r="A39" s="20"/>
      <c r="B39" s="11"/>
      <c r="C39" s="11"/>
      <c r="D39" s="11"/>
      <c r="E39" s="11"/>
      <c r="F39" s="11"/>
      <c r="G39" s="11"/>
      <c r="H39" s="11"/>
      <c r="I39" s="11"/>
      <c r="J39" s="11"/>
      <c r="K39" s="19"/>
      <c r="L39" s="11"/>
      <c r="M39" s="19"/>
      <c r="AE39" s="11"/>
      <c r="AF39" s="11"/>
      <c r="AG39" s="11"/>
      <c r="AH39" s="11"/>
    </row>
    <row r="40" spans="1:41" s="1" customFormat="1" x14ac:dyDescent="0.3">
      <c r="A40" s="20"/>
      <c r="B40" s="11"/>
      <c r="C40" s="11"/>
      <c r="D40" s="11"/>
      <c r="E40" s="11"/>
      <c r="F40" s="11"/>
      <c r="G40" s="11"/>
      <c r="H40" s="11"/>
      <c r="I40" s="11"/>
      <c r="J40" s="11"/>
      <c r="K40" s="19"/>
      <c r="L40" s="11"/>
      <c r="M40" s="19"/>
      <c r="AE40" s="11"/>
      <c r="AF40" s="11"/>
      <c r="AG40" s="11"/>
      <c r="AH40" s="11"/>
    </row>
    <row r="41" spans="1:41" s="1" customFormat="1" x14ac:dyDescent="0.3">
      <c r="A41" s="20" t="s">
        <v>166</v>
      </c>
      <c r="B41" s="11"/>
      <c r="C41" s="11"/>
      <c r="D41" s="11"/>
      <c r="E41" s="19"/>
      <c r="F41" s="19"/>
      <c r="G41" s="19">
        <v>1.9</v>
      </c>
      <c r="H41" s="21"/>
      <c r="I41" s="19">
        <v>3.6</v>
      </c>
      <c r="J41" s="11"/>
      <c r="K41" s="19">
        <v>3.6</v>
      </c>
      <c r="L41" s="11"/>
      <c r="M41" s="19">
        <f>K41+M43+M45+M47</f>
        <v>3.4000000000000004</v>
      </c>
      <c r="O41" s="19">
        <f>M41+O43+O45+O47</f>
        <v>3.4340000000000002</v>
      </c>
      <c r="Q41" s="19">
        <f>O41+Q43+Q45+Q47</f>
        <v>3.4683400000000004</v>
      </c>
      <c r="S41" s="19">
        <f>Q41+S43+S45+S47</f>
        <v>3.5030234</v>
      </c>
      <c r="U41" s="19">
        <f>S41+U43+U45+U47</f>
        <v>3.5380536339999997</v>
      </c>
      <c r="W41" s="19">
        <f>U41+W43+W45+W47</f>
        <v>3.5734341703399997</v>
      </c>
      <c r="Y41" s="19">
        <f>W41+Y43+Y45+Y47</f>
        <v>3.6091685120434001</v>
      </c>
      <c r="AE41" s="11"/>
      <c r="AF41" s="11"/>
      <c r="AG41" s="19">
        <v>7.6</v>
      </c>
      <c r="AH41" s="19">
        <v>7.8</v>
      </c>
      <c r="AI41" s="19">
        <f>AH41+AI43+AI45+AI47</f>
        <v>7.8779999999999992</v>
      </c>
      <c r="AJ41" s="19">
        <f t="shared" ref="AJ41:AO41" si="26">AI41+AJ43+AJ45+AJ47</f>
        <v>7.9567799999999993</v>
      </c>
      <c r="AK41" s="19">
        <f t="shared" si="26"/>
        <v>8.0363477999999997</v>
      </c>
      <c r="AL41" s="19">
        <f t="shared" si="26"/>
        <v>8.1167112779999986</v>
      </c>
      <c r="AM41" s="19">
        <f t="shared" si="26"/>
        <v>8.1978783907799997</v>
      </c>
      <c r="AN41" s="19">
        <f t="shared" si="26"/>
        <v>8.2798571746878</v>
      </c>
      <c r="AO41" s="19">
        <f t="shared" si="26"/>
        <v>8.3626557464346778</v>
      </c>
    </row>
    <row r="42" spans="1:41" s="1" customFormat="1" x14ac:dyDescent="0.3">
      <c r="A42" s="20"/>
      <c r="B42" s="11"/>
      <c r="C42" s="11"/>
      <c r="D42" s="11"/>
      <c r="E42" s="11"/>
      <c r="F42" s="11"/>
      <c r="G42" s="15" t="str">
        <f t="shared" ref="G42:L42" si="27">IFERROR(G41/E41-1, "-")</f>
        <v>-</v>
      </c>
      <c r="H42" s="15" t="str">
        <f t="shared" si="27"/>
        <v>-</v>
      </c>
      <c r="I42" s="15">
        <f t="shared" si="27"/>
        <v>0.89473684210526327</v>
      </c>
      <c r="J42" s="15" t="str">
        <f t="shared" si="27"/>
        <v>-</v>
      </c>
      <c r="K42" s="15">
        <f t="shared" si="27"/>
        <v>0</v>
      </c>
      <c r="L42" s="15" t="str">
        <f t="shared" si="27"/>
        <v>-</v>
      </c>
      <c r="M42" s="15">
        <f>IFERROR(M41/K41-1, "-")</f>
        <v>-5.5555555555555469E-2</v>
      </c>
      <c r="AE42" s="11"/>
      <c r="AF42" s="11"/>
      <c r="AG42" s="11"/>
      <c r="AH42" s="11"/>
    </row>
    <row r="43" spans="1:41" s="1" customFormat="1" x14ac:dyDescent="0.3">
      <c r="A43" s="27" t="s">
        <v>138</v>
      </c>
      <c r="B43" s="11"/>
      <c r="C43" s="11"/>
      <c r="D43" s="11"/>
      <c r="E43" s="19"/>
      <c r="F43" s="19"/>
      <c r="G43" s="19"/>
      <c r="H43" s="19"/>
      <c r="I43" s="19">
        <v>0</v>
      </c>
      <c r="J43" s="11"/>
      <c r="K43" s="19"/>
      <c r="L43" s="11"/>
      <c r="M43" s="19">
        <v>0</v>
      </c>
      <c r="O43">
        <f>O44*M41</f>
        <v>0</v>
      </c>
      <c r="Q43">
        <f>Q44*O41</f>
        <v>0</v>
      </c>
      <c r="S43">
        <f>S44*Q41</f>
        <v>0</v>
      </c>
      <c r="U43">
        <f>U44*S41</f>
        <v>0</v>
      </c>
      <c r="W43">
        <f>W44*U41</f>
        <v>0</v>
      </c>
      <c r="Y43">
        <f>Y44*W41</f>
        <v>0</v>
      </c>
      <c r="AE43" s="11"/>
      <c r="AF43" s="19"/>
      <c r="AG43" s="19"/>
      <c r="AH43" s="19">
        <v>0</v>
      </c>
      <c r="AI43">
        <f>AI44*AH41</f>
        <v>0</v>
      </c>
      <c r="AJ43">
        <f t="shared" ref="AJ43:AO43" si="28">AJ44*AI41</f>
        <v>0</v>
      </c>
      <c r="AK43">
        <f t="shared" si="28"/>
        <v>0</v>
      </c>
      <c r="AL43">
        <f t="shared" si="28"/>
        <v>0</v>
      </c>
      <c r="AM43">
        <f t="shared" si="28"/>
        <v>0</v>
      </c>
      <c r="AN43">
        <f t="shared" si="28"/>
        <v>0</v>
      </c>
      <c r="AO43">
        <f t="shared" si="28"/>
        <v>0</v>
      </c>
    </row>
    <row r="44" spans="1:41" s="1" customFormat="1" x14ac:dyDescent="0.3">
      <c r="A44" s="20" t="s">
        <v>159</v>
      </c>
      <c r="B44" s="11"/>
      <c r="C44" s="11"/>
      <c r="D44" s="11"/>
      <c r="E44" s="11"/>
      <c r="F44" s="11"/>
      <c r="G44" s="15" t="str">
        <f t="shared" ref="G44:K44" si="29">IFERROR(G43/E41,"-")</f>
        <v>-</v>
      </c>
      <c r="H44" s="15" t="str">
        <f t="shared" si="29"/>
        <v>-</v>
      </c>
      <c r="I44" s="15">
        <f t="shared" si="29"/>
        <v>0</v>
      </c>
      <c r="J44" s="15" t="str">
        <f t="shared" si="29"/>
        <v>-</v>
      </c>
      <c r="K44" s="15">
        <f t="shared" si="29"/>
        <v>0</v>
      </c>
      <c r="L44" s="11"/>
      <c r="M44" s="15">
        <f>IFERROR(M43/K41,"-")</f>
        <v>0</v>
      </c>
      <c r="O44" s="30">
        <v>0</v>
      </c>
      <c r="Q44" s="30">
        <v>0</v>
      </c>
      <c r="S44" s="30">
        <v>0</v>
      </c>
      <c r="U44" s="30">
        <v>0</v>
      </c>
      <c r="W44" s="30">
        <v>0</v>
      </c>
      <c r="Y44" s="30">
        <v>0</v>
      </c>
      <c r="AE44" s="11"/>
      <c r="AF44" s="11"/>
      <c r="AG44" s="11"/>
      <c r="AH44" s="11">
        <f>AH43/AG41</f>
        <v>0</v>
      </c>
      <c r="AI44" s="30">
        <v>0</v>
      </c>
      <c r="AJ44" s="30">
        <v>0</v>
      </c>
      <c r="AK44" s="30">
        <v>0</v>
      </c>
      <c r="AL44" s="30">
        <v>0</v>
      </c>
      <c r="AM44" s="30">
        <v>0</v>
      </c>
      <c r="AN44" s="30">
        <v>0</v>
      </c>
      <c r="AO44" s="30">
        <v>0</v>
      </c>
    </row>
    <row r="45" spans="1:41" s="1" customFormat="1" x14ac:dyDescent="0.3">
      <c r="A45" t="s">
        <v>139</v>
      </c>
      <c r="B45" s="11"/>
      <c r="C45" s="11"/>
      <c r="D45" s="11"/>
      <c r="E45" s="19"/>
      <c r="F45" s="19"/>
      <c r="G45" s="19"/>
      <c r="H45" s="19"/>
      <c r="I45" s="19">
        <v>0</v>
      </c>
      <c r="J45" s="11"/>
      <c r="K45" s="19"/>
      <c r="L45" s="11"/>
      <c r="M45" s="19">
        <v>0.2</v>
      </c>
      <c r="O45" s="19">
        <f>O46*M41</f>
        <v>1.7000000000000001E-2</v>
      </c>
      <c r="Q45" s="19">
        <f>Q46*O41</f>
        <v>1.7170000000000001E-2</v>
      </c>
      <c r="S45" s="19">
        <f>S46*Q41</f>
        <v>1.7341700000000002E-2</v>
      </c>
      <c r="U45" s="19">
        <f>U46*S41</f>
        <v>1.7515117E-2</v>
      </c>
      <c r="W45" s="19">
        <f>W46*U41</f>
        <v>1.7690268169999999E-2</v>
      </c>
      <c r="Y45" s="19">
        <f>Y46*W41</f>
        <v>1.78671708517E-2</v>
      </c>
      <c r="AE45" s="11"/>
      <c r="AF45" s="19"/>
      <c r="AG45" s="19"/>
      <c r="AH45" s="19">
        <v>0.6</v>
      </c>
      <c r="AI45" s="19">
        <f>AI46*AH41</f>
        <v>3.9E-2</v>
      </c>
      <c r="AJ45" s="19">
        <f t="shared" ref="AJ45:AO45" si="30">AJ46*AI41</f>
        <v>3.9389999999999994E-2</v>
      </c>
      <c r="AK45" s="19">
        <f t="shared" si="30"/>
        <v>3.9783899999999997E-2</v>
      </c>
      <c r="AL45" s="19">
        <f t="shared" si="30"/>
        <v>4.0181739000000001E-2</v>
      </c>
      <c r="AM45" s="19">
        <f t="shared" si="30"/>
        <v>4.058355638999999E-2</v>
      </c>
      <c r="AN45" s="19">
        <f t="shared" si="30"/>
        <v>4.0989391953900001E-2</v>
      </c>
      <c r="AO45" s="19">
        <f t="shared" si="30"/>
        <v>4.1399285873439003E-2</v>
      </c>
    </row>
    <row r="46" spans="1:41" s="1" customFormat="1" x14ac:dyDescent="0.3">
      <c r="A46" s="20" t="s">
        <v>160</v>
      </c>
      <c r="B46" s="11"/>
      <c r="C46" s="11"/>
      <c r="D46" s="11"/>
      <c r="E46" s="11"/>
      <c r="F46" s="11"/>
      <c r="G46" s="15" t="str">
        <f t="shared" ref="G46:L46" si="31">IFERROR(G45/E41,"-")</f>
        <v>-</v>
      </c>
      <c r="H46" s="15" t="str">
        <f t="shared" si="31"/>
        <v>-</v>
      </c>
      <c r="I46" s="15">
        <f t="shared" si="31"/>
        <v>0</v>
      </c>
      <c r="J46" s="15" t="str">
        <f t="shared" si="31"/>
        <v>-</v>
      </c>
      <c r="K46" s="15">
        <f t="shared" si="31"/>
        <v>0</v>
      </c>
      <c r="L46" s="15" t="str">
        <f t="shared" si="31"/>
        <v>-</v>
      </c>
      <c r="M46" s="15">
        <f>IFERROR(M45/K41,"-")</f>
        <v>5.5555555555555559E-2</v>
      </c>
      <c r="O46" s="31">
        <v>5.0000000000000001E-3</v>
      </c>
      <c r="Q46" s="31">
        <v>5.0000000000000001E-3</v>
      </c>
      <c r="S46" s="31">
        <v>5.0000000000000001E-3</v>
      </c>
      <c r="U46" s="31">
        <v>5.0000000000000001E-3</v>
      </c>
      <c r="W46" s="31">
        <v>5.0000000000000001E-3</v>
      </c>
      <c r="Y46" s="31">
        <v>5.0000000000000001E-3</v>
      </c>
      <c r="AE46" s="11"/>
      <c r="AF46" s="11"/>
      <c r="AG46" s="11"/>
      <c r="AH46" s="11">
        <f>AH45/AG41</f>
        <v>7.8947368421052627E-2</v>
      </c>
      <c r="AI46" s="31">
        <v>5.0000000000000001E-3</v>
      </c>
      <c r="AJ46" s="31">
        <v>5.0000000000000001E-3</v>
      </c>
      <c r="AK46" s="31">
        <v>5.0000000000000001E-3</v>
      </c>
      <c r="AL46" s="31">
        <v>5.0000000000000001E-3</v>
      </c>
      <c r="AM46" s="31">
        <v>5.0000000000000001E-3</v>
      </c>
      <c r="AN46" s="31">
        <v>5.0000000000000001E-3</v>
      </c>
      <c r="AO46" s="31">
        <v>5.0000000000000001E-3</v>
      </c>
    </row>
    <row r="47" spans="1:41" s="1" customFormat="1" x14ac:dyDescent="0.3">
      <c r="A47" t="s">
        <v>158</v>
      </c>
      <c r="B47" s="11"/>
      <c r="C47" s="11"/>
      <c r="D47" s="11"/>
      <c r="E47" s="19"/>
      <c r="F47" s="19"/>
      <c r="G47" s="19"/>
      <c r="H47" s="19"/>
      <c r="I47" s="19">
        <v>1.7</v>
      </c>
      <c r="J47" s="11"/>
      <c r="K47" s="19"/>
      <c r="L47" s="11"/>
      <c r="M47" s="19">
        <v>-0.4</v>
      </c>
      <c r="O47" s="19">
        <f>O48*M41</f>
        <v>1.7000000000000001E-2</v>
      </c>
      <c r="Q47" s="19">
        <f>Q48*O41</f>
        <v>1.7170000000000001E-2</v>
      </c>
      <c r="S47" s="19">
        <f>S48*Q41</f>
        <v>1.7341700000000002E-2</v>
      </c>
      <c r="U47" s="19">
        <f>U48*S41</f>
        <v>1.7515117E-2</v>
      </c>
      <c r="W47" s="19">
        <f>W48*U41</f>
        <v>1.7690268169999999E-2</v>
      </c>
      <c r="Y47" s="19">
        <f>Y48*W41</f>
        <v>1.78671708517E-2</v>
      </c>
      <c r="AE47" s="11"/>
      <c r="AF47" s="19"/>
      <c r="AG47" s="19"/>
      <c r="AH47" s="19">
        <v>-0.4</v>
      </c>
      <c r="AI47" s="19">
        <f>AI48*AH41</f>
        <v>3.9E-2</v>
      </c>
      <c r="AJ47" s="19">
        <f t="shared" ref="AJ47:AO47" si="32">AJ48*AI41</f>
        <v>3.9389999999999994E-2</v>
      </c>
      <c r="AK47" s="19">
        <f t="shared" si="32"/>
        <v>3.9783899999999997E-2</v>
      </c>
      <c r="AL47" s="19">
        <f t="shared" si="32"/>
        <v>4.0181739000000001E-2</v>
      </c>
      <c r="AM47" s="19">
        <f t="shared" si="32"/>
        <v>4.058355638999999E-2</v>
      </c>
      <c r="AN47" s="19">
        <f t="shared" si="32"/>
        <v>4.0989391953900001E-2</v>
      </c>
      <c r="AO47" s="19">
        <f t="shared" si="32"/>
        <v>4.1399285873439003E-2</v>
      </c>
    </row>
    <row r="48" spans="1:41" s="1" customFormat="1" x14ac:dyDescent="0.3">
      <c r="A48" s="20" t="s">
        <v>161</v>
      </c>
      <c r="B48" s="11"/>
      <c r="C48" s="11"/>
      <c r="D48" s="11"/>
      <c r="E48" s="11"/>
      <c r="F48" s="11"/>
      <c r="G48" s="15" t="str">
        <f t="shared" ref="G48:L48" si="33">IFERROR(G47/E41,"-")</f>
        <v>-</v>
      </c>
      <c r="H48" s="15" t="str">
        <f t="shared" si="33"/>
        <v>-</v>
      </c>
      <c r="I48" s="15">
        <f t="shared" si="33"/>
        <v>0.89473684210526316</v>
      </c>
      <c r="J48" s="15" t="str">
        <f t="shared" si="33"/>
        <v>-</v>
      </c>
      <c r="K48" s="15">
        <f t="shared" si="33"/>
        <v>0</v>
      </c>
      <c r="L48" s="15" t="str">
        <f t="shared" si="33"/>
        <v>-</v>
      </c>
      <c r="M48" s="15">
        <f>IFERROR(M47/K41,"-")</f>
        <v>-0.11111111111111112</v>
      </c>
      <c r="O48" s="31">
        <v>5.0000000000000001E-3</v>
      </c>
      <c r="Q48" s="31">
        <v>5.0000000000000001E-3</v>
      </c>
      <c r="S48" s="31">
        <v>5.0000000000000001E-3</v>
      </c>
      <c r="U48" s="31">
        <v>5.0000000000000001E-3</v>
      </c>
      <c r="W48" s="31">
        <v>5.0000000000000001E-3</v>
      </c>
      <c r="Y48" s="31">
        <v>5.0000000000000001E-3</v>
      </c>
      <c r="AE48" s="11"/>
      <c r="AF48" s="11"/>
      <c r="AG48" s="11"/>
      <c r="AH48" s="11">
        <f>AH47/AG41</f>
        <v>-5.2631578947368425E-2</v>
      </c>
      <c r="AI48" s="31">
        <v>5.0000000000000001E-3</v>
      </c>
      <c r="AJ48" s="31">
        <v>5.0000000000000001E-3</v>
      </c>
      <c r="AK48" s="31">
        <v>5.0000000000000001E-3</v>
      </c>
      <c r="AL48" s="31">
        <v>5.0000000000000001E-3</v>
      </c>
      <c r="AM48" s="31">
        <v>5.0000000000000001E-3</v>
      </c>
      <c r="AN48" s="31">
        <v>5.0000000000000001E-3</v>
      </c>
      <c r="AO48" s="31">
        <v>5.0000000000000001E-3</v>
      </c>
    </row>
    <row r="49" spans="1:41" s="1" customFormat="1" x14ac:dyDescent="0.3">
      <c r="A49" s="20"/>
      <c r="B49" s="11"/>
      <c r="C49" s="11"/>
      <c r="D49" s="11"/>
      <c r="E49" s="11"/>
      <c r="F49" s="11"/>
      <c r="G49" s="11"/>
      <c r="H49" s="11"/>
      <c r="I49" s="11"/>
      <c r="J49" s="11"/>
      <c r="K49" s="19"/>
      <c r="L49" s="11"/>
      <c r="M49" s="19"/>
      <c r="AE49" s="11"/>
      <c r="AF49" s="11"/>
      <c r="AG49" s="11"/>
      <c r="AH49" s="11"/>
    </row>
    <row r="50" spans="1:41" s="1" customFormat="1" x14ac:dyDescent="0.3">
      <c r="A50" s="20"/>
      <c r="B50" s="11"/>
      <c r="C50" s="11"/>
      <c r="D50" s="11"/>
      <c r="E50" s="11"/>
      <c r="F50" s="11"/>
      <c r="G50" s="11"/>
      <c r="H50" s="11"/>
      <c r="I50" s="11"/>
      <c r="J50" s="11"/>
      <c r="K50" s="19"/>
      <c r="L50" s="11"/>
      <c r="M50" s="19"/>
      <c r="AE50" s="11"/>
      <c r="AF50" s="11"/>
      <c r="AG50" s="11"/>
      <c r="AH50" s="11"/>
    </row>
    <row r="51" spans="1:41" s="1" customFormat="1" x14ac:dyDescent="0.3">
      <c r="A51" s="20" t="s">
        <v>169</v>
      </c>
      <c r="B51" s="11"/>
      <c r="C51" s="11"/>
      <c r="D51" s="11"/>
      <c r="E51" s="19"/>
      <c r="F51" s="19"/>
      <c r="G51" s="19">
        <v>42.9</v>
      </c>
      <c r="H51" s="19">
        <v>47.9</v>
      </c>
      <c r="I51" s="19">
        <v>47.9</v>
      </c>
      <c r="J51" s="11"/>
      <c r="K51" s="21">
        <f>K22+K31+K41</f>
        <v>45.800000000000004</v>
      </c>
      <c r="L51" s="11"/>
      <c r="M51" s="21">
        <v>44.1</v>
      </c>
      <c r="O51" s="19">
        <f>O22+O31+O41</f>
        <v>44.242070799999993</v>
      </c>
      <c r="Q51" s="19">
        <f>Q22+Q31+Q41</f>
        <v>44.562067295599995</v>
      </c>
      <c r="S51" s="19">
        <f>S22+S31+S41</f>
        <v>44.884406786669203</v>
      </c>
      <c r="U51" s="19">
        <f>U22+U31+U41</f>
        <v>45.209106704375891</v>
      </c>
      <c r="W51" s="19">
        <f>W22+W31+W41</f>
        <v>45.536184612208515</v>
      </c>
      <c r="Y51" s="19">
        <f>Y22+Y31+Y41</f>
        <v>45.865658207004998</v>
      </c>
      <c r="AE51" s="11"/>
      <c r="AF51" s="11"/>
      <c r="AG51" s="19">
        <v>98.1</v>
      </c>
      <c r="AH51" s="19">
        <v>92.1</v>
      </c>
      <c r="AI51" s="19">
        <f>AI22+AI31+AI41</f>
        <v>92.768100000000004</v>
      </c>
      <c r="AJ51" s="19">
        <f t="shared" ref="AJ51:AO51" si="34">AJ22+AJ31+AJ41</f>
        <v>93.441110699999996</v>
      </c>
      <c r="AK51" s="19">
        <f t="shared" si="34"/>
        <v>94.119068814900004</v>
      </c>
      <c r="AL51" s="19">
        <f t="shared" si="34"/>
        <v>94.802011340004299</v>
      </c>
      <c r="AM51" s="19">
        <f t="shared" si="34"/>
        <v>95.489975553218329</v>
      </c>
      <c r="AN51" s="19">
        <f t="shared" si="34"/>
        <v>96.182999017263199</v>
      </c>
      <c r="AO51" s="19">
        <f t="shared" si="34"/>
        <v>96.881119581908095</v>
      </c>
    </row>
    <row r="52" spans="1:41" s="1" customFormat="1" x14ac:dyDescent="0.3">
      <c r="A52" s="20"/>
      <c r="B52" s="11"/>
      <c r="C52" s="11"/>
      <c r="D52" s="11"/>
      <c r="E52" s="11"/>
      <c r="F52" s="11"/>
      <c r="G52" s="15" t="str">
        <f t="shared" ref="G52:L52" si="35">IFERROR(G51/E51-1, "-")</f>
        <v>-</v>
      </c>
      <c r="H52" s="15" t="str">
        <f t="shared" si="35"/>
        <v>-</v>
      </c>
      <c r="I52" s="15">
        <f t="shared" si="35"/>
        <v>0.1165501165501166</v>
      </c>
      <c r="J52" s="15">
        <f t="shared" si="35"/>
        <v>-1</v>
      </c>
      <c r="K52" s="15">
        <f t="shared" si="35"/>
        <v>-4.3841336116910101E-2</v>
      </c>
      <c r="L52" s="15" t="str">
        <f t="shared" si="35"/>
        <v>-</v>
      </c>
      <c r="M52" s="15">
        <f>IFERROR(M51/K51-1, "-")</f>
        <v>-3.7117903930131035E-2</v>
      </c>
      <c r="AE52" s="11"/>
      <c r="AF52" s="11"/>
      <c r="AG52" s="11"/>
      <c r="AH52" s="11"/>
    </row>
    <row r="53" spans="1:41" s="1" customFormat="1" x14ac:dyDescent="0.3">
      <c r="A53" s="27" t="s">
        <v>138</v>
      </c>
      <c r="B53" s="11"/>
      <c r="C53" s="11"/>
      <c r="D53" s="11"/>
      <c r="E53" s="19"/>
      <c r="F53" s="19"/>
      <c r="G53" s="19"/>
      <c r="H53" s="19"/>
      <c r="I53" s="19">
        <v>0</v>
      </c>
      <c r="J53" s="11"/>
      <c r="K53" s="19">
        <v>0</v>
      </c>
      <c r="L53" s="11"/>
      <c r="M53" s="19">
        <v>0</v>
      </c>
      <c r="O53" s="19">
        <f>O24+O33+O43</f>
        <v>0</v>
      </c>
      <c r="Q53" s="19">
        <f>Q24+Q33+Q43</f>
        <v>0</v>
      </c>
      <c r="S53" s="19">
        <f>S24+S33+S43</f>
        <v>0</v>
      </c>
      <c r="U53" s="19">
        <f>U24+U33+U43</f>
        <v>0</v>
      </c>
      <c r="W53" s="19">
        <f>W24+W33+W43</f>
        <v>0</v>
      </c>
      <c r="Y53" s="19">
        <f>Y24+Y33+Y43</f>
        <v>0</v>
      </c>
      <c r="AE53" s="11"/>
      <c r="AF53" s="19"/>
      <c r="AG53" s="19"/>
      <c r="AH53" s="19">
        <v>0</v>
      </c>
      <c r="AI53" s="19">
        <f>AI24+AI33+AI43</f>
        <v>0</v>
      </c>
      <c r="AJ53" s="19">
        <f t="shared" ref="AJ53:AO53" si="36">AJ24+AJ33+AJ43</f>
        <v>0</v>
      </c>
      <c r="AK53" s="19">
        <f t="shared" si="36"/>
        <v>0</v>
      </c>
      <c r="AL53" s="19">
        <f t="shared" si="36"/>
        <v>0</v>
      </c>
      <c r="AM53" s="19">
        <f t="shared" si="36"/>
        <v>0</v>
      </c>
      <c r="AN53" s="19">
        <f t="shared" si="36"/>
        <v>0</v>
      </c>
      <c r="AO53" s="19">
        <f t="shared" si="36"/>
        <v>0</v>
      </c>
    </row>
    <row r="54" spans="1:41" s="1" customFormat="1" x14ac:dyDescent="0.3">
      <c r="A54" s="20" t="s">
        <v>159</v>
      </c>
      <c r="B54" s="11"/>
      <c r="C54" s="11"/>
      <c r="D54" s="11"/>
      <c r="E54" s="11"/>
      <c r="F54" s="11"/>
      <c r="G54" s="15" t="str">
        <f t="shared" ref="G54:L54" si="37">IFERROR(G53/E51,"-")</f>
        <v>-</v>
      </c>
      <c r="H54" s="15" t="str">
        <f t="shared" si="37"/>
        <v>-</v>
      </c>
      <c r="I54" s="15">
        <f t="shared" si="37"/>
        <v>0</v>
      </c>
      <c r="J54" s="15">
        <f t="shared" si="37"/>
        <v>0</v>
      </c>
      <c r="K54" s="15">
        <f t="shared" si="37"/>
        <v>0</v>
      </c>
      <c r="L54" s="15" t="str">
        <f t="shared" si="37"/>
        <v>-</v>
      </c>
      <c r="M54" s="15">
        <f>IFERROR(M53/K51,"-")</f>
        <v>0</v>
      </c>
      <c r="O54" s="11">
        <f>O53/M51</f>
        <v>0</v>
      </c>
      <c r="Q54" s="11">
        <f>Q53/O51</f>
        <v>0</v>
      </c>
      <c r="S54" s="11">
        <f>S53/Q51</f>
        <v>0</v>
      </c>
      <c r="U54" s="11">
        <f>U53/S51</f>
        <v>0</v>
      </c>
      <c r="W54" s="11">
        <f>W53/U51</f>
        <v>0</v>
      </c>
      <c r="Y54" s="11">
        <f>Y53/W51</f>
        <v>0</v>
      </c>
      <c r="AE54" s="11"/>
      <c r="AF54" s="11"/>
      <c r="AG54" s="11"/>
      <c r="AH54" s="11">
        <f>AH53/AG51</f>
        <v>0</v>
      </c>
      <c r="AI54" s="11">
        <f>AI53/AH51</f>
        <v>0</v>
      </c>
      <c r="AJ54" s="11">
        <f t="shared" ref="AJ54:AO54" si="38">AJ53/AI51</f>
        <v>0</v>
      </c>
      <c r="AK54" s="11">
        <f t="shared" si="38"/>
        <v>0</v>
      </c>
      <c r="AL54" s="11">
        <f t="shared" si="38"/>
        <v>0</v>
      </c>
      <c r="AM54" s="11">
        <f t="shared" si="38"/>
        <v>0</v>
      </c>
      <c r="AN54" s="11">
        <f t="shared" si="38"/>
        <v>0</v>
      </c>
      <c r="AO54" s="11">
        <f t="shared" si="38"/>
        <v>0</v>
      </c>
    </row>
    <row r="55" spans="1:41" s="1" customFormat="1" x14ac:dyDescent="0.3">
      <c r="A55" t="s">
        <v>139</v>
      </c>
      <c r="B55" s="11"/>
      <c r="C55" s="11"/>
      <c r="D55" s="11"/>
      <c r="E55" s="19"/>
      <c r="F55" s="19"/>
      <c r="G55" s="19"/>
      <c r="H55" s="19"/>
      <c r="I55" s="19">
        <v>0.1</v>
      </c>
      <c r="J55" s="11"/>
      <c r="K55" s="19">
        <v>0.1</v>
      </c>
      <c r="L55" s="11"/>
      <c r="M55" s="19">
        <v>-1.6</v>
      </c>
      <c r="O55" s="19">
        <f>O26+O35+O45</f>
        <v>0.21204879999999998</v>
      </c>
      <c r="Q55" s="19">
        <f>Q26+Q35+Q45</f>
        <v>0.2135841416</v>
      </c>
      <c r="S55" s="19">
        <f>S26+S35+S45</f>
        <v>0.21513074059120002</v>
      </c>
      <c r="U55" s="19">
        <f>U26+U35+U45</f>
        <v>0.21668868087533841</v>
      </c>
      <c r="W55" s="19">
        <f>W26+W35+W45</f>
        <v>0.21825804699246579</v>
      </c>
      <c r="Y55" s="19">
        <f>Y26+Y35+Y45</f>
        <v>0.21983892412592304</v>
      </c>
      <c r="AE55" s="11"/>
      <c r="AF55" s="19"/>
      <c r="AG55" s="19"/>
      <c r="AH55" s="19">
        <v>-0.5</v>
      </c>
      <c r="AI55" s="19">
        <f>AI26+AI35+AI45</f>
        <v>0.43680000000000002</v>
      </c>
      <c r="AJ55" s="19">
        <f t="shared" ref="AJ55:AO55" si="39">AJ26+AJ35+AJ45</f>
        <v>0.43997460000000005</v>
      </c>
      <c r="AK55" s="19">
        <f t="shared" si="39"/>
        <v>0.44317259220000005</v>
      </c>
      <c r="AL55" s="19">
        <f t="shared" si="39"/>
        <v>0.44639415204540001</v>
      </c>
      <c r="AM55" s="19">
        <f t="shared" si="39"/>
        <v>0.44963945632671776</v>
      </c>
      <c r="AN55" s="19">
        <f t="shared" si="39"/>
        <v>0.4529086831901748</v>
      </c>
      <c r="AO55" s="19">
        <f t="shared" si="39"/>
        <v>0.4562020121483677</v>
      </c>
    </row>
    <row r="56" spans="1:41" s="1" customFormat="1" x14ac:dyDescent="0.3">
      <c r="A56" s="20" t="s">
        <v>160</v>
      </c>
      <c r="B56" s="11"/>
      <c r="C56" s="11"/>
      <c r="D56" s="11"/>
      <c r="E56" s="11"/>
      <c r="F56" s="11"/>
      <c r="G56" s="15" t="str">
        <f t="shared" ref="G56:L56" si="40">IFERROR(G55/E51,"-")</f>
        <v>-</v>
      </c>
      <c r="H56" s="15" t="str">
        <f t="shared" si="40"/>
        <v>-</v>
      </c>
      <c r="I56" s="15">
        <f t="shared" si="40"/>
        <v>2.331002331002331E-3</v>
      </c>
      <c r="J56" s="15">
        <f t="shared" si="40"/>
        <v>0</v>
      </c>
      <c r="K56" s="15">
        <f t="shared" si="40"/>
        <v>2.0876826722338207E-3</v>
      </c>
      <c r="L56" s="15" t="str">
        <f t="shared" si="40"/>
        <v>-</v>
      </c>
      <c r="M56" s="15">
        <f>IFERROR(M55/K51,"-")</f>
        <v>-3.4934497816593885E-2</v>
      </c>
      <c r="O56" s="11">
        <f>O55/M51</f>
        <v>4.8083628117913824E-3</v>
      </c>
      <c r="Q56" s="11">
        <f>Q55/O51</f>
        <v>4.8276253289662929E-3</v>
      </c>
      <c r="S56" s="11">
        <f>S55/Q51</f>
        <v>4.8276651790892513E-3</v>
      </c>
      <c r="U56" s="11">
        <f>U55/S51</f>
        <v>4.8277051294280567E-3</v>
      </c>
      <c r="W56" s="11">
        <f>W55/U51</f>
        <v>4.8277451801837989E-3</v>
      </c>
      <c r="Y56" s="11">
        <f>Y55/W51</f>
        <v>4.8277853315576852E-3</v>
      </c>
      <c r="AE56" s="11"/>
      <c r="AF56" s="11"/>
      <c r="AG56" s="11"/>
      <c r="AH56" s="11">
        <f>AH55/AG51</f>
        <v>-5.0968399592252805E-3</v>
      </c>
      <c r="AI56" s="11">
        <f>AI55/AH51</f>
        <v>4.7426710097719874E-3</v>
      </c>
      <c r="AJ56" s="11">
        <f t="shared" ref="AJ56:AO56" si="41">AJ55/AI51</f>
        <v>4.7427359189204047E-3</v>
      </c>
      <c r="AK56" s="11">
        <f t="shared" si="41"/>
        <v>4.7428009885588833E-3</v>
      </c>
      <c r="AL56" s="11">
        <f t="shared" si="41"/>
        <v>4.7428662189944156E-3</v>
      </c>
      <c r="AM56" s="11">
        <f t="shared" si="41"/>
        <v>4.7429316105340909E-3</v>
      </c>
      <c r="AN56" s="11">
        <f t="shared" si="41"/>
        <v>4.7429971634850862E-3</v>
      </c>
      <c r="AO56" s="11">
        <f t="shared" si="41"/>
        <v>4.7430628781546646E-3</v>
      </c>
    </row>
    <row r="57" spans="1:41" s="1" customFormat="1" x14ac:dyDescent="0.3">
      <c r="A57" t="s">
        <v>158</v>
      </c>
      <c r="B57" s="11"/>
      <c r="C57" s="11"/>
      <c r="D57" s="11"/>
      <c r="E57" s="19"/>
      <c r="F57" s="19"/>
      <c r="G57" s="19"/>
      <c r="H57" s="19"/>
      <c r="I57" s="19">
        <v>4.9000000000000004</v>
      </c>
      <c r="J57" s="11"/>
      <c r="K57" s="19">
        <v>-2.2000000000000002</v>
      </c>
      <c r="L57" s="11"/>
      <c r="M57" s="19">
        <v>-0.2</v>
      </c>
      <c r="O57" s="19">
        <f>O28+O37+O47</f>
        <v>0.10562199999999999</v>
      </c>
      <c r="Q57" s="19">
        <f>Q28+Q37+Q47</f>
        <v>0.106412354</v>
      </c>
      <c r="S57" s="19">
        <f>S28+S37+S47</f>
        <v>0.10720875047800001</v>
      </c>
      <c r="U57" s="19">
        <f>U28+U37+U47</f>
        <v>0.108011236831346</v>
      </c>
      <c r="W57" s="19">
        <f>W28+W37+W47</f>
        <v>0.10881986084016543</v>
      </c>
      <c r="Y57" s="19">
        <f>Y28+Y37+Y47</f>
        <v>0.10963467067055659</v>
      </c>
      <c r="AE57" s="11"/>
      <c r="AF57" s="19"/>
      <c r="AG57" s="19"/>
      <c r="AH57" s="19">
        <v>-5.4</v>
      </c>
      <c r="AI57" s="19">
        <f>AI28+AI37+AI47</f>
        <v>0.23130000000000003</v>
      </c>
      <c r="AJ57" s="19">
        <f t="shared" ref="AJ57:AO57" si="42">AJ28+AJ37+AJ47</f>
        <v>0.23303610000000002</v>
      </c>
      <c r="AK57" s="19">
        <f t="shared" si="42"/>
        <v>0.23478552270000003</v>
      </c>
      <c r="AL57" s="19">
        <f t="shared" si="42"/>
        <v>0.23654837305889997</v>
      </c>
      <c r="AM57" s="19">
        <f t="shared" si="42"/>
        <v>0.23832475688731231</v>
      </c>
      <c r="AN57" s="19">
        <f t="shared" si="42"/>
        <v>0.24011478085469348</v>
      </c>
      <c r="AO57" s="19">
        <f t="shared" si="42"/>
        <v>0.24191855249653804</v>
      </c>
    </row>
    <row r="58" spans="1:41" s="1" customFormat="1" x14ac:dyDescent="0.3">
      <c r="A58" s="20" t="s">
        <v>161</v>
      </c>
      <c r="B58" s="11"/>
      <c r="C58" s="11"/>
      <c r="D58" s="11"/>
      <c r="E58" s="11"/>
      <c r="F58" s="11"/>
      <c r="G58" s="15" t="str">
        <f t="shared" ref="G58:L58" si="43">IFERROR(G57/E51,"-")</f>
        <v>-</v>
      </c>
      <c r="H58" s="15" t="str">
        <f t="shared" si="43"/>
        <v>-</v>
      </c>
      <c r="I58" s="15">
        <f t="shared" si="43"/>
        <v>0.11421911421911424</v>
      </c>
      <c r="J58" s="15">
        <f t="shared" si="43"/>
        <v>0</v>
      </c>
      <c r="K58" s="15">
        <f t="shared" si="43"/>
        <v>-4.5929018789144058E-2</v>
      </c>
      <c r="L58" s="15" t="str">
        <f t="shared" si="43"/>
        <v>-</v>
      </c>
      <c r="M58" s="15">
        <f>IFERROR(M57/K51,"-")</f>
        <v>-4.3668122270742356E-3</v>
      </c>
      <c r="O58" s="11">
        <f>O57/M51</f>
        <v>2.3950566893424035E-3</v>
      </c>
      <c r="Q58" s="11">
        <f>Q57/O51</f>
        <v>2.4052299559178866E-3</v>
      </c>
      <c r="S58" s="11">
        <f>S57/Q51</f>
        <v>2.4058298230833124E-3</v>
      </c>
      <c r="U58" s="11">
        <f>U57/S51</f>
        <v>2.4064311988061218E-3</v>
      </c>
      <c r="W58" s="11">
        <f>W57/U51</f>
        <v>2.4070340861132855E-3</v>
      </c>
      <c r="Y58" s="11">
        <f>Y57/W51</f>
        <v>2.4076384880335998E-3</v>
      </c>
      <c r="AE58" s="11"/>
      <c r="AF58" s="11"/>
      <c r="AG58" s="11"/>
      <c r="AH58" s="11">
        <f>AH57/AG51</f>
        <v>-5.5045871559633038E-2</v>
      </c>
      <c r="AI58" s="11">
        <f>AI57/AH51</f>
        <v>2.5114006514657984E-3</v>
      </c>
      <c r="AJ58" s="11">
        <f t="shared" ref="AJ58:AO58" si="44">AJ57/AI51</f>
        <v>2.5120283804454333E-3</v>
      </c>
      <c r="AK58" s="11">
        <f t="shared" si="44"/>
        <v>2.5126576615061582E-3</v>
      </c>
      <c r="AL58" s="11">
        <f t="shared" si="44"/>
        <v>2.513288497616882E-3</v>
      </c>
      <c r="AM58" s="11">
        <f t="shared" si="44"/>
        <v>2.5139208917474166E-3</v>
      </c>
      <c r="AN58" s="11">
        <f t="shared" si="44"/>
        <v>2.5145548468684348E-3</v>
      </c>
      <c r="AO58" s="11">
        <f t="shared" si="44"/>
        <v>2.5151903659514484E-3</v>
      </c>
    </row>
    <row r="59" spans="1:41" s="1" customFormat="1" x14ac:dyDescent="0.3">
      <c r="A59" s="20"/>
      <c r="B59" s="11"/>
      <c r="C59" s="11"/>
      <c r="D59" s="11"/>
      <c r="E59" s="11"/>
      <c r="F59" s="11"/>
      <c r="G59" s="11"/>
      <c r="H59" s="11"/>
      <c r="I59" s="11"/>
      <c r="J59" s="11"/>
      <c r="K59" s="19"/>
      <c r="L59" s="11"/>
      <c r="M59" s="19"/>
      <c r="AE59" s="11"/>
      <c r="AF59" s="11"/>
      <c r="AG59" s="11"/>
      <c r="AH59" s="11"/>
    </row>
    <row r="60" spans="1:41" s="1" customFormat="1" x14ac:dyDescent="0.3">
      <c r="A60" s="20" t="s">
        <v>167</v>
      </c>
      <c r="B60" s="11"/>
      <c r="C60" s="11"/>
      <c r="D60" s="11"/>
      <c r="E60" s="21"/>
      <c r="F60" s="21"/>
      <c r="G60" s="21">
        <v>0.3</v>
      </c>
      <c r="H60" s="21"/>
      <c r="I60" s="21">
        <v>0.3</v>
      </c>
      <c r="J60" s="11"/>
      <c r="K60" s="21">
        <v>0.3</v>
      </c>
      <c r="L60" s="11"/>
      <c r="M60" s="21">
        <v>0.3</v>
      </c>
      <c r="AE60" s="11"/>
      <c r="AF60" s="19"/>
      <c r="AG60" s="21">
        <v>0.7</v>
      </c>
      <c r="AH60" s="21">
        <v>0.6</v>
      </c>
    </row>
    <row r="61" spans="1:41" s="1" customFormat="1" x14ac:dyDescent="0.3">
      <c r="A61" s="20"/>
      <c r="B61" s="11"/>
      <c r="C61" s="11"/>
      <c r="D61" s="11"/>
      <c r="E61" s="11"/>
      <c r="F61" s="11"/>
      <c r="G61" s="11"/>
      <c r="H61" s="11"/>
      <c r="I61" s="11"/>
      <c r="J61" s="11"/>
      <c r="K61" s="21"/>
      <c r="L61" s="11"/>
      <c r="M61" s="21"/>
      <c r="AE61" s="11"/>
      <c r="AF61" s="11"/>
      <c r="AG61" s="11"/>
      <c r="AH61" s="11"/>
    </row>
    <row r="62" spans="1:41" s="1" customFormat="1" x14ac:dyDescent="0.3">
      <c r="A62" s="20" t="s">
        <v>168</v>
      </c>
      <c r="B62" s="11"/>
      <c r="C62" s="11"/>
      <c r="D62" s="11"/>
      <c r="E62" s="21"/>
      <c r="F62" s="21"/>
      <c r="G62" s="21">
        <v>38.299999999999997</v>
      </c>
      <c r="H62" s="21"/>
      <c r="I62" s="21">
        <v>41.3</v>
      </c>
      <c r="J62" s="11"/>
      <c r="K62" s="21">
        <v>39.5</v>
      </c>
      <c r="L62" s="11"/>
      <c r="M62" s="21">
        <v>39.5</v>
      </c>
      <c r="AE62" s="11"/>
      <c r="AF62" s="19"/>
      <c r="AG62" s="21">
        <v>84.2</v>
      </c>
      <c r="AH62" s="21">
        <v>79.400000000000006</v>
      </c>
    </row>
    <row r="63" spans="1:41" s="1" customFormat="1" x14ac:dyDescent="0.3">
      <c r="A63" s="20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AE63" s="11"/>
      <c r="AF63" s="11"/>
      <c r="AG63" s="11"/>
      <c r="AH63" s="11"/>
    </row>
    <row r="65" spans="1:34" x14ac:dyDescent="0.3">
      <c r="A65" s="3"/>
    </row>
    <row r="66" spans="1:34" x14ac:dyDescent="0.3">
      <c r="A66" s="3"/>
      <c r="M66" s="22"/>
    </row>
    <row r="67" spans="1:34" x14ac:dyDescent="0.3">
      <c r="A67" s="3"/>
    </row>
    <row r="68" spans="1:34" x14ac:dyDescent="0.3">
      <c r="M68" s="12"/>
    </row>
    <row r="69" spans="1:34" x14ac:dyDescent="0.3">
      <c r="A69" s="3"/>
    </row>
    <row r="70" spans="1:34" s="1" customFormat="1" x14ac:dyDescent="0.3"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AE70" s="11"/>
      <c r="AF70" s="11"/>
      <c r="AG70" s="11"/>
      <c r="AH70" s="11"/>
    </row>
    <row r="72" spans="1:34" x14ac:dyDescent="0.3">
      <c r="A72" s="3"/>
    </row>
    <row r="73" spans="1:34" s="1" customFormat="1" x14ac:dyDescent="0.3"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AE73" s="11"/>
      <c r="AF73" s="11"/>
      <c r="AG73" s="11"/>
      <c r="AH73" s="11"/>
    </row>
    <row r="75" spans="1:34" x14ac:dyDescent="0.3">
      <c r="A75" s="3"/>
    </row>
    <row r="77" spans="1:34" x14ac:dyDescent="0.3">
      <c r="A77" s="3"/>
    </row>
    <row r="78" spans="1:34" x14ac:dyDescent="0.3">
      <c r="A78" s="3"/>
      <c r="M78" s="10"/>
    </row>
    <row r="79" spans="1:34" x14ac:dyDescent="0.3">
      <c r="A79" s="3"/>
    </row>
    <row r="81" spans="1:34" x14ac:dyDescent="0.3">
      <c r="A81" s="3"/>
    </row>
    <row r="82" spans="1:34" s="1" customFormat="1" x14ac:dyDescent="0.3"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AE82" s="11"/>
      <c r="AF82" s="11"/>
      <c r="AG82" s="11"/>
      <c r="AH82" s="11"/>
    </row>
    <row r="84" spans="1:34" x14ac:dyDescent="0.3">
      <c r="A84" s="3"/>
    </row>
    <row r="85" spans="1:34" s="1" customFormat="1" x14ac:dyDescent="0.3"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AE85" s="11"/>
      <c r="AF85" s="11"/>
      <c r="AG85" s="11"/>
      <c r="AH85" s="11"/>
    </row>
    <row r="87" spans="1:34" x14ac:dyDescent="0.3">
      <c r="A87" s="3"/>
    </row>
    <row r="89" spans="1:34" x14ac:dyDescent="0.3">
      <c r="A89" s="3"/>
    </row>
    <row r="90" spans="1:34" x14ac:dyDescent="0.3">
      <c r="A90" s="3"/>
      <c r="M90" s="10"/>
    </row>
    <row r="91" spans="1:34" x14ac:dyDescent="0.3">
      <c r="A91" s="3"/>
    </row>
    <row r="93" spans="1:34" x14ac:dyDescent="0.3">
      <c r="A93" s="3"/>
    </row>
    <row r="94" spans="1:34" s="1" customFormat="1" x14ac:dyDescent="0.3"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AE94" s="11"/>
      <c r="AF94" s="11"/>
      <c r="AG94" s="11"/>
      <c r="AH94" s="11"/>
    </row>
    <row r="96" spans="1:34" x14ac:dyDescent="0.3">
      <c r="A96" s="3"/>
    </row>
    <row r="97" spans="1:34" s="1" customFormat="1" x14ac:dyDescent="0.3"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AE97" s="11"/>
      <c r="AF97" s="11"/>
      <c r="AG97" s="11"/>
      <c r="AH97" s="11"/>
    </row>
    <row r="99" spans="1:34" x14ac:dyDescent="0.3">
      <c r="A99" s="3"/>
    </row>
    <row r="101" spans="1:34" x14ac:dyDescent="0.3">
      <c r="A101" s="3"/>
    </row>
    <row r="102" spans="1:34" x14ac:dyDescent="0.3">
      <c r="A102" s="3"/>
    </row>
    <row r="104" spans="1:34" x14ac:dyDescent="0.3">
      <c r="A104" s="3"/>
    </row>
    <row r="105" spans="1:34" x14ac:dyDescent="0.3">
      <c r="A105" s="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AE105" s="11"/>
      <c r="AF105" s="11"/>
      <c r="AG105" s="11"/>
      <c r="AH105" s="11"/>
    </row>
    <row r="107" spans="1:34" x14ac:dyDescent="0.3">
      <c r="A107" s="3"/>
    </row>
    <row r="108" spans="1:34" x14ac:dyDescent="0.3">
      <c r="A108" s="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AE108" s="11"/>
      <c r="AF108" s="11"/>
      <c r="AG108" s="11"/>
      <c r="AH108" s="11"/>
    </row>
    <row r="110" spans="1:34" x14ac:dyDescent="0.3">
      <c r="A110" s="3"/>
    </row>
    <row r="111" spans="1:34" x14ac:dyDescent="0.3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AE111" s="12"/>
      <c r="AF111" s="12"/>
      <c r="AG111" s="12"/>
      <c r="AH111" s="12"/>
    </row>
    <row r="112" spans="1:34" x14ac:dyDescent="0.3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AE112" s="12"/>
      <c r="AF112" s="12"/>
      <c r="AG112" s="12"/>
      <c r="AH112" s="12"/>
    </row>
    <row r="113" spans="2:41" x14ac:dyDescent="0.3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E113" s="12"/>
      <c r="AF113" s="12"/>
      <c r="AG113" s="12"/>
      <c r="AH113" s="12"/>
      <c r="AI113" s="14"/>
      <c r="AJ113" s="14"/>
      <c r="AK113" s="14"/>
      <c r="AL113" s="14"/>
      <c r="AM113" s="14"/>
      <c r="AN113" s="14"/>
      <c r="AO113" s="14"/>
    </row>
    <row r="114" spans="2:41" x14ac:dyDescent="0.3">
      <c r="K114" s="14"/>
      <c r="M114" s="14"/>
      <c r="AG114" s="14"/>
      <c r="AH114" s="14"/>
    </row>
    <row r="115" spans="2:41" x14ac:dyDescent="0.3">
      <c r="P115" s="10"/>
      <c r="R115" s="10"/>
      <c r="T115" s="10"/>
      <c r="V115" s="10"/>
      <c r="X115" s="10"/>
    </row>
    <row r="116" spans="2:41" x14ac:dyDescent="0.3">
      <c r="M116" s="11"/>
      <c r="P116" s="10"/>
      <c r="R116" s="10"/>
      <c r="T116" s="10"/>
      <c r="V116" s="10"/>
      <c r="X116" s="10"/>
      <c r="AH116" s="11"/>
    </row>
    <row r="117" spans="2:41" x14ac:dyDescent="0.3">
      <c r="P117" s="10"/>
      <c r="R117" s="10"/>
      <c r="T117" s="10"/>
      <c r="V117" s="10"/>
      <c r="X117" s="10"/>
    </row>
    <row r="118" spans="2:41" x14ac:dyDescent="0.3">
      <c r="M118" s="11"/>
      <c r="P118" s="10"/>
      <c r="R118" s="10"/>
      <c r="T118" s="10"/>
      <c r="V118" s="10"/>
      <c r="X118" s="10"/>
      <c r="AH118" s="11"/>
    </row>
    <row r="120" spans="2:41" x14ac:dyDescent="0.3">
      <c r="M120" s="11"/>
      <c r="AH120" s="11"/>
    </row>
    <row r="121" spans="2:41" x14ac:dyDescent="0.3">
      <c r="M121" s="13"/>
      <c r="AH121" s="13"/>
    </row>
    <row r="122" spans="2:41" x14ac:dyDescent="0.3">
      <c r="M122" s="11"/>
      <c r="O122" s="10"/>
      <c r="Q122" s="10"/>
      <c r="S122" s="10"/>
      <c r="U122" s="10"/>
      <c r="W122" s="10"/>
      <c r="Y122" s="10"/>
      <c r="AH122" s="11"/>
      <c r="AI122" s="10"/>
      <c r="AJ122" s="10"/>
      <c r="AK122" s="10"/>
      <c r="AL122" s="10"/>
      <c r="AM122" s="10"/>
      <c r="AN122" s="10"/>
      <c r="AO122" s="10"/>
    </row>
    <row r="123" spans="2:41" x14ac:dyDescent="0.3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AE123" s="12"/>
      <c r="AF123" s="12"/>
      <c r="AG123" s="12"/>
      <c r="AH123" s="12"/>
    </row>
    <row r="127" spans="2:41" x14ac:dyDescent="0.3">
      <c r="M127" s="10"/>
    </row>
    <row r="128" spans="2:41" x14ac:dyDescent="0.3">
      <c r="M128" s="10"/>
    </row>
    <row r="129" spans="13:13" x14ac:dyDescent="0.3">
      <c r="M129" s="10"/>
    </row>
    <row r="130" spans="13:13" x14ac:dyDescent="0.3">
      <c r="M130" s="10"/>
    </row>
    <row r="131" spans="13:13" x14ac:dyDescent="0.3">
      <c r="M131" s="10"/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90CEE-84BC-44F3-BEEF-878ECE3B71E2}">
  <dimension ref="A1:AO131"/>
  <sheetViews>
    <sheetView zoomScale="86" workbookViewId="0">
      <pane xSplit="1" ySplit="1" topLeftCell="I2" activePane="bottomRight" state="frozen"/>
      <selection pane="topRight" activeCell="B1" sqref="B1"/>
      <selection pane="bottomLeft" activeCell="A2" sqref="A2"/>
      <selection pane="bottomRight" activeCell="I1" sqref="I1:AO1"/>
    </sheetView>
  </sheetViews>
  <sheetFormatPr defaultRowHeight="14.4" x14ac:dyDescent="0.3"/>
  <cols>
    <col min="1" max="1" width="19" bestFit="1" customWidth="1"/>
    <col min="2" max="4" width="10.5546875" hidden="1" customWidth="1"/>
    <col min="5" max="5" width="9.5546875" hidden="1" customWidth="1"/>
    <col min="6" max="8" width="10.5546875" hidden="1" customWidth="1"/>
    <col min="9" max="9" width="10.5546875" bestFit="1" customWidth="1"/>
    <col min="10" max="10" width="10.5546875" hidden="1" customWidth="1"/>
    <col min="11" max="11" width="9.88671875" bestFit="1" customWidth="1"/>
    <col min="12" max="12" width="10.5546875" hidden="1" customWidth="1"/>
    <col min="13" max="13" width="11.109375" customWidth="1"/>
    <col min="14" max="14" width="9" customWidth="1"/>
    <col min="15" max="26" width="9.88671875" bestFit="1" customWidth="1"/>
    <col min="31" max="34" width="10.5546875" bestFit="1" customWidth="1"/>
    <col min="35" max="41" width="9.88671875" bestFit="1" customWidth="1"/>
  </cols>
  <sheetData>
    <row r="1" spans="1:41" x14ac:dyDescent="0.3">
      <c r="B1" t="str">
        <f>'Cash Flow Statement'!B1</f>
        <v>H1'19</v>
      </c>
      <c r="C1" t="str">
        <f>'Cash Flow Statement'!C1</f>
        <v>H2'19</v>
      </c>
      <c r="D1" t="str">
        <f>'Cash Flow Statement'!D1</f>
        <v>FY'19</v>
      </c>
      <c r="E1" t="str">
        <f>'Cash Flow Statement'!E1</f>
        <v>H1'20</v>
      </c>
      <c r="F1" t="str">
        <f>'Cash Flow Statement'!F1</f>
        <v>H2'20</v>
      </c>
      <c r="G1" t="str">
        <f>'Cash Flow Statement'!G1</f>
        <v>H1'21</v>
      </c>
      <c r="H1" t="str">
        <f>'Cash Flow Statement'!H1</f>
        <v>H2'21</v>
      </c>
      <c r="I1" t="str">
        <f>'Cash Flow Statement'!I1</f>
        <v>H1'22</v>
      </c>
      <c r="J1" t="str">
        <f>'Cash Flow Statement'!J1</f>
        <v>H2'22</v>
      </c>
      <c r="K1" t="str">
        <f>'Cash Flow Statement'!K1</f>
        <v>H1'23</v>
      </c>
      <c r="L1" t="str">
        <f>'Cash Flow Statement'!L1</f>
        <v>H2'23</v>
      </c>
      <c r="M1" t="str">
        <f>'Cash Flow Statement'!M1</f>
        <v>H1'24</v>
      </c>
      <c r="N1" t="str">
        <f>'Cash Flow Statement'!N1</f>
        <v>H2'24</v>
      </c>
      <c r="O1" t="str">
        <f>'Cash Flow Statement'!O1</f>
        <v>H1'25</v>
      </c>
      <c r="P1" t="str">
        <f>'Cash Flow Statement'!P1</f>
        <v>H2'25</v>
      </c>
      <c r="Q1" t="str">
        <f>'Cash Flow Statement'!Q1</f>
        <v>H1'26</v>
      </c>
      <c r="R1" t="str">
        <f>'Cash Flow Statement'!R1</f>
        <v>H2'26</v>
      </c>
      <c r="S1" t="str">
        <f>'Cash Flow Statement'!S1</f>
        <v>H1'27</v>
      </c>
      <c r="T1" t="str">
        <f>'Cash Flow Statement'!T1</f>
        <v>H2'27</v>
      </c>
      <c r="U1" t="str">
        <f>'Cash Flow Statement'!U1</f>
        <v>H1'28</v>
      </c>
      <c r="V1" t="str">
        <f>'Cash Flow Statement'!V1</f>
        <v>H2'28</v>
      </c>
      <c r="W1" t="str">
        <f>'Cash Flow Statement'!W1</f>
        <v>H1'29</v>
      </c>
      <c r="X1" t="str">
        <f>'Cash Flow Statement'!X1</f>
        <v>H2'29</v>
      </c>
      <c r="Y1" t="str">
        <f>'Cash Flow Statement'!Y1</f>
        <v>H1'30</v>
      </c>
      <c r="Z1" t="str">
        <f>'Cash Flow Statement'!Z1</f>
        <v>H2'30</v>
      </c>
      <c r="AE1" t="str">
        <f>'Cash Flow Statement'!AE1</f>
        <v>FY'20</v>
      </c>
      <c r="AF1" t="str">
        <f>'Cash Flow Statement'!AF1</f>
        <v>FY'21</v>
      </c>
      <c r="AG1" t="str">
        <f>'Cash Flow Statement'!AG1</f>
        <v>FY'22</v>
      </c>
      <c r="AH1" t="str">
        <f>'Cash Flow Statement'!AH1</f>
        <v>FY'23</v>
      </c>
      <c r="AI1" t="str">
        <f>'Cash Flow Statement'!AI1</f>
        <v>FY'24</v>
      </c>
      <c r="AJ1" t="str">
        <f>'Cash Flow Statement'!AJ1</f>
        <v>FY'25</v>
      </c>
      <c r="AK1" t="str">
        <f>'Cash Flow Statement'!AK1</f>
        <v>FY'26</v>
      </c>
      <c r="AL1" t="str">
        <f>'Cash Flow Statement'!AL1</f>
        <v>FY'27</v>
      </c>
      <c r="AM1" t="str">
        <f>'Cash Flow Statement'!AM1</f>
        <v>FY'28</v>
      </c>
      <c r="AN1" t="str">
        <f>'Cash Flow Statement'!AN1</f>
        <v>FY'29</v>
      </c>
      <c r="AO1" t="str">
        <f>'Cash Flow Statement'!AO1</f>
        <v>FY'30</v>
      </c>
    </row>
    <row r="3" spans="1:41" x14ac:dyDescent="0.3">
      <c r="A3" s="3"/>
    </row>
    <row r="4" spans="1:41" x14ac:dyDescent="0.3">
      <c r="A4" s="3" t="s">
        <v>175</v>
      </c>
    </row>
    <row r="5" spans="1:41" x14ac:dyDescent="0.3">
      <c r="A5" s="3"/>
    </row>
    <row r="6" spans="1:41" x14ac:dyDescent="0.3">
      <c r="A6" s="3" t="s">
        <v>157</v>
      </c>
      <c r="G6">
        <f t="shared" ref="G6:I6" si="0">E17</f>
        <v>0</v>
      </c>
      <c r="H6">
        <f t="shared" si="0"/>
        <v>0</v>
      </c>
      <c r="I6">
        <f t="shared" si="0"/>
        <v>9971</v>
      </c>
      <c r="K6">
        <f>I17</f>
        <v>13485</v>
      </c>
      <c r="M6" s="4">
        <f>K17</f>
        <v>14514</v>
      </c>
      <c r="O6" s="4">
        <f>M17</f>
        <v>14815</v>
      </c>
      <c r="Q6" s="4">
        <f>O17</f>
        <v>15432.842891922115</v>
      </c>
      <c r="S6" s="4">
        <f>Q17</f>
        <v>16386.673555131645</v>
      </c>
      <c r="U6" s="4">
        <f>S17</f>
        <v>17678.547110952884</v>
      </c>
      <c r="W6" s="4">
        <f>U17</f>
        <v>19330.78179227599</v>
      </c>
      <c r="Y6" s="4">
        <f>W17</f>
        <v>21384.123021094667</v>
      </c>
      <c r="AH6">
        <f>AG17</f>
        <v>28694</v>
      </c>
      <c r="AI6">
        <f>AH17</f>
        <v>30308</v>
      </c>
      <c r="AJ6">
        <f t="shared" ref="AJ6:AO6" si="1">AI17</f>
        <v>32523.624027944665</v>
      </c>
      <c r="AK6">
        <f t="shared" si="1"/>
        <v>35318.175276323993</v>
      </c>
      <c r="AL6">
        <f t="shared" si="1"/>
        <v>38716.689285339722</v>
      </c>
      <c r="AM6">
        <f t="shared" si="1"/>
        <v>42776.655379016469</v>
      </c>
      <c r="AN6">
        <f t="shared" si="1"/>
        <v>47586.391152242955</v>
      </c>
      <c r="AO6">
        <f t="shared" si="1"/>
        <v>53265.551168331389</v>
      </c>
    </row>
    <row r="7" spans="1:41" x14ac:dyDescent="0.3">
      <c r="A7" t="s">
        <v>123</v>
      </c>
      <c r="I7">
        <v>638</v>
      </c>
      <c r="K7">
        <v>-91</v>
      </c>
      <c r="M7">
        <v>-625</v>
      </c>
      <c r="O7">
        <f>'Africa &amp; Middle East'!O7+Americas!O7+'Asia Pacific'!O7+Europe!O7</f>
        <v>-438.2</v>
      </c>
      <c r="Q7">
        <f>'Africa &amp; Middle East'!Q7+Americas!Q7+'Asia Pacific'!Q7+Europe!Q7</f>
        <v>-306.73999999999995</v>
      </c>
      <c r="S7">
        <f>'Africa &amp; Middle East'!S7+Americas!S7+'Asia Pacific'!S7+Europe!S7</f>
        <v>-214.71799999999996</v>
      </c>
      <c r="U7">
        <f>'Africa &amp; Middle East'!U7+Americas!U7+'Asia Pacific'!U7+Europe!U7</f>
        <v>-150.30259999999993</v>
      </c>
      <c r="W7">
        <f>'Africa &amp; Middle East'!W7+Americas!W7+'Asia Pacific'!W7+Europe!W7</f>
        <v>-105.21181999999993</v>
      </c>
      <c r="Y7">
        <f>'Africa &amp; Middle East'!Y7+Americas!Y7+'Asia Pacific'!Y7+Europe!Y7</f>
        <v>-73.648273999999958</v>
      </c>
      <c r="AH7">
        <v>-864</v>
      </c>
      <c r="AI7">
        <f>'Africa &amp; Middle East'!AJ7+Americas!AI7+'Asia Pacific'!AI7+Europe!AI7</f>
        <v>-604.79999999999984</v>
      </c>
      <c r="AJ7">
        <f>'Africa &amp; Middle East'!AK7+Americas!AJ7+'Asia Pacific'!AJ7+Europe!AJ7</f>
        <v>-423.3599999999999</v>
      </c>
      <c r="AK7">
        <f>'Africa &amp; Middle East'!AL7+Americas!AK7+'Asia Pacific'!AK7+Europe!AK7</f>
        <v>-296.35199999999998</v>
      </c>
      <c r="AL7">
        <f>'Africa &amp; Middle East'!AM7+Americas!AL7+'Asia Pacific'!AL7+Europe!AL7</f>
        <v>-207.44639999999993</v>
      </c>
      <c r="AM7">
        <f>'Africa &amp; Middle East'!AN7+Americas!AM7+'Asia Pacific'!AM7+Europe!AM7</f>
        <v>-145.21247999999994</v>
      </c>
      <c r="AN7">
        <f>'Africa &amp; Middle East'!AO7+Americas!AN7+'Asia Pacific'!AN7+Europe!AN7</f>
        <v>-101.64873599999994</v>
      </c>
      <c r="AO7">
        <f>'Africa &amp; Middle East'!AP7+Americas!AO7+'Asia Pacific'!AO7+Europe!AO7</f>
        <v>-71.15411519999995</v>
      </c>
    </row>
    <row r="8" spans="1:41" x14ac:dyDescent="0.3">
      <c r="A8" s="1" t="s">
        <v>159</v>
      </c>
      <c r="G8" s="15" t="e">
        <f t="shared" ref="G8:L8" si="2">G7/E17</f>
        <v>#DIV/0!</v>
      </c>
      <c r="H8" s="15" t="e">
        <f t="shared" si="2"/>
        <v>#DIV/0!</v>
      </c>
      <c r="I8" s="15">
        <f t="shared" si="2"/>
        <v>6.3985558118543784E-2</v>
      </c>
      <c r="J8" s="15" t="e">
        <f t="shared" si="2"/>
        <v>#DIV/0!</v>
      </c>
      <c r="K8" s="15">
        <f t="shared" si="2"/>
        <v>-6.7482387838338894E-3</v>
      </c>
      <c r="L8" s="15" t="e">
        <f t="shared" si="2"/>
        <v>#DIV/0!</v>
      </c>
      <c r="M8" s="15">
        <f>M7/K17</f>
        <v>-4.3061871296679072E-2</v>
      </c>
      <c r="O8" s="15">
        <f>O7/M7-1</f>
        <v>-0.29888000000000003</v>
      </c>
      <c r="Q8" s="15">
        <f>Q7/O7-1</f>
        <v>-0.30000000000000004</v>
      </c>
      <c r="S8" s="15">
        <f>S7/Q7-1</f>
        <v>-0.30000000000000004</v>
      </c>
      <c r="U8" s="15">
        <f>U7/S7-1</f>
        <v>-0.30000000000000027</v>
      </c>
      <c r="W8" s="15">
        <f>W7/U7-1</f>
        <v>-0.30000000000000016</v>
      </c>
      <c r="Y8" s="15">
        <f>Y7/W7-1</f>
        <v>-0.29999999999999993</v>
      </c>
      <c r="AF8" s="15"/>
      <c r="AG8" s="15"/>
      <c r="AH8" s="15">
        <f>AH7/AG17</f>
        <v>-3.0110824562626332E-2</v>
      </c>
      <c r="AI8" s="15">
        <f>AI7/AH7-1</f>
        <v>-0.30000000000000016</v>
      </c>
      <c r="AJ8" s="15">
        <f t="shared" ref="AJ8:AO8" si="3">AJ7/AI7-1</f>
        <v>-0.29999999999999993</v>
      </c>
      <c r="AK8" s="15">
        <f t="shared" si="3"/>
        <v>-0.29999999999999993</v>
      </c>
      <c r="AL8" s="15">
        <f t="shared" si="3"/>
        <v>-0.30000000000000016</v>
      </c>
      <c r="AM8" s="15">
        <f t="shared" si="3"/>
        <v>-0.30000000000000004</v>
      </c>
      <c r="AN8" s="15">
        <f t="shared" si="3"/>
        <v>-0.30000000000000016</v>
      </c>
      <c r="AO8" s="15">
        <f t="shared" si="3"/>
        <v>-0.30000000000000004</v>
      </c>
    </row>
    <row r="9" spans="1:41" x14ac:dyDescent="0.3">
      <c r="A9" t="s">
        <v>139</v>
      </c>
      <c r="I9">
        <v>454</v>
      </c>
      <c r="K9">
        <v>231</v>
      </c>
      <c r="M9">
        <v>51</v>
      </c>
      <c r="O9" s="32">
        <f>'Africa &amp; Middle East'!O9+Americas!O9+'Asia Pacific'!O9+Europe!O9</f>
        <v>51.356999999999985</v>
      </c>
      <c r="Q9" s="32">
        <f>'Africa &amp; Middle East'!Q9+Americas!Q9+'Asia Pacific'!Q9+Europe!Q9</f>
        <v>51.716498999999985</v>
      </c>
      <c r="S9" s="32">
        <f>'Africa &amp; Middle East'!S9+Americas!S9+'Asia Pacific'!S9+Europe!S9</f>
        <v>52.078514492999986</v>
      </c>
      <c r="U9" s="32">
        <f>'Africa &amp; Middle East'!U9+Americas!U9+'Asia Pacific'!U9+Europe!U9</f>
        <v>52.443064094450989</v>
      </c>
      <c r="W9" s="32">
        <f>'Africa &amp; Middle East'!W9+Americas!W9+'Asia Pacific'!W9+Europe!W9</f>
        <v>52.810165543112163</v>
      </c>
      <c r="Y9" s="32">
        <f>'Africa &amp; Middle East'!Y9+Americas!Y9+'Asia Pacific'!Y9+Europe!Y9</f>
        <v>53.179836701913928</v>
      </c>
      <c r="AH9">
        <v>887</v>
      </c>
      <c r="AI9" s="32">
        <f>'Africa &amp; Middle East'!AJ9+Americas!AI9+'Asia Pacific'!AI9+Europe!AI9</f>
        <v>893.20899999999995</v>
      </c>
      <c r="AJ9" s="32">
        <f>'Africa &amp; Middle East'!AK9+Americas!AJ9+'Asia Pacific'!AJ9+Europe!AJ9</f>
        <v>899.46146299999987</v>
      </c>
      <c r="AK9" s="32">
        <f>'Africa &amp; Middle East'!AL9+Americas!AK9+'Asia Pacific'!AK9+Europe!AK9</f>
        <v>905.75769324099974</v>
      </c>
      <c r="AL9" s="32">
        <f>'Africa &amp; Middle East'!AM9+Americas!AL9+'Asia Pacific'!AL9+Europe!AL9</f>
        <v>912.09799709368656</v>
      </c>
      <c r="AM9" s="32">
        <f>'Africa &amp; Middle East'!AN9+Americas!AM9+'Asia Pacific'!AM9+Europe!AM9</f>
        <v>918.48268307334229</v>
      </c>
      <c r="AN9" s="32">
        <f>'Africa &amp; Middle East'!AO9+Americas!AN9+'Asia Pacific'!AN9+Europe!AN9</f>
        <v>924.91206185485566</v>
      </c>
      <c r="AO9" s="32">
        <f>'Africa &amp; Middle East'!AP9+Americas!AO9+'Asia Pacific'!AO9+Europe!AO9</f>
        <v>931.38644628783959</v>
      </c>
    </row>
    <row r="10" spans="1:41" x14ac:dyDescent="0.3">
      <c r="A10" s="1" t="s">
        <v>160</v>
      </c>
      <c r="G10" s="15" t="e">
        <f t="shared" ref="G10:L10" si="4">G9/E17</f>
        <v>#DIV/0!</v>
      </c>
      <c r="H10" s="15" t="e">
        <f t="shared" si="4"/>
        <v>#DIV/0!</v>
      </c>
      <c r="I10" s="15">
        <f t="shared" si="4"/>
        <v>4.5532042924480993E-2</v>
      </c>
      <c r="J10" s="15" t="e">
        <f t="shared" si="4"/>
        <v>#DIV/0!</v>
      </c>
      <c r="K10" s="15">
        <f t="shared" si="4"/>
        <v>1.7130144605116797E-2</v>
      </c>
      <c r="L10" s="15" t="e">
        <f t="shared" si="4"/>
        <v>#DIV/0!</v>
      </c>
      <c r="M10" s="15">
        <f>M9/K17</f>
        <v>3.5138486978090119E-3</v>
      </c>
      <c r="O10" s="15">
        <f>O9/M9-1</f>
        <v>6.9999999999996732E-3</v>
      </c>
      <c r="Q10" s="15">
        <f>Q9/O9-1</f>
        <v>6.9999999999998952E-3</v>
      </c>
      <c r="S10" s="15">
        <f>S9/Q9-1</f>
        <v>7.0000000000001172E-3</v>
      </c>
      <c r="U10" s="15">
        <f>U9/S9-1</f>
        <v>7.0000000000001172E-3</v>
      </c>
      <c r="W10" s="15">
        <f>W9/U9-1</f>
        <v>7.0000000000003393E-3</v>
      </c>
      <c r="Y10" s="15">
        <f>Y9/W9-1</f>
        <v>6.9999999999996732E-3</v>
      </c>
      <c r="AF10" s="15"/>
      <c r="AG10" s="15"/>
      <c r="AH10" s="15">
        <f>AH9/AG17</f>
        <v>3.0912385864640693E-2</v>
      </c>
      <c r="AI10" s="15">
        <f>AI9/AH9-1</f>
        <v>6.9999999999998952E-3</v>
      </c>
      <c r="AJ10" s="15">
        <f t="shared" ref="AJ10:AO10" si="5">AJ9/AI9-1</f>
        <v>6.9999999999998952E-3</v>
      </c>
      <c r="AK10" s="15">
        <f t="shared" si="5"/>
        <v>6.9999999999998952E-3</v>
      </c>
      <c r="AL10" s="15">
        <f t="shared" si="5"/>
        <v>6.9999999999998952E-3</v>
      </c>
      <c r="AM10" s="15">
        <f t="shared" si="5"/>
        <v>6.9999999999998952E-3</v>
      </c>
      <c r="AN10" s="15">
        <f t="shared" si="5"/>
        <v>6.9999999999998952E-3</v>
      </c>
      <c r="AO10" s="15">
        <f t="shared" si="5"/>
        <v>6.9999999999998952E-3</v>
      </c>
    </row>
    <row r="11" spans="1:41" x14ac:dyDescent="0.3">
      <c r="A11" t="s">
        <v>158</v>
      </c>
      <c r="I11">
        <v>2422</v>
      </c>
      <c r="K11">
        <v>889</v>
      </c>
      <c r="M11">
        <v>875</v>
      </c>
      <c r="O11" s="32">
        <f>'Africa &amp; Middle East'!O11+Americas!O11+'Asia Pacific'!O11+Europe!O11</f>
        <v>1004.6858919221168</v>
      </c>
      <c r="Q11" s="32">
        <f>'Africa &amp; Middle East'!Q11+Americas!Q11+'Asia Pacific'!Q11+Europe!Q11</f>
        <v>1208.8541642095297</v>
      </c>
      <c r="S11" s="32">
        <f>'Africa &amp; Middle East'!S11+Americas!S11+'Asia Pacific'!S11+Europe!S11</f>
        <v>1454.5130413282411</v>
      </c>
      <c r="U11" s="32">
        <f>'Africa &amp; Middle East'!U11+Americas!U11+'Asia Pacific'!U11+Europe!U11</f>
        <v>1750.0942172286527</v>
      </c>
      <c r="W11" s="32">
        <f>'Africa &amp; Middle East'!W11+Americas!W11+'Asia Pacific'!W11+Europe!W11</f>
        <v>2105.742883275565</v>
      </c>
      <c r="Y11" s="32">
        <f>'Africa &amp; Middle East'!Y11+Americas!Y11+'Asia Pacific'!Y11+Europe!Y11</f>
        <v>2533.6659497764895</v>
      </c>
      <c r="AH11">
        <v>1591</v>
      </c>
      <c r="AI11" s="32">
        <f>'Africa &amp; Middle East'!AJ11+Americas!AI11+'Asia Pacific'!AI11+Europe!AI11</f>
        <v>1927.215027944666</v>
      </c>
      <c r="AJ11" s="32">
        <f>'Africa &amp; Middle East'!AK11+Americas!AJ11+'Asia Pacific'!AJ11+Europe!AJ11</f>
        <v>2318.44978537933</v>
      </c>
      <c r="AK11" s="32">
        <f>'Africa &amp; Middle East'!AL11+Americas!AK11+'Asia Pacific'!AK11+Europe!AK11</f>
        <v>2789.1083157747244</v>
      </c>
      <c r="AL11" s="32">
        <f>'Africa &amp; Middle East'!AM11+Americas!AL11+'Asia Pacific'!AL11+Europe!AL11</f>
        <v>3355.3144965830588</v>
      </c>
      <c r="AM11" s="32">
        <f>'Africa &amp; Middle East'!AN11+Americas!AM11+'Asia Pacific'!AM11+Europe!AM11</f>
        <v>4036.4655701531483</v>
      </c>
      <c r="AN11" s="32">
        <f>'Africa &amp; Middle East'!AO11+Americas!AN11+'Asia Pacific'!AN11+Europe!AN11</f>
        <v>4855.8966902335806</v>
      </c>
      <c r="AO11" s="32">
        <f>'Africa &amp; Middle East'!AP11+Americas!AO11+'Asia Pacific'!AO11+Europe!AO11</f>
        <v>5841.6803841555093</v>
      </c>
    </row>
    <row r="12" spans="1:41" s="1" customFormat="1" x14ac:dyDescent="0.3">
      <c r="A12" s="1" t="s">
        <v>161</v>
      </c>
      <c r="B12" s="11"/>
      <c r="C12" s="11"/>
      <c r="D12" s="11"/>
      <c r="E12" s="11"/>
      <c r="F12" s="11"/>
      <c r="G12" s="11">
        <f t="shared" ref="G12:L12" si="6">(1+G13)*(1+G15)-1</f>
        <v>0</v>
      </c>
      <c r="H12" s="11">
        <f t="shared" si="6"/>
        <v>0</v>
      </c>
      <c r="I12" s="11">
        <f t="shared" si="6"/>
        <v>0</v>
      </c>
      <c r="J12" s="11">
        <f t="shared" si="6"/>
        <v>0</v>
      </c>
      <c r="K12" s="11">
        <f>K11/I17</f>
        <v>6.5925101965146463E-2</v>
      </c>
      <c r="L12" s="11">
        <f t="shared" si="6"/>
        <v>0</v>
      </c>
      <c r="M12" s="11">
        <f>M11/K17</f>
        <v>6.0286619815350696E-2</v>
      </c>
      <c r="O12" s="15">
        <f>O11/M11-1</f>
        <v>0.14821244791099053</v>
      </c>
      <c r="Q12" s="15">
        <f>Q11/O11-1</f>
        <v>0.20321602396228333</v>
      </c>
      <c r="S12" s="15">
        <f>S11/Q11-1</f>
        <v>0.2032163054832572</v>
      </c>
      <c r="U12" s="15">
        <f>U11/S11-1</f>
        <v>0.20321658692760214</v>
      </c>
      <c r="W12" s="15">
        <f>W11/U11-1</f>
        <v>0.20321686829529484</v>
      </c>
      <c r="Y12" s="15">
        <f>Y11/W11-1</f>
        <v>0.20321714958631309</v>
      </c>
      <c r="AE12" s="11"/>
      <c r="AF12" s="11"/>
      <c r="AG12" s="11"/>
      <c r="AH12" s="11">
        <f>AH11/AG17</f>
        <v>5.5447131804558444E-2</v>
      </c>
      <c r="AI12" s="15">
        <f>AI11/AH11-1</f>
        <v>0.21132308481751472</v>
      </c>
      <c r="AJ12" s="15">
        <f t="shared" ref="AJ12:AO12" si="7">AJ11/AI11-1</f>
        <v>0.20300524423157262</v>
      </c>
      <c r="AK12" s="15">
        <f t="shared" si="7"/>
        <v>0.20300570379547311</v>
      </c>
      <c r="AL12" s="15">
        <f t="shared" si="7"/>
        <v>0.20300616423032691</v>
      </c>
      <c r="AM12" s="15">
        <f t="shared" si="7"/>
        <v>0.20300662553800874</v>
      </c>
      <c r="AN12" s="15">
        <f t="shared" si="7"/>
        <v>0.20300708772039444</v>
      </c>
      <c r="AO12" s="15">
        <f t="shared" si="7"/>
        <v>0.20300755077936183</v>
      </c>
    </row>
    <row r="13" spans="1:41" x14ac:dyDescent="0.3">
      <c r="A13" s="20" t="s">
        <v>162</v>
      </c>
      <c r="M13" s="11"/>
      <c r="O13" s="15"/>
      <c r="Q13" s="15"/>
      <c r="S13" s="15"/>
      <c r="U13" s="15"/>
      <c r="W13" s="15"/>
      <c r="Y13" s="15"/>
      <c r="AI13" s="15"/>
      <c r="AJ13" s="15"/>
      <c r="AK13" s="15"/>
      <c r="AL13" s="15"/>
      <c r="AM13" s="15"/>
      <c r="AN13" s="15"/>
      <c r="AO13" s="15"/>
    </row>
    <row r="14" spans="1:41" x14ac:dyDescent="0.3">
      <c r="A14" s="20"/>
    </row>
    <row r="15" spans="1:41" s="1" customFormat="1" x14ac:dyDescent="0.3">
      <c r="A15" s="20" t="s">
        <v>163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O15" s="28"/>
      <c r="Q15" s="28"/>
      <c r="S15" s="28"/>
      <c r="U15" s="28"/>
      <c r="W15" s="28"/>
      <c r="Y15" s="28"/>
      <c r="AE15" s="11"/>
      <c r="AF15" s="11"/>
      <c r="AG15" s="11"/>
      <c r="AH15" s="11"/>
      <c r="AI15" s="28"/>
      <c r="AJ15" s="28"/>
      <c r="AK15" s="28"/>
      <c r="AL15" s="28"/>
      <c r="AM15" s="28"/>
      <c r="AN15" s="28"/>
      <c r="AO15" s="28"/>
    </row>
    <row r="16" spans="1:41" s="1" customFormat="1" x14ac:dyDescent="0.3">
      <c r="A16" s="20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AE16" s="11"/>
      <c r="AF16" s="11"/>
      <c r="AG16" s="11"/>
      <c r="AH16" s="11"/>
    </row>
    <row r="17" spans="1:41" x14ac:dyDescent="0.3">
      <c r="A17" s="3"/>
      <c r="G17">
        <v>9971</v>
      </c>
      <c r="I17">
        <v>13485</v>
      </c>
      <c r="K17">
        <v>14514</v>
      </c>
      <c r="M17" s="4">
        <f>M6+M7+M9+M11</f>
        <v>14815</v>
      </c>
      <c r="O17" s="4">
        <f>O6+O7+O9+O11</f>
        <v>15432.842891922115</v>
      </c>
      <c r="Q17" s="4">
        <f>Q6+Q7+Q9+Q11</f>
        <v>16386.673555131645</v>
      </c>
      <c r="S17" s="4">
        <f>S6+S7+S9+S11</f>
        <v>17678.547110952884</v>
      </c>
      <c r="U17" s="4">
        <f>U6+U7+U9+U11</f>
        <v>19330.78179227599</v>
      </c>
      <c r="W17" s="4">
        <f>W6+W7+W9+W11</f>
        <v>21384.123021094667</v>
      </c>
      <c r="Y17" s="4">
        <f>Y6+Y7+Y9+Y11</f>
        <v>23897.320533573071</v>
      </c>
      <c r="AG17">
        <v>28694</v>
      </c>
      <c r="AH17">
        <f>AH6+AH7+AH9+AH11</f>
        <v>30308</v>
      </c>
      <c r="AI17" s="34">
        <f>AI6+AI7+AI9+AI11</f>
        <v>32523.624027944665</v>
      </c>
      <c r="AJ17" s="34">
        <f t="shared" ref="AJ17:AO17" si="8">AJ6+AJ7+AJ9+AJ11</f>
        <v>35318.175276323993</v>
      </c>
      <c r="AK17" s="34">
        <f t="shared" si="8"/>
        <v>38716.689285339722</v>
      </c>
      <c r="AL17" s="34">
        <f t="shared" si="8"/>
        <v>42776.655379016469</v>
      </c>
      <c r="AM17" s="34">
        <f t="shared" si="8"/>
        <v>47586.391152242955</v>
      </c>
      <c r="AN17" s="34">
        <f t="shared" si="8"/>
        <v>53265.551168331389</v>
      </c>
      <c r="AO17" s="34">
        <f t="shared" si="8"/>
        <v>59967.463883574739</v>
      </c>
    </row>
    <row r="18" spans="1:41" x14ac:dyDescent="0.3">
      <c r="M18" s="15">
        <f>M17/K17-1</f>
        <v>2.0738597216480636E-2</v>
      </c>
    </row>
    <row r="19" spans="1:41" x14ac:dyDescent="0.3">
      <c r="M19" s="15"/>
    </row>
    <row r="20" spans="1:41" s="26" customFormat="1" x14ac:dyDescent="0.3">
      <c r="A20" s="23" t="s">
        <v>170</v>
      </c>
      <c r="B20" s="24"/>
      <c r="C20" s="24"/>
      <c r="D20" s="24"/>
      <c r="E20" s="24"/>
      <c r="F20" s="24"/>
      <c r="G20" s="24"/>
      <c r="H20" s="24"/>
      <c r="I20" s="24"/>
      <c r="J20" s="24"/>
      <c r="K20" s="25"/>
      <c r="L20" s="24"/>
      <c r="M20" s="25">
        <f>M17/M51</f>
        <v>110.89071856287426</v>
      </c>
      <c r="AE20" s="24"/>
      <c r="AF20" s="24"/>
      <c r="AG20" s="24"/>
      <c r="AH20" s="24"/>
    </row>
    <row r="21" spans="1:41" s="26" customFormat="1" x14ac:dyDescent="0.3">
      <c r="A21" s="23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AE21" s="24"/>
      <c r="AF21" s="24"/>
      <c r="AG21" s="24"/>
      <c r="AH21" s="24"/>
    </row>
    <row r="22" spans="1:41" s="1" customFormat="1" x14ac:dyDescent="0.3">
      <c r="A22" s="20" t="s">
        <v>164</v>
      </c>
      <c r="B22" s="11"/>
      <c r="C22" s="11"/>
      <c r="D22" s="11"/>
      <c r="E22" s="19"/>
      <c r="F22" s="19"/>
      <c r="G22" s="19">
        <v>109.9</v>
      </c>
      <c r="H22" s="11"/>
      <c r="I22" s="19">
        <v>126.9</v>
      </c>
      <c r="J22" s="11"/>
      <c r="K22" s="19">
        <v>120.1</v>
      </c>
      <c r="L22" s="11"/>
      <c r="M22" s="19">
        <f>K22+M24+M26+M28</f>
        <v>118.3</v>
      </c>
      <c r="O22" s="19">
        <f>'Africa &amp; Middle East'!O22+Americas!O22+'Asia Pacific'!O22+Europe!O22</f>
        <v>119.0274</v>
      </c>
      <c r="Q22" s="19">
        <f>'Africa &amp; Middle East'!Q22+Americas!Q22+'Asia Pacific'!Q22+Europe!Q22</f>
        <v>119.86059180000001</v>
      </c>
      <c r="S22" s="19">
        <f>'Africa &amp; Middle East'!S22+Americas!S22+'Asia Pacific'!S22+Europe!S22</f>
        <v>120.6996159426</v>
      </c>
      <c r="U22" s="19">
        <f>'Africa &amp; Middle East'!U22+Americas!U22+'Asia Pacific'!U22+Europe!U22</f>
        <v>121.54451325419819</v>
      </c>
      <c r="W22" s="19">
        <f>'Africa &amp; Middle East'!W22+Americas!W22+'Asia Pacific'!W22+Europe!W22</f>
        <v>122.39532484697759</v>
      </c>
      <c r="Y22" s="19">
        <f>'Africa &amp; Middle East'!Y22+Americas!Y22+'Asia Pacific'!Y22+Europe!Y22</f>
        <v>123.25209212090644</v>
      </c>
      <c r="AE22" s="11"/>
      <c r="AF22" s="19"/>
      <c r="AG22" s="19">
        <v>256.89999999999998</v>
      </c>
      <c r="AH22" s="19">
        <v>242.6</v>
      </c>
      <c r="AI22">
        <f>'Africa &amp; Middle East'!AJ22+Americas!AI22+'Asia Pacific'!AI22+Europe!AI22</f>
        <v>244.29820000000001</v>
      </c>
      <c r="AJ22">
        <f>'Africa &amp; Middle East'!AK22+Americas!AJ22+'Asia Pacific'!AJ22+Europe!AJ22</f>
        <v>246.00828740000003</v>
      </c>
      <c r="AK22">
        <f>'Africa &amp; Middle East'!AL22+Americas!AK22+'Asia Pacific'!AK22+Europe!AK22</f>
        <v>247.73034541179999</v>
      </c>
      <c r="AL22">
        <f>'Africa &amp; Middle East'!AM22+Americas!AL22+'Asia Pacific'!AL22+Europe!AL22</f>
        <v>249.46445782968257</v>
      </c>
      <c r="AM22">
        <f>'Africa &amp; Middle East'!AN22+Americas!AM22+'Asia Pacific'!AM22+Europe!AM22</f>
        <v>251.21070903449035</v>
      </c>
      <c r="AN22">
        <f>'Africa &amp; Middle East'!AO22+Americas!AN22+'Asia Pacific'!AN22+Europe!AN22</f>
        <v>252.96918399773176</v>
      </c>
      <c r="AO22">
        <f>'Africa &amp; Middle East'!AP22+Americas!AO22+'Asia Pacific'!AO22+Europe!AO22</f>
        <v>254.73996828571589</v>
      </c>
    </row>
    <row r="23" spans="1:41" s="1" customFormat="1" x14ac:dyDescent="0.3">
      <c r="A23" s="20"/>
      <c r="B23" s="11"/>
      <c r="C23" s="11"/>
      <c r="D23" s="11"/>
      <c r="E23" s="11"/>
      <c r="F23" s="11"/>
      <c r="G23" s="15" t="e">
        <f t="shared" ref="G23:L23" si="9">G22/E22-1</f>
        <v>#DIV/0!</v>
      </c>
      <c r="H23" s="15" t="e">
        <f t="shared" si="9"/>
        <v>#DIV/0!</v>
      </c>
      <c r="I23" s="15">
        <f t="shared" si="9"/>
        <v>0.15468607825295733</v>
      </c>
      <c r="J23" s="15" t="e">
        <f t="shared" si="9"/>
        <v>#DIV/0!</v>
      </c>
      <c r="K23" s="15">
        <f t="shared" si="9"/>
        <v>-5.358550039401111E-2</v>
      </c>
      <c r="L23" s="15" t="e">
        <f t="shared" si="9"/>
        <v>#DIV/0!</v>
      </c>
      <c r="M23" s="15">
        <f>M22/K22-1</f>
        <v>-1.4987510407993287E-2</v>
      </c>
      <c r="AE23" s="11"/>
      <c r="AF23" s="11"/>
      <c r="AG23" s="11"/>
      <c r="AH23" s="11"/>
    </row>
    <row r="24" spans="1:41" s="1" customFormat="1" x14ac:dyDescent="0.3">
      <c r="A24" s="27" t="s">
        <v>138</v>
      </c>
      <c r="B24" s="11"/>
      <c r="C24" s="11"/>
      <c r="D24" s="11"/>
      <c r="E24" s="19"/>
      <c r="F24" s="19"/>
      <c r="G24" s="19"/>
      <c r="H24" s="19"/>
      <c r="I24" s="19">
        <v>0</v>
      </c>
      <c r="J24" s="11"/>
      <c r="K24" s="19">
        <v>0</v>
      </c>
      <c r="L24" s="11"/>
      <c r="M24" s="19">
        <v>0</v>
      </c>
      <c r="O24">
        <f>'Africa &amp; Middle East'!O24+Americas!O24+'Asia Pacific'!O24+Europe!O24</f>
        <v>0</v>
      </c>
      <c r="Q24">
        <f>'Africa &amp; Middle East'!Q24+Americas!Q24+'Asia Pacific'!Q24+Europe!Q24</f>
        <v>0</v>
      </c>
      <c r="S24">
        <f>'Africa &amp; Middle East'!S24+Americas!S24+'Asia Pacific'!S24+Europe!S24</f>
        <v>0</v>
      </c>
      <c r="U24">
        <f>'Africa &amp; Middle East'!U24+Americas!U24+'Asia Pacific'!U24+Europe!U24</f>
        <v>0</v>
      </c>
      <c r="W24">
        <f>'Africa &amp; Middle East'!W24+Americas!W24+'Asia Pacific'!W24+Europe!W24</f>
        <v>0</v>
      </c>
      <c r="Y24">
        <f>'Africa &amp; Middle East'!Y24+Americas!Y24+'Asia Pacific'!Y24+Europe!Y24</f>
        <v>0</v>
      </c>
      <c r="AE24" s="11"/>
      <c r="AF24" s="19"/>
      <c r="AG24" s="19"/>
      <c r="AH24" s="19">
        <v>0</v>
      </c>
      <c r="AI24">
        <f>'Africa &amp; Middle East'!AJ24+Americas!AI24+'Asia Pacific'!AI24+Europe!AI24</f>
        <v>0</v>
      </c>
      <c r="AJ24">
        <f>'Africa &amp; Middle East'!AK24+Americas!AJ24+'Asia Pacific'!AJ24+Europe!AJ24</f>
        <v>0</v>
      </c>
      <c r="AK24">
        <f>'Africa &amp; Middle East'!AL24+Americas!AK24+'Asia Pacific'!AK24+Europe!AK24</f>
        <v>0</v>
      </c>
      <c r="AL24">
        <f>'Africa &amp; Middle East'!AM24+Americas!AL24+'Asia Pacific'!AL24+Europe!AL24</f>
        <v>0</v>
      </c>
      <c r="AM24">
        <f>'Africa &amp; Middle East'!AN24+Americas!AM24+'Asia Pacific'!AM24+Europe!AM24</f>
        <v>0</v>
      </c>
      <c r="AN24">
        <f>'Africa &amp; Middle East'!AO24+Americas!AN24+'Asia Pacific'!AN24+Europe!AN24</f>
        <v>0</v>
      </c>
      <c r="AO24">
        <f>'Africa &amp; Middle East'!AP24+Americas!AO24+'Asia Pacific'!AO24+Europe!AO24</f>
        <v>0</v>
      </c>
    </row>
    <row r="25" spans="1:41" s="1" customFormat="1" x14ac:dyDescent="0.3">
      <c r="A25" s="20" t="s">
        <v>159</v>
      </c>
      <c r="B25" s="11"/>
      <c r="C25" s="11"/>
      <c r="D25" s="11"/>
      <c r="E25" s="11"/>
      <c r="F25" s="11"/>
      <c r="G25" s="15" t="e">
        <f t="shared" ref="G25:L25" si="10">G24/E22</f>
        <v>#DIV/0!</v>
      </c>
      <c r="H25" s="15" t="e">
        <f t="shared" si="10"/>
        <v>#DIV/0!</v>
      </c>
      <c r="I25" s="15">
        <f t="shared" si="10"/>
        <v>0</v>
      </c>
      <c r="J25" s="15" t="e">
        <f t="shared" si="10"/>
        <v>#DIV/0!</v>
      </c>
      <c r="K25" s="15">
        <f t="shared" si="10"/>
        <v>0</v>
      </c>
      <c r="L25" s="15" t="e">
        <f t="shared" si="10"/>
        <v>#DIV/0!</v>
      </c>
      <c r="M25" s="15">
        <f>M24/K22</f>
        <v>0</v>
      </c>
      <c r="O25" s="30">
        <v>0</v>
      </c>
      <c r="Q25" s="30">
        <v>0</v>
      </c>
      <c r="S25" s="30">
        <v>0</v>
      </c>
      <c r="U25" s="30">
        <v>0</v>
      </c>
      <c r="W25" s="30">
        <v>0</v>
      </c>
      <c r="Y25" s="30">
        <v>0</v>
      </c>
      <c r="AE25" s="11"/>
      <c r="AF25" s="11"/>
      <c r="AG25" s="11"/>
      <c r="AH25" s="11">
        <f>AH24/AG22</f>
        <v>0</v>
      </c>
      <c r="AI25" s="30">
        <v>0</v>
      </c>
      <c r="AJ25" s="30">
        <v>0</v>
      </c>
      <c r="AK25" s="30">
        <v>0</v>
      </c>
      <c r="AL25" s="30">
        <v>0</v>
      </c>
      <c r="AM25" s="30">
        <v>0</v>
      </c>
      <c r="AN25" s="30">
        <v>0</v>
      </c>
      <c r="AO25" s="30">
        <v>0</v>
      </c>
    </row>
    <row r="26" spans="1:41" s="1" customFormat="1" x14ac:dyDescent="0.3">
      <c r="A26" t="s">
        <v>139</v>
      </c>
      <c r="B26" s="11"/>
      <c r="C26" s="11"/>
      <c r="D26" s="11"/>
      <c r="E26" s="19"/>
      <c r="F26" s="19"/>
      <c r="G26" s="19"/>
      <c r="H26" s="19"/>
      <c r="I26" s="19">
        <v>8.6</v>
      </c>
      <c r="J26" s="11"/>
      <c r="K26" s="19">
        <v>0.3</v>
      </c>
      <c r="L26" s="11"/>
      <c r="M26" s="19">
        <v>-4.3</v>
      </c>
      <c r="O26" s="19">
        <f>'Africa &amp; Middle East'!O26+Americas!O26+'Asia Pacific'!O26+Europe!O26</f>
        <v>0.59099999999999997</v>
      </c>
      <c r="Q26" s="19">
        <f>'Africa &amp; Middle East'!Q26+Americas!Q26+'Asia Pacific'!Q26+Europe!Q26</f>
        <v>0.59513700000000003</v>
      </c>
      <c r="S26" s="19">
        <f>'Africa &amp; Middle East'!S26+Americas!S26+'Asia Pacific'!S26+Europe!S26</f>
        <v>0.59930295900000008</v>
      </c>
      <c r="U26" s="19">
        <f>'Africa &amp; Middle East'!U26+Americas!U26+'Asia Pacific'!U26+Europe!U26</f>
        <v>0.60349807971300007</v>
      </c>
      <c r="W26" s="19">
        <f>'Africa &amp; Middle East'!W26+Americas!W26+'Asia Pacific'!W26+Europe!W26</f>
        <v>0.60772256627099108</v>
      </c>
      <c r="Y26" s="19">
        <f>'Africa &amp; Middle East'!Y26+Americas!Y26+'Asia Pacific'!Y26+Europe!Y26</f>
        <v>0.61197662423488808</v>
      </c>
      <c r="AE26" s="11"/>
      <c r="AF26" s="19"/>
      <c r="AG26" s="19"/>
      <c r="AH26" s="19">
        <v>-2.4</v>
      </c>
      <c r="AI26">
        <f>'Africa &amp; Middle East'!AJ26+Americas!AI26+'Asia Pacific'!AI26+Europe!AI26</f>
        <v>1.2130000000000001</v>
      </c>
      <c r="AJ26">
        <f>'Africa &amp; Middle East'!AK26+Americas!AJ26+'Asia Pacific'!AJ26+Europe!AJ26</f>
        <v>1.2214909999999999</v>
      </c>
      <c r="AK26">
        <f>'Africa &amp; Middle East'!AL26+Americas!AK26+'Asia Pacific'!AK26+Europe!AK26</f>
        <v>1.2300414369999999</v>
      </c>
      <c r="AL26">
        <f>'Africa &amp; Middle East'!AM26+Americas!AL26+'Asia Pacific'!AL26+Europe!AL26</f>
        <v>1.2386517270590001</v>
      </c>
      <c r="AM26">
        <f>'Africa &amp; Middle East'!AN26+Americas!AM26+'Asia Pacific'!AM26+Europe!AM26</f>
        <v>1.247322289148413</v>
      </c>
      <c r="AN26">
        <f>'Africa &amp; Middle East'!AO26+Americas!AN26+'Asia Pacific'!AN26+Europe!AN26</f>
        <v>1.2560535451724517</v>
      </c>
      <c r="AO26">
        <f>'Africa &amp; Middle East'!AP26+Americas!AO26+'Asia Pacific'!AO26+Europe!AO26</f>
        <v>1.2648459199886588</v>
      </c>
    </row>
    <row r="27" spans="1:41" s="1" customFormat="1" x14ac:dyDescent="0.3">
      <c r="A27" s="20" t="s">
        <v>160</v>
      </c>
      <c r="B27" s="11"/>
      <c r="C27" s="11"/>
      <c r="D27" s="11"/>
      <c r="E27" s="11"/>
      <c r="F27" s="11"/>
      <c r="G27" s="15" t="e">
        <f t="shared" ref="G27:L27" si="11">G26/E22</f>
        <v>#DIV/0!</v>
      </c>
      <c r="H27" s="15" t="e">
        <f t="shared" si="11"/>
        <v>#DIV/0!</v>
      </c>
      <c r="I27" s="15">
        <f t="shared" si="11"/>
        <v>7.8252957233848952E-2</v>
      </c>
      <c r="J27" s="15" t="e">
        <f t="shared" si="11"/>
        <v>#DIV/0!</v>
      </c>
      <c r="K27" s="15">
        <f t="shared" si="11"/>
        <v>2.3640661938534278E-3</v>
      </c>
      <c r="L27" s="15" t="e">
        <f t="shared" si="11"/>
        <v>#DIV/0!</v>
      </c>
      <c r="M27" s="15">
        <f>M26/K22</f>
        <v>-3.5803497085761866E-2</v>
      </c>
      <c r="O27" s="31">
        <v>2E-3</v>
      </c>
      <c r="Q27" s="31">
        <v>2E-3</v>
      </c>
      <c r="S27" s="31">
        <v>2E-3</v>
      </c>
      <c r="U27" s="31">
        <v>2E-3</v>
      </c>
      <c r="W27" s="31">
        <v>2E-3</v>
      </c>
      <c r="Y27" s="31">
        <v>2E-3</v>
      </c>
      <c r="AE27" s="11"/>
      <c r="AF27" s="11"/>
      <c r="AG27" s="11"/>
      <c r="AH27" s="11">
        <f>AH26/AG22</f>
        <v>-9.3421564811210587E-3</v>
      </c>
      <c r="AI27" s="31">
        <v>2E-3</v>
      </c>
      <c r="AJ27" s="31">
        <v>2E-3</v>
      </c>
      <c r="AK27" s="31">
        <v>2E-3</v>
      </c>
      <c r="AL27" s="31">
        <v>2E-3</v>
      </c>
      <c r="AM27" s="31">
        <v>2E-3</v>
      </c>
      <c r="AN27" s="31">
        <v>2E-3</v>
      </c>
      <c r="AO27" s="31">
        <v>2E-3</v>
      </c>
    </row>
    <row r="28" spans="1:41" s="1" customFormat="1" x14ac:dyDescent="0.3">
      <c r="A28" t="s">
        <v>158</v>
      </c>
      <c r="B28" s="11"/>
      <c r="C28" s="11"/>
      <c r="D28" s="11"/>
      <c r="E28" s="19"/>
      <c r="F28" s="19"/>
      <c r="G28" s="19"/>
      <c r="H28" s="19"/>
      <c r="I28" s="19">
        <v>8.4</v>
      </c>
      <c r="J28" s="11"/>
      <c r="K28" s="19">
        <v>-7.1</v>
      </c>
      <c r="L28" s="11"/>
      <c r="M28" s="19">
        <v>2.5</v>
      </c>
      <c r="O28" s="19">
        <f>'Africa &amp; Middle East'!O28+Americas!O28+'Asia Pacific'!O28+Europe!O28</f>
        <v>0.2364</v>
      </c>
      <c r="Q28" s="19">
        <f>'Africa &amp; Middle East'!Q28+Americas!Q28+'Asia Pacific'!Q28+Europe!Q28</f>
        <v>0.23805480000000001</v>
      </c>
      <c r="S28" s="19">
        <f>'Africa &amp; Middle East'!S28+Americas!S28+'Asia Pacific'!S28+Europe!S28</f>
        <v>0.23972118360000003</v>
      </c>
      <c r="U28" s="19">
        <f>'Africa &amp; Middle East'!U28+Americas!U28+'Asia Pacific'!U28+Europe!U28</f>
        <v>0.24139923188520002</v>
      </c>
      <c r="W28" s="19">
        <f>'Africa &amp; Middle East'!W28+Americas!W28+'Asia Pacific'!W28+Europe!W28</f>
        <v>0.24308902650839642</v>
      </c>
      <c r="Y28" s="19">
        <f>'Africa &amp; Middle East'!Y28+Americas!Y28+'Asia Pacific'!Y28+Europe!Y28</f>
        <v>0.2447906496939552</v>
      </c>
      <c r="AE28" s="11"/>
      <c r="AF28" s="19"/>
      <c r="AG28" s="19"/>
      <c r="AH28" s="19">
        <v>-12</v>
      </c>
      <c r="AI28">
        <f>'Africa &amp; Middle East'!AJ28+Americas!AI28+'Asia Pacific'!AI28+Europe!AI28</f>
        <v>0.48520000000000008</v>
      </c>
      <c r="AJ28">
        <f>'Africa &amp; Middle East'!AK28+Americas!AJ28+'Asia Pacific'!AJ28+Europe!AJ28</f>
        <v>0.48859640000000004</v>
      </c>
      <c r="AK28">
        <f>'Africa &amp; Middle East'!AL28+Americas!AK28+'Asia Pacific'!AK28+Europe!AK28</f>
        <v>0.49201657480000005</v>
      </c>
      <c r="AL28">
        <f>'Africa &amp; Middle East'!AM28+Americas!AL28+'Asia Pacific'!AL28+Europe!AL28</f>
        <v>0.4954606908236</v>
      </c>
      <c r="AM28">
        <f>'Africa &amp; Middle East'!AN28+Americas!AM28+'Asia Pacific'!AM28+Europe!AM28</f>
        <v>0.49892891565936515</v>
      </c>
      <c r="AN28">
        <f>'Africa &amp; Middle East'!AO28+Americas!AN28+'Asia Pacific'!AN28+Europe!AN28</f>
        <v>0.50242141806898077</v>
      </c>
      <c r="AO28">
        <f>'Africa &amp; Middle East'!AP28+Americas!AO28+'Asia Pacific'!AO28+Europe!AO28</f>
        <v>0.50593836799546354</v>
      </c>
    </row>
    <row r="29" spans="1:41" s="1" customFormat="1" x14ac:dyDescent="0.3">
      <c r="A29" s="20" t="s">
        <v>161</v>
      </c>
      <c r="B29" s="11"/>
      <c r="C29" s="11"/>
      <c r="D29" s="11"/>
      <c r="E29" s="11"/>
      <c r="F29" s="11"/>
      <c r="G29" s="11" t="e">
        <f t="shared" ref="G29:L29" si="12">G28/E22</f>
        <v>#DIV/0!</v>
      </c>
      <c r="H29" s="11" t="e">
        <f t="shared" si="12"/>
        <v>#DIV/0!</v>
      </c>
      <c r="I29" s="11">
        <f t="shared" si="12"/>
        <v>7.6433121019108277E-2</v>
      </c>
      <c r="J29" s="11" t="e">
        <f t="shared" si="12"/>
        <v>#DIV/0!</v>
      </c>
      <c r="K29" s="11">
        <f t="shared" si="12"/>
        <v>-5.5949566587864458E-2</v>
      </c>
      <c r="L29" s="11" t="e">
        <f t="shared" si="12"/>
        <v>#DIV/0!</v>
      </c>
      <c r="M29" s="11">
        <f>M28/K22</f>
        <v>2.0815986677768527E-2</v>
      </c>
      <c r="O29" s="31">
        <v>2E-3</v>
      </c>
      <c r="Q29" s="31">
        <v>2E-3</v>
      </c>
      <c r="S29" s="31">
        <v>2E-3</v>
      </c>
      <c r="U29" s="31">
        <v>2E-3</v>
      </c>
      <c r="W29" s="31">
        <v>2E-3</v>
      </c>
      <c r="Y29" s="31">
        <v>2E-3</v>
      </c>
      <c r="AE29" s="11"/>
      <c r="AF29" s="11"/>
      <c r="AG29" s="11"/>
      <c r="AH29" s="11">
        <f>AH28/AG22</f>
        <v>-4.6710782405605299E-2</v>
      </c>
      <c r="AI29" s="31">
        <v>2E-3</v>
      </c>
      <c r="AJ29" s="31">
        <v>2E-3</v>
      </c>
      <c r="AK29" s="31">
        <v>2E-3</v>
      </c>
      <c r="AL29" s="31">
        <v>2E-3</v>
      </c>
      <c r="AM29" s="31">
        <v>2E-3</v>
      </c>
      <c r="AN29" s="31">
        <v>2E-3</v>
      </c>
      <c r="AO29" s="31">
        <v>2E-3</v>
      </c>
    </row>
    <row r="30" spans="1:41" s="1" customFormat="1" x14ac:dyDescent="0.3">
      <c r="A30" s="20"/>
      <c r="B30" s="11"/>
      <c r="C30" s="11"/>
      <c r="D30" s="11"/>
      <c r="E30" s="11"/>
      <c r="F30" s="11"/>
      <c r="G30" s="11"/>
      <c r="H30" s="11"/>
      <c r="I30" s="11"/>
      <c r="J30" s="11"/>
      <c r="K30" s="19"/>
      <c r="L30" s="11"/>
      <c r="M30" s="19"/>
      <c r="AE30" s="11"/>
      <c r="AF30" s="11"/>
      <c r="AG30" s="11"/>
      <c r="AH30" s="11"/>
    </row>
    <row r="31" spans="1:41" s="1" customFormat="1" x14ac:dyDescent="0.3">
      <c r="A31" s="20" t="s">
        <v>165</v>
      </c>
      <c r="B31" s="11"/>
      <c r="C31" s="11"/>
      <c r="D31" s="11"/>
      <c r="E31" s="19"/>
      <c r="F31" s="19"/>
      <c r="G31" s="19">
        <v>12.1</v>
      </c>
      <c r="H31" s="19"/>
      <c r="I31" s="19">
        <v>11.5</v>
      </c>
      <c r="J31" s="11"/>
      <c r="K31" s="19">
        <v>11.2</v>
      </c>
      <c r="L31" s="11"/>
      <c r="M31" s="19">
        <f>K31+M33+M35+M37</f>
        <v>11.499999999999998</v>
      </c>
      <c r="O31" s="19">
        <f>'Africa &amp; Middle East'!O31+Americas!O31+'Asia Pacific'!O31+Europe!O31</f>
        <v>11.504370799999998</v>
      </c>
      <c r="Q31" s="19">
        <f>'Africa &amp; Middle East'!Q31+Americas!Q31+'Asia Pacific'!Q31+Europe!Q31</f>
        <v>11.584901395599998</v>
      </c>
      <c r="S31" s="19">
        <f>'Africa &amp; Middle East'!S31+Americas!S31+'Asia Pacific'!S31+Europe!S31</f>
        <v>11.665995705369198</v>
      </c>
      <c r="U31" s="19">
        <f>'Africa &amp; Middle East'!U31+Americas!U31+'Asia Pacific'!U31+Europe!U31</f>
        <v>11.747657675306783</v>
      </c>
      <c r="W31" s="19">
        <f>'Africa &amp; Middle East'!W31+Americas!W31+'Asia Pacific'!W31+Europe!W31</f>
        <v>11.829891279033928</v>
      </c>
      <c r="Y31" s="19">
        <f>'Africa &amp; Middle East'!Y31+Americas!Y31+'Asia Pacific'!Y31+Europe!Y31</f>
        <v>11.912700517987167</v>
      </c>
      <c r="AE31" s="11"/>
      <c r="AF31" s="11"/>
      <c r="AG31" s="19">
        <v>23.6</v>
      </c>
      <c r="AH31" s="19">
        <v>25</v>
      </c>
      <c r="AI31">
        <f>'Africa &amp; Middle East'!AJ31+Americas!AI31+'Asia Pacific'!AI31+Europe!AI31</f>
        <v>25.175000000000004</v>
      </c>
      <c r="AJ31">
        <f>'Africa &amp; Middle East'!AK31+Americas!AJ31+'Asia Pacific'!AJ31+Europe!AJ31</f>
        <v>25.351224999999999</v>
      </c>
      <c r="AK31">
        <f>'Africa &amp; Middle East'!AL31+Americas!AK31+'Asia Pacific'!AK31+Europe!AK31</f>
        <v>25.528683575000002</v>
      </c>
      <c r="AL31">
        <f>'Africa &amp; Middle East'!AM31+Americas!AL31+'Asia Pacific'!AL31+Europe!AL31</f>
        <v>25.707384360024996</v>
      </c>
      <c r="AM31">
        <f>'Africa &amp; Middle East'!AN31+Americas!AM31+'Asia Pacific'!AM31+Europe!AM31</f>
        <v>25.887336050545176</v>
      </c>
      <c r="AN31">
        <f>'Africa &amp; Middle East'!AO31+Americas!AN31+'Asia Pacific'!AN31+Europe!AN31</f>
        <v>26.068547402898993</v>
      </c>
      <c r="AO31">
        <f>'Africa &amp; Middle East'!AP31+Americas!AO31+'Asia Pacific'!AO31+Europe!AO31</f>
        <v>26.251027234719285</v>
      </c>
    </row>
    <row r="32" spans="1:41" s="1" customFormat="1" x14ac:dyDescent="0.3">
      <c r="A32" s="20"/>
      <c r="B32" s="11"/>
      <c r="C32" s="11"/>
      <c r="D32" s="11"/>
      <c r="E32" s="11"/>
      <c r="F32" s="11"/>
      <c r="G32" s="15" t="e">
        <f t="shared" ref="G32:L32" si="13">G31/E31-1</f>
        <v>#DIV/0!</v>
      </c>
      <c r="H32" s="15" t="e">
        <f t="shared" si="13"/>
        <v>#DIV/0!</v>
      </c>
      <c r="I32" s="15">
        <f t="shared" si="13"/>
        <v>-4.9586776859504078E-2</v>
      </c>
      <c r="J32" s="15" t="e">
        <f t="shared" si="13"/>
        <v>#DIV/0!</v>
      </c>
      <c r="K32" s="15">
        <f t="shared" si="13"/>
        <v>-2.6086956521739202E-2</v>
      </c>
      <c r="L32" s="15" t="e">
        <f t="shared" si="13"/>
        <v>#DIV/0!</v>
      </c>
      <c r="M32" s="15">
        <f>M31/K31-1</f>
        <v>2.6785714285714191E-2</v>
      </c>
      <c r="AE32" s="11"/>
      <c r="AF32" s="11"/>
      <c r="AG32" s="11"/>
      <c r="AH32" s="11"/>
    </row>
    <row r="33" spans="1:41" s="1" customFormat="1" x14ac:dyDescent="0.3">
      <c r="A33" s="27" t="s">
        <v>138</v>
      </c>
      <c r="B33" s="11"/>
      <c r="C33" s="11"/>
      <c r="D33" s="11"/>
      <c r="E33" s="19"/>
      <c r="F33" s="19"/>
      <c r="G33" s="19"/>
      <c r="H33" s="19"/>
      <c r="I33" s="19">
        <v>0</v>
      </c>
      <c r="J33" s="11"/>
      <c r="K33" s="19">
        <v>0</v>
      </c>
      <c r="L33" s="11"/>
      <c r="M33" s="19">
        <v>0</v>
      </c>
      <c r="O33">
        <f>'Africa &amp; Middle East'!O33+Americas!O33+'Asia Pacific'!O33+Europe!O33</f>
        <v>0</v>
      </c>
      <c r="Q33">
        <f>'Africa &amp; Middle East'!Q33+Americas!Q33+'Asia Pacific'!Q33+Europe!Q33</f>
        <v>0</v>
      </c>
      <c r="S33">
        <f>'Africa &amp; Middle East'!S33+Americas!S33+'Asia Pacific'!S33+Europe!S33</f>
        <v>0</v>
      </c>
      <c r="U33">
        <f>'Africa &amp; Middle East'!U33+Americas!U33+'Asia Pacific'!U33+Europe!U33</f>
        <v>0</v>
      </c>
      <c r="W33">
        <f>'Africa &amp; Middle East'!W33+Americas!W33+'Asia Pacific'!W33+Europe!W33</f>
        <v>0</v>
      </c>
      <c r="Y33">
        <f>'Africa &amp; Middle East'!Y33+Americas!Y33+'Asia Pacific'!Y33+Europe!Y33</f>
        <v>0</v>
      </c>
      <c r="AE33" s="11"/>
      <c r="AF33" s="19"/>
      <c r="AG33" s="19"/>
      <c r="AH33" s="19">
        <v>0</v>
      </c>
      <c r="AI33">
        <f>'Africa &amp; Middle East'!AJ33+Americas!AI33+'Asia Pacific'!AI33+Europe!AI33</f>
        <v>0</v>
      </c>
      <c r="AJ33">
        <f>'Africa &amp; Middle East'!AK33+Americas!AJ33+'Asia Pacific'!AJ33+Europe!AJ33</f>
        <v>0</v>
      </c>
      <c r="AK33">
        <f>'Africa &amp; Middle East'!AL33+Americas!AK33+'Asia Pacific'!AK33+Europe!AK33</f>
        <v>0</v>
      </c>
      <c r="AL33">
        <f>'Africa &amp; Middle East'!AM33+Americas!AL33+'Asia Pacific'!AL33+Europe!AL33</f>
        <v>0</v>
      </c>
      <c r="AM33">
        <f>'Africa &amp; Middle East'!AN33+Americas!AM33+'Asia Pacific'!AM33+Europe!AM33</f>
        <v>0</v>
      </c>
      <c r="AN33">
        <f>'Africa &amp; Middle East'!AO33+Americas!AN33+'Asia Pacific'!AN33+Europe!AN33</f>
        <v>0</v>
      </c>
      <c r="AO33">
        <f>'Africa &amp; Middle East'!AP33+Americas!AO33+'Asia Pacific'!AO33+Europe!AO33</f>
        <v>0</v>
      </c>
    </row>
    <row r="34" spans="1:41" s="1" customFormat="1" x14ac:dyDescent="0.3">
      <c r="A34" s="20" t="s">
        <v>159</v>
      </c>
      <c r="B34" s="11"/>
      <c r="C34" s="11"/>
      <c r="D34" s="11"/>
      <c r="E34" s="11"/>
      <c r="F34" s="11"/>
      <c r="G34" s="15" t="e">
        <f t="shared" ref="G34:L34" si="14">G33/E31</f>
        <v>#DIV/0!</v>
      </c>
      <c r="H34" s="15" t="e">
        <f t="shared" si="14"/>
        <v>#DIV/0!</v>
      </c>
      <c r="I34" s="15">
        <f t="shared" si="14"/>
        <v>0</v>
      </c>
      <c r="J34" s="15" t="e">
        <f t="shared" si="14"/>
        <v>#DIV/0!</v>
      </c>
      <c r="K34" s="15">
        <f t="shared" si="14"/>
        <v>0</v>
      </c>
      <c r="L34" s="15" t="e">
        <f t="shared" si="14"/>
        <v>#DIV/0!</v>
      </c>
      <c r="M34" s="15">
        <f>M33/K31</f>
        <v>0</v>
      </c>
      <c r="O34" s="30">
        <v>0</v>
      </c>
      <c r="Q34" s="30">
        <v>0</v>
      </c>
      <c r="S34" s="30">
        <v>0</v>
      </c>
      <c r="U34" s="30">
        <v>0</v>
      </c>
      <c r="W34" s="30">
        <v>0</v>
      </c>
      <c r="Y34" s="30">
        <v>0</v>
      </c>
      <c r="AE34" s="11"/>
      <c r="AF34" s="11"/>
      <c r="AG34" s="11"/>
      <c r="AH34" s="11">
        <f>AH33/AG31</f>
        <v>0</v>
      </c>
      <c r="AI34" s="30">
        <v>0</v>
      </c>
      <c r="AJ34" s="30">
        <v>0</v>
      </c>
      <c r="AK34" s="30">
        <v>0</v>
      </c>
      <c r="AL34" s="30">
        <v>0</v>
      </c>
      <c r="AM34" s="30">
        <v>0</v>
      </c>
      <c r="AN34" s="30">
        <v>0</v>
      </c>
      <c r="AO34" s="30">
        <v>0</v>
      </c>
    </row>
    <row r="35" spans="1:41" s="1" customFormat="1" x14ac:dyDescent="0.3">
      <c r="A35" t="s">
        <v>139</v>
      </c>
      <c r="B35" s="11"/>
      <c r="C35" s="11"/>
      <c r="D35" s="11"/>
      <c r="E35" s="19"/>
      <c r="F35" s="19"/>
      <c r="G35" s="19"/>
      <c r="H35" s="19"/>
      <c r="I35" s="19">
        <v>0</v>
      </c>
      <c r="J35" s="11"/>
      <c r="K35" s="19">
        <v>0.3</v>
      </c>
      <c r="L35" s="11"/>
      <c r="M35" s="19">
        <v>0.2</v>
      </c>
      <c r="O35" s="19">
        <f>'Africa &amp; Middle East'!O35+Americas!O35+'Asia Pacific'!O35+Europe!O35</f>
        <v>2.2848799999999999E-2</v>
      </c>
      <c r="Q35" s="19">
        <f>'Africa &amp; Middle East'!Q35+Americas!Q35+'Asia Pacific'!Q35+Europe!Q35</f>
        <v>2.30087416E-2</v>
      </c>
      <c r="S35" s="19">
        <f>'Africa &amp; Middle East'!S35+Americas!S35+'Asia Pacific'!S35+Europe!S35</f>
        <v>2.3169802791199998E-2</v>
      </c>
      <c r="U35" s="19">
        <f>'Africa &amp; Middle East'!U35+Americas!U35+'Asia Pacific'!U35+Europe!U35</f>
        <v>2.3331991410738398E-2</v>
      </c>
      <c r="W35" s="19">
        <f>'Africa &amp; Middle East'!W35+Americas!W35+'Asia Pacific'!W35+Europe!W35</f>
        <v>2.3495315350613565E-2</v>
      </c>
      <c r="Y35" s="19">
        <f>'Africa &amp; Middle East'!Y35+Americas!Y35+'Asia Pacific'!Y35+Europe!Y35</f>
        <v>2.365978255806786E-2</v>
      </c>
      <c r="AE35" s="11"/>
      <c r="AF35" s="19"/>
      <c r="AG35" s="19"/>
      <c r="AH35" s="19">
        <v>2.7</v>
      </c>
      <c r="AI35">
        <f>'Africa &amp; Middle East'!AJ35+Americas!AI35+'Asia Pacific'!AI35+Europe!AI35</f>
        <v>0.05</v>
      </c>
      <c r="AJ35">
        <f>'Africa &amp; Middle East'!AK35+Americas!AJ35+'Asia Pacific'!AJ35+Europe!AJ35</f>
        <v>5.0350000000000006E-2</v>
      </c>
      <c r="AK35">
        <f>'Africa &amp; Middle East'!AL35+Americas!AK35+'Asia Pacific'!AK35+Europe!AK35</f>
        <v>5.0702449999999996E-2</v>
      </c>
      <c r="AL35">
        <f>'Africa &amp; Middle East'!AM35+Americas!AL35+'Asia Pacific'!AL35+Europe!AL35</f>
        <v>5.1057367149999998E-2</v>
      </c>
      <c r="AM35">
        <f>'Africa &amp; Middle East'!AN35+Americas!AM35+'Asia Pacific'!AM35+Europe!AM35</f>
        <v>5.1414768720050005E-2</v>
      </c>
      <c r="AN35">
        <f>'Africa &amp; Middle East'!AO35+Americas!AN35+'Asia Pacific'!AN35+Europe!AN35</f>
        <v>5.1774672101090352E-2</v>
      </c>
      <c r="AO35">
        <f>'Africa &amp; Middle East'!AP35+Americas!AO35+'Asia Pacific'!AO35+Europe!AO35</f>
        <v>5.2137094805797979E-2</v>
      </c>
    </row>
    <row r="36" spans="1:41" s="1" customFormat="1" x14ac:dyDescent="0.3">
      <c r="A36" s="20" t="s">
        <v>160</v>
      </c>
      <c r="B36" s="11"/>
      <c r="C36" s="11"/>
      <c r="D36" s="11"/>
      <c r="E36" s="11"/>
      <c r="F36" s="11"/>
      <c r="G36" s="15" t="e">
        <f t="shared" ref="G36:L36" si="15">G35/E31</f>
        <v>#DIV/0!</v>
      </c>
      <c r="H36" s="15" t="e">
        <f t="shared" si="15"/>
        <v>#DIV/0!</v>
      </c>
      <c r="I36" s="15">
        <f t="shared" si="15"/>
        <v>0</v>
      </c>
      <c r="J36" s="15" t="e">
        <f t="shared" si="15"/>
        <v>#DIV/0!</v>
      </c>
      <c r="K36" s="15">
        <f t="shared" si="15"/>
        <v>2.6086956521739129E-2</v>
      </c>
      <c r="L36" s="15" t="e">
        <f t="shared" si="15"/>
        <v>#DIV/0!</v>
      </c>
      <c r="M36" s="15">
        <f>M35/K31</f>
        <v>1.785714285714286E-2</v>
      </c>
      <c r="O36" s="31">
        <v>2E-3</v>
      </c>
      <c r="Q36" s="31">
        <v>2E-3</v>
      </c>
      <c r="S36" s="31">
        <v>2E-3</v>
      </c>
      <c r="U36" s="31">
        <v>2E-3</v>
      </c>
      <c r="W36" s="31">
        <v>2E-3</v>
      </c>
      <c r="Y36" s="31">
        <v>2E-3</v>
      </c>
      <c r="AE36" s="11"/>
      <c r="AF36" s="11"/>
      <c r="AG36" s="11"/>
      <c r="AH36" s="11">
        <f>AH35/AG31</f>
        <v>0.11440677966101695</v>
      </c>
      <c r="AI36" s="31">
        <v>2E-3</v>
      </c>
      <c r="AJ36" s="31">
        <v>2E-3</v>
      </c>
      <c r="AK36" s="31">
        <v>2E-3</v>
      </c>
      <c r="AL36" s="31">
        <v>2E-3</v>
      </c>
      <c r="AM36" s="31">
        <v>2E-3</v>
      </c>
      <c r="AN36" s="31">
        <v>2E-3</v>
      </c>
      <c r="AO36" s="31">
        <v>2E-3</v>
      </c>
    </row>
    <row r="37" spans="1:41" s="1" customFormat="1" x14ac:dyDescent="0.3">
      <c r="A37" t="s">
        <v>158</v>
      </c>
      <c r="B37" s="11"/>
      <c r="C37" s="11"/>
      <c r="D37" s="11"/>
      <c r="E37" s="19"/>
      <c r="F37" s="19"/>
      <c r="G37" s="19"/>
      <c r="H37" s="19"/>
      <c r="I37" s="19">
        <v>-0.6</v>
      </c>
      <c r="J37" s="11"/>
      <c r="K37" s="19">
        <v>-0.6</v>
      </c>
      <c r="L37" s="11"/>
      <c r="M37" s="19">
        <v>0.1</v>
      </c>
      <c r="O37" s="19">
        <f>'Africa &amp; Middle East'!O37+Americas!O37+'Asia Pacific'!O37+Europe!O37</f>
        <v>5.7121999999999999E-2</v>
      </c>
      <c r="Q37" s="19">
        <f>'Africa &amp; Middle East'!Q37+Americas!Q37+'Asia Pacific'!Q37+Europe!Q37</f>
        <v>5.752185399999999E-2</v>
      </c>
      <c r="S37" s="19">
        <f>'Africa &amp; Middle East'!S37+Americas!S37+'Asia Pacific'!S37+Europe!S37</f>
        <v>5.7924506977999994E-2</v>
      </c>
      <c r="U37" s="19">
        <f>'Africa &amp; Middle East'!U37+Americas!U37+'Asia Pacific'!U37+Europe!U37</f>
        <v>5.8329978526845995E-2</v>
      </c>
      <c r="W37" s="19">
        <f>'Africa &amp; Middle East'!W37+Americas!W37+'Asia Pacific'!W37+Europe!W37</f>
        <v>5.8738288376533915E-2</v>
      </c>
      <c r="Y37" s="19">
        <f>'Africa &amp; Middle East'!Y37+Americas!Y37+'Asia Pacific'!Y37+Europe!Y37</f>
        <v>5.9149456395169643E-2</v>
      </c>
      <c r="AE37" s="11"/>
      <c r="AF37" s="19"/>
      <c r="AG37" s="19"/>
      <c r="AH37" s="19">
        <v>-1.3</v>
      </c>
      <c r="AI37">
        <f>'Africa &amp; Middle East'!AJ37+Americas!AI37+'Asia Pacific'!AI37+Europe!AI37</f>
        <v>0.125</v>
      </c>
      <c r="AJ37">
        <f>'Africa &amp; Middle East'!AK37+Americas!AJ37+'Asia Pacific'!AJ37+Europe!AJ37</f>
        <v>0.12587500000000001</v>
      </c>
      <c r="AK37">
        <f>'Africa &amp; Middle East'!AL37+Americas!AK37+'Asia Pacific'!AK37+Europe!AK37</f>
        <v>0.126756125</v>
      </c>
      <c r="AL37">
        <f>'Africa &amp; Middle East'!AM37+Americas!AL37+'Asia Pacific'!AL37+Europe!AL37</f>
        <v>0.127643417875</v>
      </c>
      <c r="AM37">
        <f>'Africa &amp; Middle East'!AN37+Americas!AM37+'Asia Pacific'!AM37+Europe!AM37</f>
        <v>0.12853692180012502</v>
      </c>
      <c r="AN37">
        <f>'Africa &amp; Middle East'!AO37+Americas!AN37+'Asia Pacific'!AN37+Europe!AN37</f>
        <v>0.12943668025272589</v>
      </c>
      <c r="AO37">
        <f>'Africa &amp; Middle East'!AP37+Americas!AO37+'Asia Pacific'!AO37+Europe!AO37</f>
        <v>0.13034273701449495</v>
      </c>
    </row>
    <row r="38" spans="1:41" s="1" customFormat="1" x14ac:dyDescent="0.3">
      <c r="A38" s="20" t="s">
        <v>161</v>
      </c>
      <c r="B38" s="11"/>
      <c r="C38" s="11"/>
      <c r="D38" s="11"/>
      <c r="E38" s="11"/>
      <c r="F38" s="11"/>
      <c r="G38" s="11" t="e">
        <f t="shared" ref="G38:J38" si="16">G37/E31</f>
        <v>#DIV/0!</v>
      </c>
      <c r="H38" s="11" t="e">
        <f t="shared" si="16"/>
        <v>#DIV/0!</v>
      </c>
      <c r="I38" s="11">
        <f t="shared" si="16"/>
        <v>-4.9586776859504134E-2</v>
      </c>
      <c r="J38" s="11" t="e">
        <f t="shared" si="16"/>
        <v>#DIV/0!</v>
      </c>
      <c r="K38" s="11">
        <f>K37/I31</f>
        <v>-5.2173913043478258E-2</v>
      </c>
      <c r="L38" s="11">
        <v>1.2999999999999999E-2</v>
      </c>
      <c r="M38" s="11">
        <v>1.2999999999999999E-2</v>
      </c>
      <c r="O38" s="31">
        <v>2E-3</v>
      </c>
      <c r="Q38" s="31">
        <v>2E-3</v>
      </c>
      <c r="S38" s="31">
        <v>2E-3</v>
      </c>
      <c r="U38" s="31">
        <v>2E-3</v>
      </c>
      <c r="W38" s="31">
        <v>2E-3</v>
      </c>
      <c r="Y38" s="31">
        <v>2E-3</v>
      </c>
      <c r="AE38" s="11"/>
      <c r="AF38" s="11"/>
      <c r="AG38" s="11"/>
      <c r="AH38" s="11">
        <f>AH37/AG31</f>
        <v>-5.5084745762711863E-2</v>
      </c>
      <c r="AI38" s="31">
        <v>2E-3</v>
      </c>
      <c r="AJ38" s="31">
        <v>2E-3</v>
      </c>
      <c r="AK38" s="31">
        <v>2E-3</v>
      </c>
      <c r="AL38" s="31">
        <v>2E-3</v>
      </c>
      <c r="AM38" s="31">
        <v>2E-3</v>
      </c>
      <c r="AN38" s="31">
        <v>2E-3</v>
      </c>
      <c r="AO38" s="31">
        <v>2E-3</v>
      </c>
    </row>
    <row r="39" spans="1:41" s="1" customFormat="1" x14ac:dyDescent="0.3">
      <c r="A39" s="20"/>
      <c r="B39" s="11"/>
      <c r="C39" s="11"/>
      <c r="D39" s="11"/>
      <c r="E39" s="11"/>
      <c r="F39" s="11"/>
      <c r="G39" s="11"/>
      <c r="H39" s="11"/>
      <c r="I39" s="11"/>
      <c r="J39" s="11"/>
      <c r="K39" s="19"/>
      <c r="L39" s="11"/>
      <c r="M39" s="19"/>
      <c r="AE39" s="11"/>
      <c r="AF39" s="11"/>
      <c r="AG39" s="11"/>
      <c r="AH39" s="11"/>
    </row>
    <row r="40" spans="1:41" s="1" customFormat="1" x14ac:dyDescent="0.3">
      <c r="A40" s="20"/>
      <c r="B40" s="11"/>
      <c r="C40" s="11"/>
      <c r="D40" s="11"/>
      <c r="E40" s="11"/>
      <c r="F40" s="11"/>
      <c r="G40" s="11"/>
      <c r="H40" s="11"/>
      <c r="I40" s="11"/>
      <c r="J40" s="11"/>
      <c r="K40" s="19"/>
      <c r="L40" s="11"/>
      <c r="M40" s="19"/>
      <c r="AE40" s="11"/>
      <c r="AF40" s="11"/>
      <c r="AG40" s="11"/>
      <c r="AH40" s="11"/>
    </row>
    <row r="41" spans="1:41" s="1" customFormat="1" x14ac:dyDescent="0.3">
      <c r="A41" s="20" t="s">
        <v>166</v>
      </c>
      <c r="B41" s="11"/>
      <c r="C41" s="11"/>
      <c r="D41" s="11"/>
      <c r="E41" s="19"/>
      <c r="F41" s="19"/>
      <c r="G41" s="19">
        <v>2.1</v>
      </c>
      <c r="H41" s="21"/>
      <c r="I41" s="19">
        <v>3.8</v>
      </c>
      <c r="J41" s="11"/>
      <c r="K41" s="19">
        <v>3.8</v>
      </c>
      <c r="L41" s="11"/>
      <c r="M41" s="19">
        <f>K41+M43+M45+M47</f>
        <v>3.8</v>
      </c>
      <c r="O41" s="19">
        <f>'Africa &amp; Middle East'!O41+Americas!O41+'Asia Pacific'!O41+Europe!O41</f>
        <v>3.7370000000000001</v>
      </c>
      <c r="Q41" s="19">
        <f>'Africa &amp; Middle East'!Q41+Americas!Q41+'Asia Pacific'!Q41+Europe!Q41</f>
        <v>3.7743700000000002</v>
      </c>
      <c r="S41" s="19">
        <f>'Africa &amp; Middle East'!S41+Americas!S41+'Asia Pacific'!S41+Europe!S41</f>
        <v>3.8121137000000003</v>
      </c>
      <c r="U41" s="19">
        <f>'Africa &amp; Middle East'!U41+Americas!U41+'Asia Pacific'!U41+Europe!U41</f>
        <v>3.8502348369999999</v>
      </c>
      <c r="W41" s="19">
        <f>'Africa &amp; Middle East'!W41+Americas!W41+'Asia Pacific'!W41+Europe!W41</f>
        <v>3.8887371853699997</v>
      </c>
      <c r="Y41" s="19">
        <f>'Africa &amp; Middle East'!Y41+Americas!Y41+'Asia Pacific'!Y41+Europe!Y41</f>
        <v>3.9276245572237003</v>
      </c>
      <c r="AE41" s="11"/>
      <c r="AF41" s="11"/>
      <c r="AG41" s="19">
        <v>7.9</v>
      </c>
      <c r="AH41" s="19">
        <v>8.1999999999999993</v>
      </c>
      <c r="AI41">
        <f>'Africa &amp; Middle East'!AJ41+Americas!AI41+'Asia Pacific'!AI41+Europe!AI41</f>
        <v>8.282</v>
      </c>
      <c r="AJ41">
        <f>'Africa &amp; Middle East'!AK41+Americas!AJ41+'Asia Pacific'!AJ41+Europe!AJ41</f>
        <v>8.3648199999999999</v>
      </c>
      <c r="AK41">
        <f>'Africa &amp; Middle East'!AL41+Americas!AK41+'Asia Pacific'!AK41+Europe!AK41</f>
        <v>8.4484682000000006</v>
      </c>
      <c r="AL41">
        <f>'Africa &amp; Middle East'!AM41+Americas!AL41+'Asia Pacific'!AL41+Europe!AL41</f>
        <v>8.5329528819999982</v>
      </c>
      <c r="AM41">
        <f>'Africa &amp; Middle East'!AN41+Americas!AM41+'Asia Pacific'!AM41+Europe!AM41</f>
        <v>8.6182824108199991</v>
      </c>
      <c r="AN41">
        <f>'Africa &amp; Middle East'!AO41+Americas!AN41+'Asia Pacific'!AN41+Europe!AN41</f>
        <v>8.7044652349282003</v>
      </c>
      <c r="AO41">
        <f>'Africa &amp; Middle East'!AP41+Americas!AO41+'Asia Pacific'!AO41+Europe!AO41</f>
        <v>8.7915098872774813</v>
      </c>
    </row>
    <row r="42" spans="1:41" s="1" customFormat="1" x14ac:dyDescent="0.3">
      <c r="A42" s="20"/>
      <c r="B42" s="11"/>
      <c r="C42" s="11"/>
      <c r="D42" s="11"/>
      <c r="E42" s="11"/>
      <c r="F42" s="11"/>
      <c r="G42" s="15" t="str">
        <f t="shared" ref="G42:L42" si="17">IFERROR(G41/E41-1, "-")</f>
        <v>-</v>
      </c>
      <c r="H42" s="15" t="str">
        <f t="shared" si="17"/>
        <v>-</v>
      </c>
      <c r="I42" s="15">
        <f t="shared" si="17"/>
        <v>0.80952380952380931</v>
      </c>
      <c r="J42" s="15" t="str">
        <f t="shared" si="17"/>
        <v>-</v>
      </c>
      <c r="K42" s="15">
        <f t="shared" si="17"/>
        <v>0</v>
      </c>
      <c r="L42" s="15" t="str">
        <f t="shared" si="17"/>
        <v>-</v>
      </c>
      <c r="M42" s="15">
        <f>IFERROR(M41/K41-1, "-")</f>
        <v>0</v>
      </c>
      <c r="AE42" s="11"/>
      <c r="AF42" s="11"/>
      <c r="AG42" s="11"/>
      <c r="AH42" s="11"/>
    </row>
    <row r="43" spans="1:41" s="1" customFormat="1" x14ac:dyDescent="0.3">
      <c r="A43" s="27" t="s">
        <v>138</v>
      </c>
      <c r="B43" s="11"/>
      <c r="C43" s="11"/>
      <c r="D43" s="11"/>
      <c r="E43" s="19"/>
      <c r="F43" s="19"/>
      <c r="G43" s="19"/>
      <c r="H43" s="19"/>
      <c r="I43" s="19">
        <v>0</v>
      </c>
      <c r="J43" s="11"/>
      <c r="K43" s="19">
        <v>0</v>
      </c>
      <c r="L43" s="11"/>
      <c r="M43" s="19">
        <v>0</v>
      </c>
      <c r="O43">
        <f>'Africa &amp; Middle East'!O43+Americas!O43+'Asia Pacific'!O43+Europe!O43</f>
        <v>0</v>
      </c>
      <c r="Q43">
        <f>'Africa &amp; Middle East'!Q43+Americas!Q43+'Asia Pacific'!Q43+Europe!Q43</f>
        <v>0</v>
      </c>
      <c r="S43">
        <f>'Africa &amp; Middle East'!S43+Americas!S43+'Asia Pacific'!S43+Europe!S43</f>
        <v>0</v>
      </c>
      <c r="U43">
        <f>'Africa &amp; Middle East'!U43+Americas!U43+'Asia Pacific'!U43+Europe!U43</f>
        <v>0</v>
      </c>
      <c r="W43">
        <f>'Africa &amp; Middle East'!W43+Americas!W43+'Asia Pacific'!W43+Europe!W43</f>
        <v>0</v>
      </c>
      <c r="Y43">
        <f>'Africa &amp; Middle East'!Y43+Americas!Y43+'Asia Pacific'!Y43+Europe!Y43</f>
        <v>0</v>
      </c>
      <c r="AE43" s="11"/>
      <c r="AF43" s="19"/>
      <c r="AG43" s="19"/>
      <c r="AH43" s="19">
        <v>0</v>
      </c>
      <c r="AI43">
        <f>'Africa &amp; Middle East'!AJ43+Americas!AI43+'Asia Pacific'!AI43+Europe!AI43</f>
        <v>0</v>
      </c>
      <c r="AJ43">
        <f>'Africa &amp; Middle East'!AK43+Americas!AJ43+'Asia Pacific'!AJ43+Europe!AJ43</f>
        <v>0</v>
      </c>
      <c r="AK43">
        <f>'Africa &amp; Middle East'!AL43+Americas!AK43+'Asia Pacific'!AK43+Europe!AK43</f>
        <v>0</v>
      </c>
      <c r="AL43">
        <f>'Africa &amp; Middle East'!AM43+Americas!AL43+'Asia Pacific'!AL43+Europe!AL43</f>
        <v>0</v>
      </c>
      <c r="AM43">
        <f>'Africa &amp; Middle East'!AN43+Americas!AM43+'Asia Pacific'!AM43+Europe!AM43</f>
        <v>0</v>
      </c>
      <c r="AN43">
        <f>'Africa &amp; Middle East'!AO43+Americas!AN43+'Asia Pacific'!AN43+Europe!AN43</f>
        <v>0</v>
      </c>
      <c r="AO43">
        <f>'Africa &amp; Middle East'!AP43+Americas!AO43+'Asia Pacific'!AO43+Europe!AO43</f>
        <v>0</v>
      </c>
    </row>
    <row r="44" spans="1:41" s="1" customFormat="1" x14ac:dyDescent="0.3">
      <c r="A44" s="20" t="s">
        <v>159</v>
      </c>
      <c r="B44" s="11"/>
      <c r="C44" s="11"/>
      <c r="D44" s="11"/>
      <c r="E44" s="11"/>
      <c r="F44" s="11"/>
      <c r="G44" s="15" t="str">
        <f t="shared" ref="G44:L44" si="18">IFERROR(G43/E41,"-")</f>
        <v>-</v>
      </c>
      <c r="H44" s="15" t="str">
        <f t="shared" si="18"/>
        <v>-</v>
      </c>
      <c r="I44" s="15">
        <f t="shared" si="18"/>
        <v>0</v>
      </c>
      <c r="J44" s="15" t="str">
        <f t="shared" si="18"/>
        <v>-</v>
      </c>
      <c r="K44" s="15">
        <f t="shared" si="18"/>
        <v>0</v>
      </c>
      <c r="L44" s="15" t="str">
        <f t="shared" si="18"/>
        <v>-</v>
      </c>
      <c r="M44" s="15">
        <f>IFERROR(M43/K41,"-")</f>
        <v>0</v>
      </c>
      <c r="O44" s="30">
        <v>0</v>
      </c>
      <c r="Q44" s="30">
        <v>0</v>
      </c>
      <c r="S44" s="30">
        <v>0</v>
      </c>
      <c r="U44" s="30">
        <v>0</v>
      </c>
      <c r="W44" s="30">
        <v>0</v>
      </c>
      <c r="Y44" s="30">
        <v>0</v>
      </c>
      <c r="AE44" s="11"/>
      <c r="AF44" s="11"/>
      <c r="AG44" s="11"/>
      <c r="AH44" s="11">
        <f>AH43/AG41</f>
        <v>0</v>
      </c>
      <c r="AI44" s="30">
        <v>0</v>
      </c>
      <c r="AJ44" s="30">
        <v>0</v>
      </c>
      <c r="AK44" s="30">
        <v>0</v>
      </c>
      <c r="AL44" s="30">
        <v>0</v>
      </c>
      <c r="AM44" s="30">
        <v>0</v>
      </c>
      <c r="AN44" s="30">
        <v>0</v>
      </c>
      <c r="AO44" s="30">
        <v>0</v>
      </c>
    </row>
    <row r="45" spans="1:41" s="1" customFormat="1" x14ac:dyDescent="0.3">
      <c r="A45" t="s">
        <v>139</v>
      </c>
      <c r="B45" s="11"/>
      <c r="C45" s="11"/>
      <c r="D45" s="11"/>
      <c r="E45" s="19"/>
      <c r="F45" s="19"/>
      <c r="G45" s="19"/>
      <c r="H45" s="19"/>
      <c r="I45" s="19">
        <v>0</v>
      </c>
      <c r="J45" s="11"/>
      <c r="K45" s="19">
        <v>0</v>
      </c>
      <c r="L45" s="11"/>
      <c r="M45" s="19">
        <v>0.3</v>
      </c>
      <c r="O45" s="19">
        <f>'Africa &amp; Middle East'!O45+Americas!O45+'Asia Pacific'!O45+Europe!O45</f>
        <v>1.8500000000000003E-2</v>
      </c>
      <c r="Q45" s="19">
        <f>'Africa &amp; Middle East'!Q45+Americas!Q45+'Asia Pacific'!Q45+Europe!Q45</f>
        <v>1.8685E-2</v>
      </c>
      <c r="S45" s="19">
        <f>'Africa &amp; Middle East'!S45+Americas!S45+'Asia Pacific'!S45+Europe!S45</f>
        <v>1.8871850000000003E-2</v>
      </c>
      <c r="U45" s="19">
        <f>'Africa &amp; Middle East'!U45+Americas!U45+'Asia Pacific'!U45+Europe!U45</f>
        <v>1.90605685E-2</v>
      </c>
      <c r="W45" s="19">
        <f>'Africa &amp; Middle East'!W45+Americas!W45+'Asia Pacific'!W45+Europe!W45</f>
        <v>1.9251174184999997E-2</v>
      </c>
      <c r="Y45" s="19">
        <f>'Africa &amp; Middle East'!Y45+Americas!Y45+'Asia Pacific'!Y45+Europe!Y45</f>
        <v>1.9443685926850002E-2</v>
      </c>
      <c r="AE45" s="11"/>
      <c r="AF45" s="19"/>
      <c r="AG45" s="19"/>
      <c r="AH45" s="19">
        <v>0.7</v>
      </c>
      <c r="AI45">
        <f>'Africa &amp; Middle East'!AJ45+Americas!AI45+'Asia Pacific'!AI45+Europe!AI45</f>
        <v>4.1000000000000002E-2</v>
      </c>
      <c r="AJ45">
        <f>'Africa &amp; Middle East'!AK45+Americas!AJ45+'Asia Pacific'!AJ45+Europe!AJ45</f>
        <v>4.1409999999999995E-2</v>
      </c>
      <c r="AK45">
        <f>'Africa &amp; Middle East'!AL45+Americas!AK45+'Asia Pacific'!AK45+Europe!AK45</f>
        <v>4.1824099999999996E-2</v>
      </c>
      <c r="AL45">
        <f>'Africa &amp; Middle East'!AM45+Americas!AL45+'Asia Pacific'!AL45+Europe!AL45</f>
        <v>4.2242341000000003E-2</v>
      </c>
      <c r="AM45">
        <f>'Africa &amp; Middle East'!AN45+Americas!AM45+'Asia Pacific'!AM45+Europe!AM45</f>
        <v>4.2664764409999993E-2</v>
      </c>
      <c r="AN45">
        <f>'Africa &amp; Middle East'!AO45+Americas!AN45+'Asia Pacific'!AN45+Europe!AN45</f>
        <v>4.3091412054099998E-2</v>
      </c>
      <c r="AO45">
        <f>'Africa &amp; Middle East'!AP45+Americas!AO45+'Asia Pacific'!AO45+Europe!AO45</f>
        <v>4.3522326174641003E-2</v>
      </c>
    </row>
    <row r="46" spans="1:41" s="1" customFormat="1" x14ac:dyDescent="0.3">
      <c r="A46" s="20" t="s">
        <v>160</v>
      </c>
      <c r="B46" s="11"/>
      <c r="C46" s="11"/>
      <c r="D46" s="11"/>
      <c r="E46" s="11"/>
      <c r="F46" s="11"/>
      <c r="G46" s="15" t="str">
        <f t="shared" ref="G46:L46" si="19">IFERROR(G45/E41,"-")</f>
        <v>-</v>
      </c>
      <c r="H46" s="15" t="str">
        <f t="shared" si="19"/>
        <v>-</v>
      </c>
      <c r="I46" s="15">
        <f t="shared" si="19"/>
        <v>0</v>
      </c>
      <c r="J46" s="15" t="str">
        <f t="shared" si="19"/>
        <v>-</v>
      </c>
      <c r="K46" s="15">
        <f t="shared" si="19"/>
        <v>0</v>
      </c>
      <c r="L46" s="15" t="str">
        <f t="shared" si="19"/>
        <v>-</v>
      </c>
      <c r="M46" s="15">
        <f>IFERROR(M45/K41,"-")</f>
        <v>7.8947368421052627E-2</v>
      </c>
      <c r="O46" s="31">
        <v>2E-3</v>
      </c>
      <c r="Q46" s="31">
        <v>2E-3</v>
      </c>
      <c r="S46" s="31">
        <v>2E-3</v>
      </c>
      <c r="U46" s="31">
        <v>2E-3</v>
      </c>
      <c r="W46" s="31">
        <v>2E-3</v>
      </c>
      <c r="Y46" s="31">
        <v>2E-3</v>
      </c>
      <c r="AE46" s="11"/>
      <c r="AF46" s="11"/>
      <c r="AG46" s="11"/>
      <c r="AH46" s="11">
        <f>AH45/AG41</f>
        <v>8.8607594936708847E-2</v>
      </c>
      <c r="AI46" s="31">
        <v>2E-3</v>
      </c>
      <c r="AJ46" s="31">
        <v>2E-3</v>
      </c>
      <c r="AK46" s="31">
        <v>2E-3</v>
      </c>
      <c r="AL46" s="31">
        <v>2E-3</v>
      </c>
      <c r="AM46" s="31">
        <v>2E-3</v>
      </c>
      <c r="AN46" s="31">
        <v>2E-3</v>
      </c>
      <c r="AO46" s="31">
        <v>2E-3</v>
      </c>
    </row>
    <row r="47" spans="1:41" s="1" customFormat="1" x14ac:dyDescent="0.3">
      <c r="A47" t="s">
        <v>158</v>
      </c>
      <c r="B47" s="11"/>
      <c r="C47" s="11"/>
      <c r="D47" s="11"/>
      <c r="E47" s="19"/>
      <c r="F47" s="19"/>
      <c r="G47" s="19"/>
      <c r="H47" s="19"/>
      <c r="I47" s="19">
        <v>1.7</v>
      </c>
      <c r="J47" s="11"/>
      <c r="K47" s="19">
        <v>0</v>
      </c>
      <c r="L47" s="11"/>
      <c r="M47" s="19">
        <v>-0.3</v>
      </c>
      <c r="O47" s="19">
        <f>'Africa &amp; Middle East'!O47+Americas!O47+'Asia Pacific'!O47+Europe!O47</f>
        <v>1.8500000000000003E-2</v>
      </c>
      <c r="Q47" s="19">
        <f>'Africa &amp; Middle East'!Q47+Americas!Q47+'Asia Pacific'!Q47+Europe!Q47</f>
        <v>1.8685E-2</v>
      </c>
      <c r="S47" s="19">
        <f>'Africa &amp; Middle East'!S47+Americas!S47+'Asia Pacific'!S47+Europe!S47</f>
        <v>1.8871850000000003E-2</v>
      </c>
      <c r="U47" s="19">
        <f>'Africa &amp; Middle East'!U47+Americas!U47+'Asia Pacific'!U47+Europe!U47</f>
        <v>1.90605685E-2</v>
      </c>
      <c r="W47" s="19">
        <f>'Africa &amp; Middle East'!W47+Americas!W47+'Asia Pacific'!W47+Europe!W47</f>
        <v>1.9251174184999997E-2</v>
      </c>
      <c r="Y47" s="19">
        <f>'Africa &amp; Middle East'!Y47+Americas!Y47+'Asia Pacific'!Y47+Europe!Y47</f>
        <v>1.9443685926850002E-2</v>
      </c>
      <c r="AE47" s="11"/>
      <c r="AF47" s="19"/>
      <c r="AG47" s="19"/>
      <c r="AH47" s="19">
        <v>-0.3</v>
      </c>
      <c r="AI47">
        <f>'Africa &amp; Middle East'!AJ47+Americas!AI47+'Asia Pacific'!AI47+Europe!AI47</f>
        <v>4.1000000000000002E-2</v>
      </c>
      <c r="AJ47">
        <f>'Africa &amp; Middle East'!AK47+Americas!AJ47+'Asia Pacific'!AJ47+Europe!AJ47</f>
        <v>4.1409999999999995E-2</v>
      </c>
      <c r="AK47">
        <f>'Africa &amp; Middle East'!AL47+Americas!AK47+'Asia Pacific'!AK47+Europe!AK47</f>
        <v>4.1824099999999996E-2</v>
      </c>
      <c r="AL47">
        <f>'Africa &amp; Middle East'!AM47+Americas!AL47+'Asia Pacific'!AL47+Europe!AL47</f>
        <v>4.2242341000000003E-2</v>
      </c>
      <c r="AM47">
        <f>'Africa &amp; Middle East'!AN47+Americas!AM47+'Asia Pacific'!AM47+Europe!AM47</f>
        <v>4.2664764409999993E-2</v>
      </c>
      <c r="AN47">
        <f>'Africa &amp; Middle East'!AO47+Americas!AN47+'Asia Pacific'!AN47+Europe!AN47</f>
        <v>4.3091412054099998E-2</v>
      </c>
      <c r="AO47">
        <f>'Africa &amp; Middle East'!AP47+Americas!AO47+'Asia Pacific'!AO47+Europe!AO47</f>
        <v>4.3522326174641003E-2</v>
      </c>
    </row>
    <row r="48" spans="1:41" s="1" customFormat="1" x14ac:dyDescent="0.3">
      <c r="A48" s="20" t="s">
        <v>161</v>
      </c>
      <c r="B48" s="11"/>
      <c r="C48" s="11"/>
      <c r="D48" s="11"/>
      <c r="E48" s="11"/>
      <c r="F48" s="11"/>
      <c r="G48" s="15"/>
      <c r="H48" s="15"/>
      <c r="I48" s="15">
        <v>-8.0000000000000002E-3</v>
      </c>
      <c r="J48" s="15">
        <v>-8.6999999999999994E-2</v>
      </c>
      <c r="K48" s="15">
        <v>-8.0000000000000002E-3</v>
      </c>
      <c r="L48" s="15">
        <v>-8.6999999999999994E-2</v>
      </c>
      <c r="M48" s="15">
        <v>-8.6999999999999994E-2</v>
      </c>
      <c r="O48" s="31">
        <v>2E-3</v>
      </c>
      <c r="Q48" s="31">
        <v>2E-3</v>
      </c>
      <c r="S48" s="31">
        <v>2E-3</v>
      </c>
      <c r="U48" s="31">
        <v>2E-3</v>
      </c>
      <c r="W48" s="31">
        <v>2E-3</v>
      </c>
      <c r="Y48" s="31">
        <v>2E-3</v>
      </c>
      <c r="AE48" s="11"/>
      <c r="AF48" s="11"/>
      <c r="AG48" s="11"/>
      <c r="AH48" s="11">
        <f>AH47/AG41</f>
        <v>-3.7974683544303792E-2</v>
      </c>
      <c r="AI48" s="31">
        <v>2E-3</v>
      </c>
      <c r="AJ48" s="31">
        <v>2E-3</v>
      </c>
      <c r="AK48" s="31">
        <v>2E-3</v>
      </c>
      <c r="AL48" s="31">
        <v>2E-3</v>
      </c>
      <c r="AM48" s="31">
        <v>2E-3</v>
      </c>
      <c r="AN48" s="31">
        <v>2E-3</v>
      </c>
      <c r="AO48" s="31">
        <v>2E-3</v>
      </c>
    </row>
    <row r="49" spans="1:41" s="1" customFormat="1" x14ac:dyDescent="0.3">
      <c r="A49" s="20"/>
      <c r="B49" s="11"/>
      <c r="C49" s="11"/>
      <c r="D49" s="11"/>
      <c r="E49" s="11"/>
      <c r="F49" s="11"/>
      <c r="G49" s="11"/>
      <c r="H49" s="11"/>
      <c r="I49" s="11"/>
      <c r="J49" s="11"/>
      <c r="K49" s="19"/>
      <c r="L49" s="11"/>
      <c r="M49" s="19"/>
      <c r="AE49" s="11"/>
      <c r="AF49" s="11"/>
      <c r="AG49" s="11"/>
      <c r="AH49" s="11"/>
    </row>
    <row r="50" spans="1:41" s="1" customFormat="1" x14ac:dyDescent="0.3">
      <c r="A50" s="20"/>
      <c r="B50" s="11"/>
      <c r="C50" s="11"/>
      <c r="D50" s="11"/>
      <c r="E50" s="11"/>
      <c r="F50" s="11"/>
      <c r="G50" s="11"/>
      <c r="H50" s="11"/>
      <c r="I50" s="11"/>
      <c r="J50" s="11"/>
      <c r="K50" s="19"/>
      <c r="L50" s="11"/>
      <c r="M50" s="19"/>
      <c r="AE50" s="11"/>
      <c r="AF50" s="11"/>
      <c r="AG50" s="11"/>
      <c r="AH50" s="11"/>
    </row>
    <row r="51" spans="1:41" s="1" customFormat="1" x14ac:dyDescent="0.3">
      <c r="A51" s="20" t="s">
        <v>169</v>
      </c>
      <c r="B51" s="11"/>
      <c r="C51" s="11"/>
      <c r="D51" s="11"/>
      <c r="E51" s="19"/>
      <c r="F51" s="19"/>
      <c r="G51" s="19">
        <v>124.1</v>
      </c>
      <c r="H51" s="19"/>
      <c r="I51" s="19">
        <v>142.19999999999999</v>
      </c>
      <c r="J51" s="19"/>
      <c r="K51" s="19">
        <f>K22+K31+K41</f>
        <v>135.1</v>
      </c>
      <c r="L51" s="19"/>
      <c r="M51" s="19">
        <f>M22+M31+M41</f>
        <v>133.6</v>
      </c>
      <c r="O51" s="19">
        <f>'Africa &amp; Middle East'!O51+Americas!O51+'Asia Pacific'!O51+Europe!O51</f>
        <v>134.2687708</v>
      </c>
      <c r="Q51" s="19">
        <f>'Africa &amp; Middle East'!Q51+Americas!Q51+'Asia Pacific'!Q51+Europe!Q51</f>
        <v>135.2198631956</v>
      </c>
      <c r="S51" s="19">
        <f>'Africa &amp; Middle East'!S51+Americas!S51+'Asia Pacific'!S51+Europe!S51</f>
        <v>136.17772534796921</v>
      </c>
      <c r="U51" s="19">
        <f>'Africa &amp; Middle East'!U51+Americas!U51+'Asia Pacific'!U51+Europe!U51</f>
        <v>137.14240576650499</v>
      </c>
      <c r="W51" s="19">
        <f>'Africa &amp; Middle East'!W51+Americas!W51+'Asia Pacific'!W51+Europe!W51</f>
        <v>138.11395331138152</v>
      </c>
      <c r="Y51" s="19">
        <f>'Africa &amp; Middle East'!Y51+Americas!Y51+'Asia Pacific'!Y51+Europe!Y51</f>
        <v>139.09241719611731</v>
      </c>
      <c r="AE51" s="11"/>
      <c r="AF51" s="11"/>
      <c r="AG51" s="19">
        <v>288.39999999999998</v>
      </c>
      <c r="AH51" s="19">
        <v>275.8</v>
      </c>
      <c r="AI51">
        <f>'Africa &amp; Middle East'!AJ51+Americas!AI51+'Asia Pacific'!AI51+Europe!AI51</f>
        <v>277.7552</v>
      </c>
      <c r="AJ51">
        <f>'Africa &amp; Middle East'!AK51+Americas!AJ51+'Asia Pacific'!AJ51+Europe!AJ51</f>
        <v>279.72433239999998</v>
      </c>
      <c r="AK51">
        <f>'Africa &amp; Middle East'!AL51+Americas!AK51+'Asia Pacific'!AK51+Europe!AK51</f>
        <v>281.70749718679997</v>
      </c>
      <c r="AL51">
        <f>'Africa &amp; Middle East'!AM51+Americas!AL51+'Asia Pacific'!AL51+Europe!AL51</f>
        <v>283.70479507170762</v>
      </c>
      <c r="AM51">
        <f>'Africa &amp; Middle East'!AN51+Americas!AM51+'Asia Pacific'!AM51+Europe!AM51</f>
        <v>285.71632749585552</v>
      </c>
      <c r="AN51">
        <f>'Africa &amp; Middle East'!AO51+Americas!AN51+'Asia Pacific'!AN51+Europe!AN51</f>
        <v>287.74219663555903</v>
      </c>
      <c r="AO51">
        <f>'Africa &amp; Middle East'!AP51+Americas!AO51+'Asia Pacific'!AO51+Europe!AO51</f>
        <v>289.78250540771262</v>
      </c>
    </row>
    <row r="52" spans="1:41" s="1" customFormat="1" x14ac:dyDescent="0.3">
      <c r="A52" s="20"/>
      <c r="B52" s="11"/>
      <c r="C52" s="11"/>
      <c r="D52" s="11"/>
      <c r="E52" s="11"/>
      <c r="F52" s="11"/>
      <c r="G52" s="15" t="str">
        <f t="shared" ref="G52:L52" si="20">IFERROR(G51/E51-1, "-")</f>
        <v>-</v>
      </c>
      <c r="H52" s="15" t="str">
        <f t="shared" si="20"/>
        <v>-</v>
      </c>
      <c r="I52" s="15">
        <f t="shared" si="20"/>
        <v>0.14585012087026583</v>
      </c>
      <c r="J52" s="15" t="str">
        <f t="shared" si="20"/>
        <v>-</v>
      </c>
      <c r="K52" s="15">
        <f t="shared" si="20"/>
        <v>-4.9929676511955012E-2</v>
      </c>
      <c r="L52" s="15" t="str">
        <f t="shared" si="20"/>
        <v>-</v>
      </c>
      <c r="M52" s="15">
        <f>IFERROR(M51/K51-1, "-")</f>
        <v>-1.1102886750555152E-2</v>
      </c>
      <c r="AE52" s="11"/>
      <c r="AF52" s="11"/>
      <c r="AG52" s="11"/>
      <c r="AH52" s="11"/>
    </row>
    <row r="53" spans="1:41" s="1" customFormat="1" x14ac:dyDescent="0.3">
      <c r="A53" s="27" t="s">
        <v>138</v>
      </c>
      <c r="B53" s="11"/>
      <c r="C53" s="11"/>
      <c r="D53" s="11"/>
      <c r="E53" s="19"/>
      <c r="F53" s="19"/>
      <c r="G53" s="19"/>
      <c r="H53" s="19"/>
      <c r="I53" s="19">
        <v>0</v>
      </c>
      <c r="J53" s="11"/>
      <c r="K53" s="19"/>
      <c r="L53" s="11"/>
      <c r="M53" s="19">
        <v>0</v>
      </c>
      <c r="O53" s="19">
        <f>'Africa &amp; Middle East'!O53+Americas!O53+'Asia Pacific'!O53+Europe!O53</f>
        <v>0</v>
      </c>
      <c r="Q53" s="19">
        <f>'Africa &amp; Middle East'!Q53+Americas!Q53+'Asia Pacific'!Q53+Europe!Q53</f>
        <v>0</v>
      </c>
      <c r="S53" s="19">
        <f>'Africa &amp; Middle East'!S53+Americas!S53+'Asia Pacific'!S53+Europe!S53</f>
        <v>0</v>
      </c>
      <c r="U53" s="19">
        <f>'Africa &amp; Middle East'!U53+Americas!U53+'Asia Pacific'!U53+Europe!U53</f>
        <v>0</v>
      </c>
      <c r="W53" s="19">
        <f>'Africa &amp; Middle East'!W53+Americas!W53+'Asia Pacific'!W53+Europe!W53</f>
        <v>0</v>
      </c>
      <c r="Y53" s="19">
        <f>'Africa &amp; Middle East'!Y53+Americas!Y53+'Asia Pacific'!Y53+Europe!Y53</f>
        <v>0</v>
      </c>
      <c r="AE53" s="11"/>
      <c r="AF53" s="19"/>
      <c r="AG53" s="19"/>
      <c r="AH53" s="19">
        <v>0</v>
      </c>
      <c r="AI53">
        <f>'Africa &amp; Middle East'!AJ53+Americas!AI53+'Asia Pacific'!AI53+Europe!AI53</f>
        <v>0</v>
      </c>
      <c r="AJ53">
        <f>'Africa &amp; Middle East'!AK53+Americas!AJ53+'Asia Pacific'!AJ53+Europe!AJ53</f>
        <v>0</v>
      </c>
      <c r="AK53">
        <f>'Africa &amp; Middle East'!AL53+Americas!AK53+'Asia Pacific'!AK53+Europe!AK53</f>
        <v>0</v>
      </c>
      <c r="AL53">
        <f>'Africa &amp; Middle East'!AM53+Americas!AL53+'Asia Pacific'!AL53+Europe!AL53</f>
        <v>0</v>
      </c>
      <c r="AM53">
        <f>'Africa &amp; Middle East'!AN53+Americas!AM53+'Asia Pacific'!AM53+Europe!AM53</f>
        <v>0</v>
      </c>
      <c r="AN53">
        <f>'Africa &amp; Middle East'!AO53+Americas!AN53+'Asia Pacific'!AN53+Europe!AN53</f>
        <v>0</v>
      </c>
      <c r="AO53">
        <f>'Africa &amp; Middle East'!AP53+Americas!AO53+'Asia Pacific'!AO53+Europe!AO53</f>
        <v>0</v>
      </c>
    </row>
    <row r="54" spans="1:41" s="1" customFormat="1" x14ac:dyDescent="0.3">
      <c r="A54" s="20" t="s">
        <v>159</v>
      </c>
      <c r="B54" s="11"/>
      <c r="C54" s="11"/>
      <c r="D54" s="11"/>
      <c r="E54" s="11"/>
      <c r="F54" s="11"/>
      <c r="G54" s="15" t="str">
        <f t="shared" ref="G54:L54" si="21">IFERROR(G53/E51,"-")</f>
        <v>-</v>
      </c>
      <c r="H54" s="15" t="str">
        <f t="shared" si="21"/>
        <v>-</v>
      </c>
      <c r="I54" s="15">
        <f t="shared" si="21"/>
        <v>0</v>
      </c>
      <c r="J54" s="15" t="str">
        <f t="shared" si="21"/>
        <v>-</v>
      </c>
      <c r="K54" s="15">
        <f t="shared" si="21"/>
        <v>0</v>
      </c>
      <c r="L54" s="15" t="str">
        <f t="shared" si="21"/>
        <v>-</v>
      </c>
      <c r="M54" s="15">
        <f>IFERROR(M53/K51,"-")</f>
        <v>0</v>
      </c>
      <c r="O54" s="30">
        <v>0</v>
      </c>
      <c r="Q54" s="30">
        <v>0</v>
      </c>
      <c r="S54" s="30">
        <v>0</v>
      </c>
      <c r="U54" s="30">
        <v>0</v>
      </c>
      <c r="W54" s="30">
        <v>0</v>
      </c>
      <c r="Y54" s="30">
        <v>0</v>
      </c>
      <c r="AE54" s="11"/>
      <c r="AF54" s="11"/>
      <c r="AG54" s="11"/>
      <c r="AH54" s="11">
        <f>AH53/AG51</f>
        <v>0</v>
      </c>
      <c r="AI54" s="30">
        <v>0</v>
      </c>
      <c r="AJ54" s="30">
        <v>0</v>
      </c>
      <c r="AK54" s="30">
        <v>0</v>
      </c>
      <c r="AL54" s="30">
        <v>0</v>
      </c>
      <c r="AM54" s="30">
        <v>0</v>
      </c>
      <c r="AN54" s="30">
        <v>0</v>
      </c>
      <c r="AO54" s="30">
        <v>0</v>
      </c>
    </row>
    <row r="55" spans="1:41" s="1" customFormat="1" x14ac:dyDescent="0.3">
      <c r="A55" t="s">
        <v>139</v>
      </c>
      <c r="B55" s="11"/>
      <c r="C55" s="11"/>
      <c r="D55" s="11"/>
      <c r="E55" s="19"/>
      <c r="F55" s="19"/>
      <c r="G55" s="19"/>
      <c r="H55" s="19"/>
      <c r="I55" s="19">
        <v>8.6</v>
      </c>
      <c r="J55" s="11"/>
      <c r="K55" s="19">
        <v>0.6</v>
      </c>
      <c r="L55" s="11"/>
      <c r="M55" s="19">
        <v>-2.6</v>
      </c>
      <c r="O55" s="19">
        <f>'Africa &amp; Middle East'!O55+Americas!O55+'Asia Pacific'!O55+Europe!O55</f>
        <v>0.63234879999999993</v>
      </c>
      <c r="Q55" s="19">
        <f>'Africa &amp; Middle East'!Q55+Americas!Q55+'Asia Pacific'!Q55+Europe!Q55</f>
        <v>0.63683074160000008</v>
      </c>
      <c r="S55" s="19">
        <f>'Africa &amp; Middle East'!S55+Americas!S55+'Asia Pacific'!S55+Europe!S55</f>
        <v>0.64134461179120006</v>
      </c>
      <c r="U55" s="19">
        <f>'Africa &amp; Middle East'!U55+Americas!U55+'Asia Pacific'!U55+Europe!U55</f>
        <v>0.64589063962373849</v>
      </c>
      <c r="W55" s="19">
        <f>'Africa &amp; Middle East'!W55+Americas!W55+'Asia Pacific'!W55+Europe!W55</f>
        <v>0.65046905580660463</v>
      </c>
      <c r="Y55" s="19">
        <f>'Africa &amp; Middle East'!Y55+Americas!Y55+'Asia Pacific'!Y55+Europe!Y55</f>
        <v>0.65508009271980583</v>
      </c>
      <c r="AE55" s="11"/>
      <c r="AF55" s="19"/>
      <c r="AG55" s="19"/>
      <c r="AH55" s="19">
        <v>1</v>
      </c>
      <c r="AI55">
        <f>'Africa &amp; Middle East'!AJ55+Americas!AI55+'Asia Pacific'!AI55+Europe!AI55</f>
        <v>1.304</v>
      </c>
      <c r="AJ55">
        <f>'Africa &amp; Middle East'!AK55+Americas!AJ55+'Asia Pacific'!AJ55+Europe!AJ55</f>
        <v>1.3132509999999999</v>
      </c>
      <c r="AK55">
        <f>'Africa &amp; Middle East'!AL55+Americas!AK55+'Asia Pacific'!AK55+Europe!AK55</f>
        <v>1.322567987</v>
      </c>
      <c r="AL55">
        <f>'Africa &amp; Middle East'!AM55+Americas!AL55+'Asia Pacific'!AL55+Europe!AL55</f>
        <v>1.3319514352090001</v>
      </c>
      <c r="AM55">
        <f>'Africa &amp; Middle East'!AN55+Americas!AM55+'Asia Pacific'!AM55+Europe!AM55</f>
        <v>1.3414018222784629</v>
      </c>
      <c r="AN55">
        <f>'Africa &amp; Middle East'!AO55+Americas!AN55+'Asia Pacific'!AN55+Europe!AN55</f>
        <v>1.350919629327642</v>
      </c>
      <c r="AO55">
        <f>'Africa &amp; Middle East'!AP55+Americas!AO55+'Asia Pacific'!AO55+Europe!AO55</f>
        <v>1.3605053409690979</v>
      </c>
    </row>
    <row r="56" spans="1:41" s="1" customFormat="1" x14ac:dyDescent="0.3">
      <c r="A56" s="20" t="s">
        <v>160</v>
      </c>
      <c r="B56" s="11"/>
      <c r="C56" s="11"/>
      <c r="D56" s="11"/>
      <c r="E56" s="11"/>
      <c r="F56" s="11"/>
      <c r="G56" s="15" t="str">
        <f t="shared" ref="G56:L56" si="22">IFERROR(G55/E51,"-")</f>
        <v>-</v>
      </c>
      <c r="H56" s="15" t="str">
        <f t="shared" si="22"/>
        <v>-</v>
      </c>
      <c r="I56" s="15">
        <f t="shared" si="22"/>
        <v>6.9298952457695406E-2</v>
      </c>
      <c r="J56" s="15" t="str">
        <f t="shared" si="22"/>
        <v>-</v>
      </c>
      <c r="K56" s="15">
        <f t="shared" si="22"/>
        <v>4.2194092827004225E-3</v>
      </c>
      <c r="L56" s="15" t="str">
        <f t="shared" si="22"/>
        <v>-</v>
      </c>
      <c r="M56" s="15">
        <f>IFERROR(M55/K51,"-")</f>
        <v>-1.924500370096225E-2</v>
      </c>
      <c r="O56" s="31">
        <v>2E-3</v>
      </c>
      <c r="Q56" s="31">
        <v>2E-3</v>
      </c>
      <c r="S56" s="31">
        <v>2E-3</v>
      </c>
      <c r="U56" s="31">
        <v>2E-3</v>
      </c>
      <c r="W56" s="31">
        <v>2E-3</v>
      </c>
      <c r="Y56" s="31">
        <v>2E-3</v>
      </c>
      <c r="AE56" s="11"/>
      <c r="AF56" s="11"/>
      <c r="AG56" s="11"/>
      <c r="AH56" s="11">
        <f>AH55/AG51</f>
        <v>3.4674063800277394E-3</v>
      </c>
      <c r="AI56" s="31">
        <v>2E-3</v>
      </c>
      <c r="AJ56" s="31">
        <v>2E-3</v>
      </c>
      <c r="AK56" s="31">
        <v>2E-3</v>
      </c>
      <c r="AL56" s="31">
        <v>2E-3</v>
      </c>
      <c r="AM56" s="31">
        <v>2E-3</v>
      </c>
      <c r="AN56" s="31">
        <v>2E-3</v>
      </c>
      <c r="AO56" s="31">
        <v>2E-3</v>
      </c>
    </row>
    <row r="57" spans="1:41" s="1" customFormat="1" x14ac:dyDescent="0.3">
      <c r="A57" t="s">
        <v>158</v>
      </c>
      <c r="B57" s="11"/>
      <c r="C57" s="11"/>
      <c r="D57" s="11"/>
      <c r="E57" s="19"/>
      <c r="F57" s="19"/>
      <c r="G57" s="19"/>
      <c r="H57" s="19"/>
      <c r="I57" s="19">
        <v>9.5</v>
      </c>
      <c r="J57" s="11"/>
      <c r="K57" s="19">
        <v>-7.7</v>
      </c>
      <c r="L57" s="11"/>
      <c r="M57" s="19">
        <v>0.7</v>
      </c>
      <c r="O57" s="19">
        <f>'Africa &amp; Middle East'!O57+Americas!O57+'Asia Pacific'!O57+Europe!O57</f>
        <v>0.31202200000000002</v>
      </c>
      <c r="Q57" s="19">
        <f>'Africa &amp; Middle East'!Q57+Americas!Q57+'Asia Pacific'!Q57+Europe!Q57</f>
        <v>0.314261654</v>
      </c>
      <c r="S57" s="19">
        <f>'Africa &amp; Middle East'!S57+Americas!S57+'Asia Pacific'!S57+Europe!S57</f>
        <v>0.31651754057800002</v>
      </c>
      <c r="U57" s="19">
        <f>'Africa &amp; Middle East'!U57+Americas!U57+'Asia Pacific'!U57+Europe!U57</f>
        <v>0.31878977891204602</v>
      </c>
      <c r="W57" s="19">
        <f>'Africa &amp; Middle East'!W57+Americas!W57+'Asia Pacific'!W57+Europe!W57</f>
        <v>0.32107848906993031</v>
      </c>
      <c r="Y57" s="19">
        <f>'Africa &amp; Middle East'!Y57+Americas!Y57+'Asia Pacific'!Y57+Europe!Y57</f>
        <v>0.32338379201597484</v>
      </c>
      <c r="AE57" s="11"/>
      <c r="AF57" s="19"/>
      <c r="AG57" s="19"/>
      <c r="AH57" s="19">
        <v>-13.6</v>
      </c>
      <c r="AI57">
        <f>'Africa &amp; Middle East'!AJ57+Americas!AI57+'Asia Pacific'!AI57+Europe!AI57</f>
        <v>0.65120000000000011</v>
      </c>
      <c r="AJ57">
        <f>'Africa &amp; Middle East'!AK57+Americas!AJ57+'Asia Pacific'!AJ57+Europe!AJ57</f>
        <v>0.65588140000000006</v>
      </c>
      <c r="AK57">
        <f>'Africa &amp; Middle East'!AL57+Americas!AK57+'Asia Pacific'!AK57+Europe!AK57</f>
        <v>0.66059679979999997</v>
      </c>
      <c r="AL57">
        <f>'Africa &amp; Middle East'!AM57+Americas!AL57+'Asia Pacific'!AL57+Europe!AL57</f>
        <v>0.66534644969859991</v>
      </c>
      <c r="AM57">
        <f>'Africa &amp; Middle East'!AN57+Americas!AM57+'Asia Pacific'!AM57+Europe!AM57</f>
        <v>0.67013060186949014</v>
      </c>
      <c r="AN57">
        <f>'Africa &amp; Middle East'!AO57+Americas!AN57+'Asia Pacific'!AN57+Europe!AN57</f>
        <v>0.67494951037580664</v>
      </c>
      <c r="AO57">
        <f>'Africa &amp; Middle East'!AP57+Americas!AO57+'Asia Pacific'!AO57+Europe!AO57</f>
        <v>0.67980343118459952</v>
      </c>
    </row>
    <row r="58" spans="1:41" s="1" customFormat="1" x14ac:dyDescent="0.3">
      <c r="A58" s="20" t="s">
        <v>161</v>
      </c>
      <c r="B58" s="11"/>
      <c r="C58" s="11"/>
      <c r="D58" s="11"/>
      <c r="E58" s="11"/>
      <c r="F58" s="11"/>
      <c r="G58" s="15" t="str">
        <f t="shared" ref="G58:L58" si="23">IFERROR(G57/E51,"-")</f>
        <v>-</v>
      </c>
      <c r="H58" s="15" t="str">
        <f t="shared" si="23"/>
        <v>-</v>
      </c>
      <c r="I58" s="15">
        <f t="shared" si="23"/>
        <v>7.6551168412570508E-2</v>
      </c>
      <c r="J58" s="15" t="str">
        <f t="shared" si="23"/>
        <v>-</v>
      </c>
      <c r="K58" s="15">
        <f t="shared" si="23"/>
        <v>-5.4149085794655417E-2</v>
      </c>
      <c r="L58" s="15" t="str">
        <f t="shared" si="23"/>
        <v>-</v>
      </c>
      <c r="M58" s="15">
        <f>IFERROR(M57/K51,"-")</f>
        <v>5.1813471502590676E-3</v>
      </c>
      <c r="O58" s="31">
        <v>2E-3</v>
      </c>
      <c r="Q58" s="31">
        <v>2E-3</v>
      </c>
      <c r="S58" s="31">
        <v>2E-3</v>
      </c>
      <c r="U58" s="31">
        <v>2E-3</v>
      </c>
      <c r="W58" s="31">
        <v>2E-3</v>
      </c>
      <c r="Y58" s="31">
        <v>2E-3</v>
      </c>
      <c r="AE58" s="11"/>
      <c r="AF58" s="11"/>
      <c r="AG58" s="11"/>
      <c r="AH58" s="11">
        <f>AH57/AG51</f>
        <v>-4.7156726768377254E-2</v>
      </c>
      <c r="AI58" s="31">
        <v>2E-3</v>
      </c>
      <c r="AJ58" s="31">
        <v>2E-3</v>
      </c>
      <c r="AK58" s="31">
        <v>2E-3</v>
      </c>
      <c r="AL58" s="31">
        <v>2E-3</v>
      </c>
      <c r="AM58" s="31">
        <v>2E-3</v>
      </c>
      <c r="AN58" s="31">
        <v>2E-3</v>
      </c>
      <c r="AO58" s="31">
        <v>2E-3</v>
      </c>
    </row>
    <row r="59" spans="1:41" s="1" customFormat="1" x14ac:dyDescent="0.3">
      <c r="A59" s="20"/>
      <c r="B59" s="11"/>
      <c r="C59" s="11"/>
      <c r="D59" s="11"/>
      <c r="E59" s="11"/>
      <c r="F59" s="11"/>
      <c r="G59" s="11"/>
      <c r="H59" s="11"/>
      <c r="I59" s="11"/>
      <c r="J59" s="11"/>
      <c r="K59" s="19"/>
      <c r="L59" s="11"/>
      <c r="M59" s="19"/>
      <c r="AE59" s="11"/>
      <c r="AF59" s="11"/>
      <c r="AG59" s="11"/>
      <c r="AH59" s="11"/>
    </row>
    <row r="60" spans="1:41" s="1" customFormat="1" x14ac:dyDescent="0.3">
      <c r="A60" s="20" t="s">
        <v>167</v>
      </c>
      <c r="B60" s="11"/>
      <c r="C60" s="11"/>
      <c r="D60" s="11"/>
      <c r="E60" s="21"/>
      <c r="F60" s="21"/>
      <c r="G60" s="21">
        <v>4.4000000000000004</v>
      </c>
      <c r="H60" s="21"/>
      <c r="I60" s="21">
        <v>4.8</v>
      </c>
      <c r="J60" s="11"/>
      <c r="K60" s="21">
        <v>5.8</v>
      </c>
      <c r="L60" s="11"/>
      <c r="M60" s="21">
        <v>5.9</v>
      </c>
      <c r="AE60" s="11"/>
      <c r="AF60" s="19"/>
      <c r="AG60" s="21">
        <v>11.1</v>
      </c>
      <c r="AH60" s="21">
        <v>13.1</v>
      </c>
    </row>
    <row r="61" spans="1:41" s="1" customFormat="1" x14ac:dyDescent="0.3">
      <c r="A61" s="20"/>
      <c r="B61" s="11"/>
      <c r="C61" s="11"/>
      <c r="D61" s="11"/>
      <c r="E61" s="21"/>
      <c r="F61" s="21"/>
      <c r="G61" s="21"/>
      <c r="H61" s="21"/>
      <c r="I61" s="21"/>
      <c r="J61" s="11"/>
      <c r="K61" s="21"/>
      <c r="L61" s="11"/>
      <c r="M61" s="21"/>
      <c r="AE61" s="11"/>
      <c r="AF61" s="11"/>
      <c r="AG61" s="11"/>
      <c r="AH61" s="11"/>
    </row>
    <row r="62" spans="1:41" s="1" customFormat="1" x14ac:dyDescent="0.3">
      <c r="A62" s="20" t="s">
        <v>168</v>
      </c>
      <c r="B62" s="11"/>
      <c r="C62" s="11"/>
      <c r="D62" s="11"/>
      <c r="E62" s="21"/>
      <c r="F62" s="21"/>
      <c r="G62" s="21">
        <v>132.1</v>
      </c>
      <c r="H62" s="21"/>
      <c r="I62" s="21">
        <v>146.1</v>
      </c>
      <c r="J62" s="11"/>
      <c r="K62" s="21">
        <v>140.9</v>
      </c>
      <c r="L62" s="11"/>
      <c r="M62" s="21">
        <v>138.1</v>
      </c>
      <c r="AE62" s="11"/>
      <c r="AF62" s="19"/>
      <c r="AG62" s="21">
        <v>301.39999999999998</v>
      </c>
      <c r="AH62" s="21">
        <v>288.60000000000002</v>
      </c>
    </row>
    <row r="63" spans="1:41" s="1" customFormat="1" x14ac:dyDescent="0.3">
      <c r="A63" s="20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AE63" s="11"/>
      <c r="AF63" s="11"/>
      <c r="AG63" s="11"/>
      <c r="AH63" s="11"/>
    </row>
    <row r="65" spans="1:34" x14ac:dyDescent="0.3">
      <c r="A65" s="3"/>
    </row>
    <row r="66" spans="1:34" x14ac:dyDescent="0.3">
      <c r="A66" s="3"/>
      <c r="M66" s="22">
        <f>M8+M10+M12-M18</f>
        <v>0</v>
      </c>
    </row>
    <row r="67" spans="1:34" x14ac:dyDescent="0.3">
      <c r="A67" s="3"/>
    </row>
    <row r="68" spans="1:34" x14ac:dyDescent="0.3">
      <c r="M68" s="12"/>
    </row>
    <row r="69" spans="1:34" x14ac:dyDescent="0.3">
      <c r="A69" s="3"/>
    </row>
    <row r="70" spans="1:34" s="1" customFormat="1" x14ac:dyDescent="0.3"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AE70" s="11"/>
      <c r="AF70" s="11"/>
      <c r="AG70" s="11"/>
      <c r="AH70" s="11"/>
    </row>
    <row r="72" spans="1:34" x14ac:dyDescent="0.3">
      <c r="A72" s="3"/>
    </row>
    <row r="73" spans="1:34" s="1" customFormat="1" x14ac:dyDescent="0.3"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AE73" s="11"/>
      <c r="AF73" s="11"/>
      <c r="AG73" s="11"/>
      <c r="AH73" s="11"/>
    </row>
    <row r="75" spans="1:34" x14ac:dyDescent="0.3">
      <c r="A75" s="3"/>
    </row>
    <row r="77" spans="1:34" x14ac:dyDescent="0.3">
      <c r="A77" s="3"/>
    </row>
    <row r="78" spans="1:34" x14ac:dyDescent="0.3">
      <c r="A78" s="3"/>
      <c r="M78" s="10"/>
    </row>
    <row r="79" spans="1:34" x14ac:dyDescent="0.3">
      <c r="A79" s="3"/>
    </row>
    <row r="81" spans="1:34" x14ac:dyDescent="0.3">
      <c r="A81" s="3"/>
    </row>
    <row r="82" spans="1:34" s="1" customFormat="1" x14ac:dyDescent="0.3"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AE82" s="11"/>
      <c r="AF82" s="11"/>
      <c r="AG82" s="11"/>
      <c r="AH82" s="11"/>
    </row>
    <row r="84" spans="1:34" x14ac:dyDescent="0.3">
      <c r="A84" s="3"/>
    </row>
    <row r="85" spans="1:34" s="1" customFormat="1" x14ac:dyDescent="0.3"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AE85" s="11"/>
      <c r="AF85" s="11"/>
      <c r="AG85" s="11"/>
      <c r="AH85" s="11"/>
    </row>
    <row r="87" spans="1:34" x14ac:dyDescent="0.3">
      <c r="A87" s="3"/>
    </row>
    <row r="89" spans="1:34" x14ac:dyDescent="0.3">
      <c r="A89" s="3"/>
    </row>
    <row r="90" spans="1:34" x14ac:dyDescent="0.3">
      <c r="A90" s="3"/>
      <c r="M90" s="10"/>
    </row>
    <row r="91" spans="1:34" x14ac:dyDescent="0.3">
      <c r="A91" s="3"/>
    </row>
    <row r="93" spans="1:34" x14ac:dyDescent="0.3">
      <c r="A93" s="3"/>
    </row>
    <row r="94" spans="1:34" s="1" customFormat="1" x14ac:dyDescent="0.3"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AE94" s="11"/>
      <c r="AF94" s="11"/>
      <c r="AG94" s="11"/>
      <c r="AH94" s="11"/>
    </row>
    <row r="96" spans="1:34" x14ac:dyDescent="0.3">
      <c r="A96" s="3"/>
    </row>
    <row r="97" spans="1:34" s="1" customFormat="1" x14ac:dyDescent="0.3"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AE97" s="11"/>
      <c r="AF97" s="11"/>
      <c r="AG97" s="11"/>
      <c r="AH97" s="11"/>
    </row>
    <row r="99" spans="1:34" x14ac:dyDescent="0.3">
      <c r="A99" s="3"/>
    </row>
    <row r="101" spans="1:34" x14ac:dyDescent="0.3">
      <c r="A101" s="3"/>
    </row>
    <row r="102" spans="1:34" x14ac:dyDescent="0.3">
      <c r="A102" s="3"/>
    </row>
    <row r="104" spans="1:34" x14ac:dyDescent="0.3">
      <c r="A104" s="3"/>
    </row>
    <row r="105" spans="1:34" x14ac:dyDescent="0.3">
      <c r="A105" s="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AE105" s="11"/>
      <c r="AF105" s="11"/>
      <c r="AG105" s="11"/>
      <c r="AH105" s="11"/>
    </row>
    <row r="107" spans="1:34" x14ac:dyDescent="0.3">
      <c r="A107" s="3"/>
    </row>
    <row r="108" spans="1:34" x14ac:dyDescent="0.3">
      <c r="A108" s="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AE108" s="11"/>
      <c r="AF108" s="11"/>
      <c r="AG108" s="11"/>
      <c r="AH108" s="11"/>
    </row>
    <row r="110" spans="1:34" x14ac:dyDescent="0.3">
      <c r="A110" s="3"/>
    </row>
    <row r="111" spans="1:34" x14ac:dyDescent="0.3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AE111" s="12"/>
      <c r="AF111" s="12"/>
      <c r="AG111" s="12"/>
      <c r="AH111" s="12"/>
    </row>
    <row r="112" spans="1:34" x14ac:dyDescent="0.3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AE112" s="12"/>
      <c r="AF112" s="12"/>
      <c r="AG112" s="12"/>
      <c r="AH112" s="12"/>
    </row>
    <row r="113" spans="2:41" x14ac:dyDescent="0.3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E113" s="12"/>
      <c r="AF113" s="12"/>
      <c r="AG113" s="12"/>
      <c r="AH113" s="12"/>
      <c r="AI113" s="14"/>
      <c r="AJ113" s="14"/>
      <c r="AK113" s="14"/>
      <c r="AL113" s="14"/>
      <c r="AM113" s="14"/>
      <c r="AN113" s="14"/>
      <c r="AO113" s="14"/>
    </row>
    <row r="114" spans="2:41" x14ac:dyDescent="0.3">
      <c r="K114" s="14"/>
      <c r="M114" s="14"/>
      <c r="AG114" s="14"/>
      <c r="AH114" s="14"/>
    </row>
    <row r="115" spans="2:41" x14ac:dyDescent="0.3">
      <c r="P115" s="10"/>
      <c r="R115" s="10"/>
      <c r="T115" s="10"/>
      <c r="V115" s="10"/>
      <c r="X115" s="10"/>
      <c r="Z115" s="10"/>
    </row>
    <row r="116" spans="2:41" x14ac:dyDescent="0.3">
      <c r="M116" s="11"/>
      <c r="P116" s="10"/>
      <c r="R116" s="10"/>
      <c r="T116" s="10"/>
      <c r="V116" s="10"/>
      <c r="X116" s="10"/>
      <c r="Z116" s="10"/>
      <c r="AH116" s="11"/>
    </row>
    <row r="117" spans="2:41" x14ac:dyDescent="0.3">
      <c r="P117" s="10"/>
      <c r="R117" s="10"/>
      <c r="T117" s="10"/>
      <c r="V117" s="10"/>
      <c r="X117" s="10"/>
      <c r="Z117" s="10"/>
    </row>
    <row r="118" spans="2:41" x14ac:dyDescent="0.3">
      <c r="M118" s="11"/>
      <c r="P118" s="10"/>
      <c r="R118" s="10"/>
      <c r="T118" s="10"/>
      <c r="V118" s="10"/>
      <c r="X118" s="10"/>
      <c r="Z118" s="10"/>
      <c r="AH118" s="11"/>
    </row>
    <row r="120" spans="2:41" x14ac:dyDescent="0.3">
      <c r="M120" s="11"/>
      <c r="AH120" s="11"/>
    </row>
    <row r="121" spans="2:41" x14ac:dyDescent="0.3">
      <c r="M121" s="13"/>
      <c r="AH121" s="13"/>
    </row>
    <row r="122" spans="2:41" x14ac:dyDescent="0.3">
      <c r="M122" s="11"/>
      <c r="O122" s="10"/>
      <c r="Q122" s="10"/>
      <c r="S122" s="10"/>
      <c r="U122" s="10"/>
      <c r="W122" s="10"/>
      <c r="Y122" s="10"/>
      <c r="AH122" s="11"/>
      <c r="AI122" s="10"/>
      <c r="AJ122" s="10"/>
      <c r="AK122" s="10"/>
      <c r="AL122" s="10"/>
      <c r="AM122" s="10"/>
      <c r="AN122" s="10"/>
      <c r="AO122" s="10"/>
    </row>
    <row r="123" spans="2:41" x14ac:dyDescent="0.3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AE123" s="12"/>
      <c r="AF123" s="12"/>
      <c r="AG123" s="12"/>
      <c r="AH123" s="12"/>
    </row>
    <row r="127" spans="2:41" x14ac:dyDescent="0.3">
      <c r="M127" s="10"/>
    </row>
    <row r="128" spans="2:41" x14ac:dyDescent="0.3">
      <c r="M128" s="10"/>
    </row>
    <row r="129" spans="13:13" x14ac:dyDescent="0.3">
      <c r="M129" s="10"/>
    </row>
    <row r="130" spans="13:13" x14ac:dyDescent="0.3">
      <c r="M130" s="10"/>
    </row>
    <row r="131" spans="13:13" x14ac:dyDescent="0.3">
      <c r="M131" s="10"/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A439C-B7F1-4FAC-8618-FC208E7DEEA3}">
  <dimension ref="A2:K100"/>
  <sheetViews>
    <sheetView showGridLines="0" workbookViewId="0">
      <pane xSplit="2" ySplit="5" topLeftCell="C12" activePane="bottomRight" state="frozen"/>
      <selection pane="topRight" activeCell="C1" sqref="C1"/>
      <selection pane="bottomLeft" activeCell="A6" sqref="A6"/>
      <selection pane="bottomRight" activeCell="F21" sqref="F21"/>
    </sheetView>
  </sheetViews>
  <sheetFormatPr defaultColWidth="14.44140625" defaultRowHeight="15" customHeight="1" x14ac:dyDescent="0.3"/>
  <cols>
    <col min="1" max="1" width="35.6640625" style="44" customWidth="1"/>
    <col min="2" max="2" width="0.5546875" style="44" customWidth="1"/>
    <col min="3" max="3" width="10.6640625" style="44" customWidth="1"/>
    <col min="4" max="4" width="10.88671875" style="44" customWidth="1"/>
    <col min="5" max="6" width="9.88671875" style="44" customWidth="1"/>
    <col min="7" max="7" width="10.44140625" style="44" customWidth="1"/>
    <col min="8" max="11" width="8.6640625" style="44" customWidth="1"/>
    <col min="12" max="16384" width="14.44140625" style="44"/>
  </cols>
  <sheetData>
    <row r="2" spans="1:11" ht="14.4" x14ac:dyDescent="0.3">
      <c r="A2" s="43"/>
    </row>
    <row r="3" spans="1:11" ht="14.4" x14ac:dyDescent="0.3">
      <c r="A3" s="43" t="s">
        <v>192</v>
      </c>
    </row>
    <row r="4" spans="1:11" ht="14.4" x14ac:dyDescent="0.3">
      <c r="A4" s="45" t="s">
        <v>193</v>
      </c>
      <c r="B4" s="46"/>
      <c r="C4" s="47" t="s">
        <v>194</v>
      </c>
      <c r="D4" s="47" t="s">
        <v>195</v>
      </c>
      <c r="E4" s="47" t="s">
        <v>196</v>
      </c>
      <c r="F4" s="48" t="s">
        <v>197</v>
      </c>
      <c r="G4" s="48" t="s">
        <v>198</v>
      </c>
    </row>
    <row r="5" spans="1:11" ht="14.4" x14ac:dyDescent="0.3">
      <c r="A5" s="49" t="s">
        <v>199</v>
      </c>
      <c r="B5" s="43"/>
      <c r="C5" s="50">
        <v>1</v>
      </c>
      <c r="D5" s="50">
        <f>+C5+1</f>
        <v>2</v>
      </c>
      <c r="E5" s="50">
        <f>+D5+1</f>
        <v>3</v>
      </c>
      <c r="F5" s="51">
        <f>+E5+1</f>
        <v>4</v>
      </c>
      <c r="G5" s="51">
        <f>+F5+1</f>
        <v>5</v>
      </c>
    </row>
    <row r="6" spans="1:11" ht="14.4" x14ac:dyDescent="0.3">
      <c r="A6" s="44" t="s">
        <v>200</v>
      </c>
      <c r="C6" s="52">
        <f>'Profit and Loss Statement '!AJ5</f>
        <v>35318.175276323993</v>
      </c>
      <c r="D6" s="52">
        <f>'Profit and Loss Statement '!AK5</f>
        <v>38716.689285339722</v>
      </c>
      <c r="E6" s="52">
        <f>'Profit and Loss Statement '!AL5</f>
        <v>42776.655379016469</v>
      </c>
      <c r="F6" s="53">
        <f>'Profit and Loss Statement '!AM5</f>
        <v>47586.391152242955</v>
      </c>
      <c r="G6" s="53">
        <f>'Profit and Loss Statement '!AN5</f>
        <v>53265.551168331389</v>
      </c>
    </row>
    <row r="7" spans="1:11" ht="14.4" x14ac:dyDescent="0.3">
      <c r="A7" s="54" t="s">
        <v>125</v>
      </c>
      <c r="C7" s="52">
        <f>'Profit and Loss Statement '!AJ14</f>
        <v>4132.2637598221227</v>
      </c>
      <c r="D7" s="52">
        <f>'Profit and Loss Statement '!AK14</f>
        <v>4667.4864405029866</v>
      </c>
      <c r="E7" s="52">
        <f>'Profit and Loss Statement '!AL14</f>
        <v>5322.8664957013298</v>
      </c>
      <c r="F7" s="53">
        <f>'Profit and Loss Statement '!AM14</f>
        <v>6113.4921038106249</v>
      </c>
      <c r="G7" s="53">
        <f>'Profit and Loss Statement '!AN14</f>
        <v>7060.4783978302248</v>
      </c>
    </row>
    <row r="8" spans="1:11" ht="14.4" x14ac:dyDescent="0.3">
      <c r="A8" s="55" t="s">
        <v>14</v>
      </c>
      <c r="B8" s="56"/>
      <c r="C8" s="57">
        <v>0.25800000000000001</v>
      </c>
      <c r="D8" s="57">
        <v>0.25800000000000001</v>
      </c>
      <c r="E8" s="57">
        <v>0.25800000000000001</v>
      </c>
      <c r="F8" s="58">
        <v>0.25800000000000001</v>
      </c>
      <c r="G8" s="58">
        <v>0.25800000000000001</v>
      </c>
      <c r="H8" s="56"/>
      <c r="I8" s="56" t="s">
        <v>329</v>
      </c>
      <c r="J8" s="56"/>
      <c r="K8" s="56"/>
    </row>
    <row r="9" spans="1:11" ht="14.4" x14ac:dyDescent="0.3">
      <c r="A9" s="54" t="s">
        <v>201</v>
      </c>
      <c r="C9" s="52">
        <f t="shared" ref="C9:G9" si="0">+C7*(1-C8)</f>
        <v>3066.1397097880149</v>
      </c>
      <c r="D9" s="52">
        <f t="shared" si="0"/>
        <v>3463.2749388532161</v>
      </c>
      <c r="E9" s="52">
        <f t="shared" si="0"/>
        <v>3949.5669398103864</v>
      </c>
      <c r="F9" s="53">
        <f t="shared" si="0"/>
        <v>4536.2111410274838</v>
      </c>
      <c r="G9" s="53">
        <f t="shared" si="0"/>
        <v>5238.8749711900264</v>
      </c>
    </row>
    <row r="10" spans="1:11" ht="14.4" x14ac:dyDescent="0.3">
      <c r="A10" s="54" t="s">
        <v>7</v>
      </c>
      <c r="C10" s="52">
        <f>'Profit and Loss Statement '!AJ13</f>
        <v>-3118.26</v>
      </c>
      <c r="D10" s="52">
        <f>'Profit and Loss Statement '!AK13</f>
        <v>-3280.7236062710908</v>
      </c>
      <c r="E10" s="52">
        <f>'Profit and Loss Statement '!AL13</f>
        <v>-3458.8203769836527</v>
      </c>
      <c r="F10" s="53">
        <f>'Profit and Loss Statement '!AM13</f>
        <v>-3655.5929917271287</v>
      </c>
      <c r="G10" s="52">
        <f>'Profit and Loss Statement '!AN13</f>
        <v>-3874.490391027447</v>
      </c>
    </row>
    <row r="11" spans="1:11" ht="14.4" x14ac:dyDescent="0.3">
      <c r="A11" s="54" t="s">
        <v>202</v>
      </c>
      <c r="C11" s="52">
        <f>'Balance Sheet'!AJ99+'Balance Sheet'!AJ100-'Balance Sheet'!AJ101</f>
        <v>-804.95939961847944</v>
      </c>
      <c r="D11" s="52">
        <f>'Balance Sheet'!AK99+'Balance Sheet'!AK100-'Balance Sheet'!AK101</f>
        <v>-882.41713277963026</v>
      </c>
      <c r="E11" s="52">
        <f>'Balance Sheet'!AL99+'Balance Sheet'!AL100-'Balance Sheet'!AL101</f>
        <v>-974.95044866212447</v>
      </c>
      <c r="F11" s="53">
        <f>'Balance Sheet'!AM99+'Balance Sheet'!AM100-'Balance Sheet'!AM101</f>
        <v>-1081.6089385921314</v>
      </c>
      <c r="G11" s="53">
        <f>'Balance Sheet'!AN99+'Balance Sheet'!AN100-'Balance Sheet'!AN101</f>
        <v>-1214.0096636745038</v>
      </c>
    </row>
    <row r="12" spans="1:11" ht="14.4" x14ac:dyDescent="0.3">
      <c r="A12" s="54" t="s">
        <v>203</v>
      </c>
      <c r="C12" s="52">
        <f>'Balance Sheet'!AJ54+'Balance Sheet'!AJ64</f>
        <v>2472.2722693426795</v>
      </c>
      <c r="D12" s="52">
        <f>'Balance Sheet'!AK54+'Balance Sheet'!AK64</f>
        <v>2710.1682499737803</v>
      </c>
      <c r="E12" s="52">
        <f>'Balance Sheet'!AL54+'Balance Sheet'!AL64</f>
        <v>2994.3658765311529</v>
      </c>
      <c r="F12" s="53">
        <f>'Balance Sheet'!AM54+'Balance Sheet'!AM64</f>
        <v>3331.0473806570067</v>
      </c>
      <c r="G12" s="53">
        <f>'Balance Sheet'!AN54+'Balance Sheet'!AN64</f>
        <v>3728.5885817831968</v>
      </c>
    </row>
    <row r="13" spans="1:11" ht="14.4" x14ac:dyDescent="0.3">
      <c r="A13" s="59" t="s">
        <v>204</v>
      </c>
      <c r="B13" s="60"/>
      <c r="C13" s="61">
        <f t="shared" ref="C13:G13" si="1">+C9+C10+C11+C12</f>
        <v>1615.1925795122147</v>
      </c>
      <c r="D13" s="61">
        <f t="shared" si="1"/>
        <v>2010.3024497762754</v>
      </c>
      <c r="E13" s="61">
        <f t="shared" si="1"/>
        <v>2510.1619906957621</v>
      </c>
      <c r="F13" s="62">
        <f t="shared" si="1"/>
        <v>3130.0565913652304</v>
      </c>
      <c r="G13" s="62">
        <f t="shared" si="1"/>
        <v>3878.9634982712723</v>
      </c>
    </row>
    <row r="14" spans="1:11" ht="14.4" x14ac:dyDescent="0.3">
      <c r="A14" s="54" t="s">
        <v>205</v>
      </c>
      <c r="C14" s="63">
        <f t="shared" ref="C14:G14" si="2">1/(1+$C$30)^C5</f>
        <v>0.92592592592592582</v>
      </c>
      <c r="D14" s="63">
        <f t="shared" si="2"/>
        <v>0.85733882030178321</v>
      </c>
      <c r="E14" s="63">
        <f t="shared" si="2"/>
        <v>0.79383224102016958</v>
      </c>
      <c r="F14" s="64">
        <f t="shared" si="2"/>
        <v>0.73502985279645328</v>
      </c>
      <c r="G14" s="64">
        <f t="shared" si="2"/>
        <v>0.68058319703375303</v>
      </c>
    </row>
    <row r="15" spans="1:11" ht="14.4" x14ac:dyDescent="0.3">
      <c r="A15" s="54" t="s">
        <v>206</v>
      </c>
      <c r="C15" s="52">
        <f t="shared" ref="C15:G15" si="3">+C14*C13</f>
        <v>1495.5486847335319</v>
      </c>
      <c r="D15" s="52">
        <f t="shared" si="3"/>
        <v>1723.5103307409768</v>
      </c>
      <c r="E15" s="52">
        <f t="shared" si="3"/>
        <v>1992.647518397667</v>
      </c>
      <c r="F15" s="53">
        <f t="shared" si="3"/>
        <v>2300.6850355957536</v>
      </c>
      <c r="G15" s="53">
        <f t="shared" si="3"/>
        <v>2639.9573788306934</v>
      </c>
    </row>
    <row r="16" spans="1:11" ht="14.4" x14ac:dyDescent="0.3">
      <c r="A16" s="54" t="s">
        <v>207</v>
      </c>
      <c r="D16" s="65"/>
      <c r="E16" s="65"/>
      <c r="F16" s="65"/>
      <c r="G16" s="66">
        <f>+(G13*(1+C33))/(C30-C33)</f>
        <v>65942.379470611631</v>
      </c>
    </row>
    <row r="17" spans="1:11" ht="14.4" x14ac:dyDescent="0.3">
      <c r="A17" s="67" t="s">
        <v>208</v>
      </c>
      <c r="B17" s="68"/>
      <c r="C17" s="69">
        <f>+SUM(C15:G15)+G16</f>
        <v>76094.72841891025</v>
      </c>
    </row>
    <row r="18" spans="1:11" ht="14.4" x14ac:dyDescent="0.3">
      <c r="A18" s="54" t="s">
        <v>209</v>
      </c>
      <c r="C18" s="53">
        <f>-'Balance Sheet'!P88</f>
        <v>-18475</v>
      </c>
    </row>
    <row r="19" spans="1:11" ht="14.4" x14ac:dyDescent="0.3">
      <c r="A19" s="54" t="s">
        <v>210</v>
      </c>
      <c r="C19" s="53">
        <f>-'Profit and Loss Statement '!AJ28</f>
        <v>-309.40073146360163</v>
      </c>
      <c r="E19" s="44" t="s">
        <v>330</v>
      </c>
    </row>
    <row r="20" spans="1:11" ht="14.4" x14ac:dyDescent="0.3">
      <c r="A20" s="70" t="s">
        <v>211</v>
      </c>
      <c r="C20" s="53">
        <f>+C17+C18+C19</f>
        <v>57310.327687446646</v>
      </c>
    </row>
    <row r="21" spans="1:11" ht="15.75" customHeight="1" x14ac:dyDescent="0.3">
      <c r="A21" s="54" t="s">
        <v>212</v>
      </c>
      <c r="C21" s="53">
        <f>'Profit and Loss Statement '!AJ38</f>
        <v>560.63903000000005</v>
      </c>
    </row>
    <row r="22" spans="1:11" ht="15.75" customHeight="1" x14ac:dyDescent="0.3">
      <c r="A22" s="71" t="s">
        <v>213</v>
      </c>
      <c r="B22" s="72"/>
      <c r="C22" s="62">
        <f>+C20/C21</f>
        <v>102.22322139692386</v>
      </c>
    </row>
    <row r="23" spans="1:11" ht="15.75" customHeight="1" x14ac:dyDescent="0.3">
      <c r="A23" s="54" t="s">
        <v>214</v>
      </c>
      <c r="C23" s="53">
        <v>81.92</v>
      </c>
    </row>
    <row r="24" spans="1:11" ht="15.75" customHeight="1" x14ac:dyDescent="0.3">
      <c r="A24" s="73" t="s">
        <v>215</v>
      </c>
      <c r="B24" s="74"/>
      <c r="C24" s="75">
        <f>+C22/C23-1</f>
        <v>0.24784205806791815</v>
      </c>
    </row>
    <row r="25" spans="1:11" ht="15.75" customHeight="1" x14ac:dyDescent="0.3"/>
    <row r="26" spans="1:11" ht="15.75" customHeight="1" x14ac:dyDescent="0.3">
      <c r="A26" s="76" t="s">
        <v>216</v>
      </c>
      <c r="B26" s="77"/>
      <c r="C26" s="78"/>
      <c r="F26" s="106" t="s">
        <v>217</v>
      </c>
      <c r="G26" s="107"/>
    </row>
    <row r="27" spans="1:11" ht="15.75" customHeight="1" x14ac:dyDescent="0.3">
      <c r="A27" s="79" t="s">
        <v>218</v>
      </c>
      <c r="C27" s="80">
        <v>4.0599999999999997E-2</v>
      </c>
      <c r="F27" s="81"/>
      <c r="G27" s="82"/>
      <c r="H27" s="82"/>
      <c r="I27" s="83"/>
      <c r="J27" s="82"/>
      <c r="K27" s="84"/>
    </row>
    <row r="28" spans="1:11" ht="15.75" customHeight="1" x14ac:dyDescent="0.3">
      <c r="A28" s="79" t="s">
        <v>219</v>
      </c>
      <c r="C28" s="80">
        <v>0.02</v>
      </c>
      <c r="F28" s="85"/>
      <c r="G28" s="86">
        <f t="dataTable" ref="G28:K32" dt2D="1" dtr="1" r1="C28" r2="C27"/>
        <v>0</v>
      </c>
      <c r="H28" s="86">
        <v>0</v>
      </c>
      <c r="I28" s="87">
        <v>0</v>
      </c>
      <c r="J28" s="86">
        <v>0</v>
      </c>
      <c r="K28" s="88">
        <v>0</v>
      </c>
    </row>
    <row r="29" spans="1:11" ht="15.75" customHeight="1" x14ac:dyDescent="0.3">
      <c r="A29" s="79" t="s">
        <v>220</v>
      </c>
      <c r="C29" s="89">
        <v>0.76</v>
      </c>
      <c r="F29" s="85"/>
      <c r="G29" s="86">
        <v>0</v>
      </c>
      <c r="H29" s="86">
        <v>0</v>
      </c>
      <c r="I29" s="87">
        <v>0</v>
      </c>
      <c r="J29" s="86">
        <v>0</v>
      </c>
      <c r="K29" s="88">
        <v>0</v>
      </c>
    </row>
    <row r="30" spans="1:11" ht="15.75" customHeight="1" x14ac:dyDescent="0.3">
      <c r="A30" s="79" t="s">
        <v>221</v>
      </c>
      <c r="C30" s="90">
        <v>0.08</v>
      </c>
      <c r="F30" s="91"/>
      <c r="G30" s="87">
        <v>0</v>
      </c>
      <c r="H30" s="87">
        <v>0</v>
      </c>
      <c r="I30" s="87">
        <v>0</v>
      </c>
      <c r="J30" s="87">
        <v>0</v>
      </c>
      <c r="K30" s="92">
        <v>0</v>
      </c>
    </row>
    <row r="31" spans="1:11" ht="15.75" customHeight="1" x14ac:dyDescent="0.3">
      <c r="A31" s="79" t="s">
        <v>222</v>
      </c>
      <c r="C31" s="90">
        <v>5.6300000000000003E-2</v>
      </c>
      <c r="F31" s="85"/>
      <c r="G31" s="86">
        <v>0</v>
      </c>
      <c r="H31" s="86">
        <v>0</v>
      </c>
      <c r="I31" s="87">
        <v>0</v>
      </c>
      <c r="J31" s="86">
        <v>0</v>
      </c>
      <c r="K31" s="88">
        <v>0</v>
      </c>
    </row>
    <row r="32" spans="1:11" ht="15.75" customHeight="1" x14ac:dyDescent="0.3">
      <c r="A32" s="79" t="s">
        <v>223</v>
      </c>
      <c r="C32" s="90">
        <v>0.05</v>
      </c>
      <c r="F32" s="93"/>
      <c r="G32" s="94">
        <v>0</v>
      </c>
      <c r="H32" s="94">
        <v>0</v>
      </c>
      <c r="I32" s="95">
        <v>0</v>
      </c>
      <c r="J32" s="94">
        <v>0</v>
      </c>
      <c r="K32" s="96">
        <v>0</v>
      </c>
    </row>
    <row r="33" spans="1:11" ht="15.75" customHeight="1" x14ac:dyDescent="0.3">
      <c r="A33" s="97" t="s">
        <v>224</v>
      </c>
      <c r="B33" s="98"/>
      <c r="C33" s="99">
        <v>0.02</v>
      </c>
    </row>
    <row r="34" spans="1:11" ht="15.75" customHeight="1" x14ac:dyDescent="0.3">
      <c r="F34" s="52">
        <f>C22</f>
        <v>102.22322139692386</v>
      </c>
      <c r="G34" s="100">
        <v>0.08</v>
      </c>
      <c r="H34" s="100">
        <v>0.09</v>
      </c>
      <c r="I34" s="100">
        <v>0.1</v>
      </c>
      <c r="J34" s="100">
        <v>0.11</v>
      </c>
      <c r="K34" s="100">
        <v>0.12</v>
      </c>
    </row>
    <row r="35" spans="1:11" ht="15.75" customHeight="1" x14ac:dyDescent="0.3">
      <c r="F35" s="101">
        <v>5.0000000000000001E-3</v>
      </c>
      <c r="G35" s="44">
        <f t="dataTable" ref="G35:K39" dt2D="1" dtr="1" r1="C30" r2="C33"/>
        <v>77.315450359690558</v>
      </c>
      <c r="H35" s="44">
        <v>65.869967046723104</v>
      </c>
      <c r="I35" s="44">
        <v>56.744243450546172</v>
      </c>
      <c r="J35" s="44">
        <v>49.280918632508005</v>
      </c>
      <c r="K35" s="44">
        <v>43.050915673294838</v>
      </c>
    </row>
    <row r="36" spans="1:11" ht="15.75" customHeight="1" x14ac:dyDescent="0.3">
      <c r="A36" s="43"/>
      <c r="F36" s="101">
        <v>1.4999999999999999E-2</v>
      </c>
      <c r="G36" s="44">
        <v>92.643309459526421</v>
      </c>
      <c r="H36" s="44">
        <v>77.699801656999497</v>
      </c>
      <c r="I36" s="44">
        <v>66.169268610833953</v>
      </c>
      <c r="J36" s="44">
        <v>56.980062562145704</v>
      </c>
      <c r="K36" s="44">
        <v>49.468376810102129</v>
      </c>
    </row>
    <row r="37" spans="1:11" ht="15.75" customHeight="1" x14ac:dyDescent="0.3">
      <c r="F37" s="101">
        <v>0.03</v>
      </c>
      <c r="G37" s="44">
        <v>127.13099243415719</v>
      </c>
      <c r="H37" s="44">
        <v>102.83820020383683</v>
      </c>
      <c r="I37" s="44">
        <v>85.355926972848422</v>
      </c>
      <c r="J37" s="44">
        <v>72.13775217361993</v>
      </c>
      <c r="K37" s="44">
        <v>61.768510655649457</v>
      </c>
    </row>
    <row r="38" spans="1:11" ht="15.75" customHeight="1" x14ac:dyDescent="0.3">
      <c r="F38" s="101">
        <v>0.04</v>
      </c>
      <c r="G38" s="44">
        <v>164.49264899000715</v>
      </c>
      <c r="H38" s="44">
        <v>127.97659875067419</v>
      </c>
      <c r="I38" s="44">
        <v>103.47665987030653</v>
      </c>
      <c r="J38" s="44">
        <v>85.851852298287071</v>
      </c>
      <c r="K38" s="44">
        <v>72.53112777050336</v>
      </c>
    </row>
    <row r="39" spans="1:11" ht="15.75" customHeight="1" x14ac:dyDescent="0.3">
      <c r="F39" s="101">
        <v>0.05</v>
      </c>
      <c r="G39" s="44">
        <v>226.76207658309048</v>
      </c>
      <c r="H39" s="44">
        <v>165.6841965709302</v>
      </c>
      <c r="I39" s="44">
        <v>128.84568592674788</v>
      </c>
      <c r="J39" s="44">
        <v>104.13731913117661</v>
      </c>
      <c r="K39" s="44">
        <v>86.368778346744094</v>
      </c>
    </row>
    <row r="40" spans="1:11" ht="15.75" customHeight="1" x14ac:dyDescent="0.3"/>
    <row r="41" spans="1:11" ht="15.75" customHeight="1" x14ac:dyDescent="0.3"/>
    <row r="42" spans="1:11" ht="15.75" customHeight="1" x14ac:dyDescent="0.3"/>
    <row r="43" spans="1:11" ht="15.75" customHeight="1" x14ac:dyDescent="0.3"/>
    <row r="44" spans="1:11" ht="15.75" customHeight="1" x14ac:dyDescent="0.3"/>
    <row r="45" spans="1:11" ht="15.75" customHeight="1" x14ac:dyDescent="0.3"/>
    <row r="46" spans="1:11" ht="15.75" customHeight="1" x14ac:dyDescent="0.3"/>
    <row r="47" spans="1:11" ht="15.75" customHeight="1" x14ac:dyDescent="0.3"/>
    <row r="48" spans="1:11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</sheetData>
  <mergeCells count="1">
    <mergeCell ref="F26:G26"/>
  </mergeCells>
  <pageMargins left="0.7" right="0.7" top="0.75" bottom="0.75" header="0" footer="0"/>
  <pageSetup orientation="landscape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F77F1-59D5-4647-9EE0-07FD90290638}">
  <dimension ref="H16"/>
  <sheetViews>
    <sheetView workbookViewId="0">
      <selection activeCell="G16" sqref="G16"/>
    </sheetView>
  </sheetViews>
  <sheetFormatPr defaultRowHeight="14.4" x14ac:dyDescent="0.3"/>
  <sheetData>
    <row r="16" spans="8:8" x14ac:dyDescent="0.3">
      <c r="H16" s="9" t="s">
        <v>137</v>
      </c>
    </row>
  </sheetData>
  <hyperlinks>
    <hyperlink ref="H16" r:id="rId1" xr:uid="{842BD655-3444-4DEF-88C7-EE5CBB193A6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Profit and Loss Statement </vt:lpstr>
      <vt:lpstr>Balance Sheet</vt:lpstr>
      <vt:lpstr>Cash Flow Statement</vt:lpstr>
      <vt:lpstr>Ratio Analysis</vt:lpstr>
      <vt:lpstr>Africa &amp; Middle East</vt:lpstr>
      <vt:lpstr>Americas</vt:lpstr>
      <vt:lpstr>Asia Pacific</vt:lpstr>
      <vt:lpstr>Europe</vt:lpstr>
      <vt:lpstr>Total</vt:lpstr>
      <vt:lpstr>DCF 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Kumar</dc:creator>
  <cp:lastModifiedBy>Praveen Kumar</cp:lastModifiedBy>
  <dcterms:created xsi:type="dcterms:W3CDTF">2024-12-30T07:28:15Z</dcterms:created>
  <dcterms:modified xsi:type="dcterms:W3CDTF">2025-06-06T04:55:38Z</dcterms:modified>
</cp:coreProperties>
</file>